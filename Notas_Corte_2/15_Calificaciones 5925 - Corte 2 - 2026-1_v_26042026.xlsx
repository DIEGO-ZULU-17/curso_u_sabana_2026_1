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iego\OneDrive\Documentos\Clase_Python_U_Sabana\2026-1\Notas_Corte_2\"/>
    </mc:Choice>
  </mc:AlternateContent>
  <xr:revisionPtr revIDLastSave="0" documentId="13_ncr:1_{D69F9A02-1A98-4F8A-AE67-B05429731F7D}" xr6:coauthVersionLast="47" xr6:coauthVersionMax="47" xr10:uidLastSave="{00000000-0000-0000-0000-000000000000}"/>
  <bookViews>
    <workbookView xWindow="-108" yWindow="-108" windowWidth="23256" windowHeight="12456" firstSheet="8" activeTab="11" xr2:uid="{00000000-000D-0000-FFFF-FFFF00000000}"/>
  </bookViews>
  <sheets>
    <sheet name="DATOS_CORTE_1" sheetId="1" r:id="rId1"/>
    <sheet name="Notas_Corte_1" sheetId="2" r:id="rId2"/>
    <sheet name="Notas_Detalle_Corte_1" sheetId="3" r:id="rId3"/>
    <sheet name="Asistencia_Corte_1" sheetId="4" r:id="rId4"/>
    <sheet name="Corte 1_Final" sheetId="5" r:id="rId5"/>
    <sheet name="Notas_SIGA_Corte_1" sheetId="6" r:id="rId6"/>
    <sheet name="DATOS_CORTE_2" sheetId="7" r:id="rId7"/>
    <sheet name="Notas_Corte_2" sheetId="8" r:id="rId8"/>
    <sheet name="Notas_Detalle_Corte_2" sheetId="9" r:id="rId9"/>
    <sheet name="Asistencia_Corte_2" sheetId="10" r:id="rId10"/>
    <sheet name="Corte 2_Final" sheetId="12" r:id="rId11"/>
    <sheet name="Notas_SIGA_Corte_2" sheetId="13" r:id="rId12"/>
  </sheets>
  <definedNames>
    <definedName name="_xlnm._FilterDatabase" localSheetId="4" hidden="1">'Corte 1_Final'!$A$1:$M$43</definedName>
    <definedName name="_xlnm._FilterDatabase" localSheetId="10" hidden="1">'Corte 2_Final'!$A$1:$R$41</definedName>
    <definedName name="_xlnm._FilterDatabase" localSheetId="0" hidden="1">DATOS_CORTE_1!#REF!</definedName>
    <definedName name="_xlnm._FilterDatabase" localSheetId="5" hidden="1">Notas_SIGA_Corte_1!$A$1:$E$42</definedName>
    <definedName name="Slicer_Assignments">#N/A</definedName>
    <definedName name="Slicer_Assignments1">#N/A</definedName>
    <definedName name="Slicer_Name">#N/A</definedName>
    <definedName name="Slicer_Name1">#N/A</definedName>
  </definedNames>
  <calcPr calcId="191029"/>
  <pivotCaches>
    <pivotCache cacheId="7" r:id="rId13"/>
    <pivotCache cacheId="13"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1" i="12" l="1"/>
  <c r="J3" i="12" a="1"/>
  <c r="J3" i="12" s="1"/>
  <c r="J4" i="12" a="1"/>
  <c r="J4" i="12" s="1"/>
  <c r="J7" i="12" a="1"/>
  <c r="J7" i="12" s="1"/>
  <c r="J9" i="12" a="1"/>
  <c r="J9" i="12" s="1"/>
  <c r="J11" i="12" a="1"/>
  <c r="J11" i="12" s="1"/>
  <c r="J12" i="12" a="1"/>
  <c r="J12" i="12" s="1"/>
  <c r="J13" i="12" a="1"/>
  <c r="J13" i="12" s="1"/>
  <c r="J14" i="12" a="1"/>
  <c r="J14" i="12" s="1"/>
  <c r="J17" i="12" a="1"/>
  <c r="J17" i="12" s="1"/>
  <c r="J22" i="12" a="1"/>
  <c r="J22" i="12" s="1"/>
  <c r="J25" i="12" a="1"/>
  <c r="J25" i="12" s="1"/>
  <c r="J30" i="12" a="1"/>
  <c r="J30" i="12" s="1"/>
  <c r="J34" i="12" a="1"/>
  <c r="J34" i="12" s="1"/>
  <c r="J38" i="12" a="1"/>
  <c r="J38" i="12" s="1"/>
  <c r="N5" i="12"/>
  <c r="N6" i="12"/>
  <c r="N8" i="12"/>
  <c r="N10" i="12"/>
  <c r="N15" i="12"/>
  <c r="N16" i="12"/>
  <c r="N18" i="12"/>
  <c r="N19" i="12"/>
  <c r="N20" i="12"/>
  <c r="N21" i="12"/>
  <c r="N23" i="12"/>
  <c r="N24" i="12"/>
  <c r="N26" i="12"/>
  <c r="N27" i="12"/>
  <c r="N28" i="12"/>
  <c r="N29" i="12"/>
  <c r="N31" i="12"/>
  <c r="N32" i="12"/>
  <c r="N33" i="12"/>
  <c r="N35" i="12"/>
  <c r="N36" i="12"/>
  <c r="N37" i="12"/>
  <c r="N39" i="12"/>
  <c r="N40" i="12"/>
  <c r="N2" i="12"/>
  <c r="I41" i="12" l="1"/>
  <c r="F3" i="12"/>
  <c r="G3" i="12" s="1"/>
  <c r="F4" i="12"/>
  <c r="G4" i="12" s="1"/>
  <c r="F5" i="12"/>
  <c r="G5" i="12" s="1"/>
  <c r="F6" i="12"/>
  <c r="G6" i="12" s="1"/>
  <c r="F7" i="12"/>
  <c r="G7" i="12" s="1"/>
  <c r="F8" i="12"/>
  <c r="G8" i="12" s="1"/>
  <c r="F9" i="12"/>
  <c r="G9" i="12" s="1"/>
  <c r="F10" i="12"/>
  <c r="G10" i="12" s="1"/>
  <c r="F11" i="12"/>
  <c r="G11" i="12" s="1"/>
  <c r="F12" i="12"/>
  <c r="G12" i="12" s="1"/>
  <c r="F13" i="12"/>
  <c r="G13" i="12" s="1"/>
  <c r="F14" i="12"/>
  <c r="G14" i="12" s="1"/>
  <c r="F15" i="12"/>
  <c r="G15" i="12" s="1"/>
  <c r="F16" i="12"/>
  <c r="G16" i="12" s="1"/>
  <c r="F17" i="12"/>
  <c r="G17" i="12" s="1"/>
  <c r="F18" i="12"/>
  <c r="G18" i="12" s="1"/>
  <c r="F19" i="12"/>
  <c r="G19" i="12" s="1"/>
  <c r="F20" i="12"/>
  <c r="G20" i="12" s="1"/>
  <c r="F21" i="12"/>
  <c r="G21" i="12" s="1"/>
  <c r="F22" i="12"/>
  <c r="G22" i="12" s="1"/>
  <c r="F23" i="12"/>
  <c r="G23" i="12" s="1"/>
  <c r="F24" i="12"/>
  <c r="G24" i="12" s="1"/>
  <c r="F25" i="12"/>
  <c r="G25" i="12" s="1"/>
  <c r="F26" i="12"/>
  <c r="G26" i="12" s="1"/>
  <c r="F27" i="12"/>
  <c r="G27" i="12" s="1"/>
  <c r="F28" i="12"/>
  <c r="G28" i="12" s="1"/>
  <c r="F29" i="12"/>
  <c r="G29" i="12" s="1"/>
  <c r="F30" i="12"/>
  <c r="G30" i="12" s="1"/>
  <c r="F31" i="12"/>
  <c r="G31" i="12" s="1"/>
  <c r="F32" i="12"/>
  <c r="G32" i="12" s="1"/>
  <c r="F33" i="12"/>
  <c r="G33" i="12" s="1"/>
  <c r="F34" i="12"/>
  <c r="G34" i="12" s="1"/>
  <c r="F35" i="12"/>
  <c r="G35" i="12" s="1"/>
  <c r="F36" i="12"/>
  <c r="G36" i="12" s="1"/>
  <c r="F37" i="12"/>
  <c r="G37" i="12" s="1"/>
  <c r="F38" i="12"/>
  <c r="G38" i="12" s="1"/>
  <c r="F39" i="12"/>
  <c r="G39" i="12" s="1"/>
  <c r="F40" i="12"/>
  <c r="G40" i="12" s="1"/>
  <c r="F2" i="12"/>
  <c r="D3" i="12"/>
  <c r="E3" i="12" s="1"/>
  <c r="D4" i="12"/>
  <c r="E4" i="12" s="1"/>
  <c r="D5" i="12"/>
  <c r="E5" i="12" s="1"/>
  <c r="D6" i="12"/>
  <c r="E6" i="12" s="1"/>
  <c r="D7" i="12"/>
  <c r="E7" i="12" s="1"/>
  <c r="D8" i="12"/>
  <c r="E8" i="12" s="1"/>
  <c r="D9" i="12"/>
  <c r="E9" i="12" s="1"/>
  <c r="D10" i="12"/>
  <c r="E10" i="12" s="1"/>
  <c r="D11" i="12"/>
  <c r="E11" i="12" s="1"/>
  <c r="D12" i="12"/>
  <c r="E12" i="12" s="1"/>
  <c r="D13" i="12"/>
  <c r="E13" i="12" s="1"/>
  <c r="D14" i="12"/>
  <c r="E14" i="12" s="1"/>
  <c r="D15" i="12"/>
  <c r="E15" i="12" s="1"/>
  <c r="D16" i="12"/>
  <c r="E16" i="12" s="1"/>
  <c r="D17" i="12"/>
  <c r="E17" i="12" s="1"/>
  <c r="D18" i="12"/>
  <c r="E18" i="12" s="1"/>
  <c r="D19" i="12"/>
  <c r="E19" i="12" s="1"/>
  <c r="D20" i="12"/>
  <c r="E20" i="12" s="1"/>
  <c r="D21" i="12"/>
  <c r="E21" i="12" s="1"/>
  <c r="D22" i="12"/>
  <c r="E22" i="12" s="1"/>
  <c r="D23" i="12"/>
  <c r="E23" i="12" s="1"/>
  <c r="D24" i="12"/>
  <c r="E24" i="12" s="1"/>
  <c r="D25" i="12"/>
  <c r="E25" i="12" s="1"/>
  <c r="D26" i="12"/>
  <c r="E26" i="12" s="1"/>
  <c r="D27" i="12"/>
  <c r="E27" i="12" s="1"/>
  <c r="D28" i="12"/>
  <c r="E28" i="12" s="1"/>
  <c r="D29" i="12"/>
  <c r="E29" i="12" s="1"/>
  <c r="D30" i="12"/>
  <c r="E30" i="12" s="1"/>
  <c r="D31" i="12"/>
  <c r="E31" i="12" s="1"/>
  <c r="D32" i="12"/>
  <c r="E32" i="12" s="1"/>
  <c r="D33" i="12"/>
  <c r="E33" i="12" s="1"/>
  <c r="D34" i="12"/>
  <c r="E34" i="12" s="1"/>
  <c r="D35" i="12"/>
  <c r="E35" i="12" s="1"/>
  <c r="D36" i="12"/>
  <c r="E36" i="12" s="1"/>
  <c r="D37" i="12"/>
  <c r="E37" i="12" s="1"/>
  <c r="D38" i="12"/>
  <c r="E38" i="12" s="1"/>
  <c r="D39" i="12"/>
  <c r="E39" i="12" s="1"/>
  <c r="D40" i="12"/>
  <c r="E40" i="12" s="1"/>
  <c r="D2" i="12"/>
  <c r="B3" i="12"/>
  <c r="C3" i="12" s="1"/>
  <c r="B4" i="12"/>
  <c r="C4" i="12" s="1"/>
  <c r="B5" i="12"/>
  <c r="C5" i="12" s="1"/>
  <c r="B6" i="12"/>
  <c r="C6" i="12" s="1"/>
  <c r="B7" i="12"/>
  <c r="C7" i="12" s="1"/>
  <c r="B8" i="12"/>
  <c r="C8" i="12" s="1"/>
  <c r="B9" i="12"/>
  <c r="C9" i="12" s="1"/>
  <c r="B10" i="12"/>
  <c r="C10" i="12" s="1"/>
  <c r="B11" i="12"/>
  <c r="C11" i="12" s="1"/>
  <c r="B12" i="12"/>
  <c r="C12" i="12" s="1"/>
  <c r="B13" i="12"/>
  <c r="C13" i="12" s="1"/>
  <c r="B14" i="12"/>
  <c r="C14" i="12" s="1"/>
  <c r="B15" i="12"/>
  <c r="C15" i="12" s="1"/>
  <c r="B16" i="12"/>
  <c r="C16" i="12" s="1"/>
  <c r="B17" i="12"/>
  <c r="C17" i="12" s="1"/>
  <c r="B18" i="12"/>
  <c r="C18" i="12" s="1"/>
  <c r="B19" i="12"/>
  <c r="C19" i="12" s="1"/>
  <c r="B20" i="12"/>
  <c r="C20" i="12" s="1"/>
  <c r="B21" i="12"/>
  <c r="C21" i="12" s="1"/>
  <c r="B22" i="12"/>
  <c r="C22" i="12" s="1"/>
  <c r="B23" i="12"/>
  <c r="C23" i="12" s="1"/>
  <c r="B24" i="12"/>
  <c r="C24" i="12" s="1"/>
  <c r="B25" i="12"/>
  <c r="C25" i="12" s="1"/>
  <c r="B26" i="12"/>
  <c r="C26" i="12" s="1"/>
  <c r="B27" i="12"/>
  <c r="C27" i="12" s="1"/>
  <c r="B28" i="12"/>
  <c r="C28" i="12" s="1"/>
  <c r="B29" i="12"/>
  <c r="C29" i="12" s="1"/>
  <c r="B30" i="12"/>
  <c r="C30" i="12" s="1"/>
  <c r="B31" i="12"/>
  <c r="C31" i="12" s="1"/>
  <c r="B32" i="12"/>
  <c r="C32" i="12" s="1"/>
  <c r="B33" i="12"/>
  <c r="C33" i="12" s="1"/>
  <c r="B34" i="12"/>
  <c r="C34" i="12" s="1"/>
  <c r="B35" i="12"/>
  <c r="C35" i="12" s="1"/>
  <c r="B36" i="12"/>
  <c r="C36" i="12" s="1"/>
  <c r="B37" i="12"/>
  <c r="C37" i="12" s="1"/>
  <c r="B38" i="12"/>
  <c r="C38" i="12" s="1"/>
  <c r="B39" i="12"/>
  <c r="C39" i="12" s="1"/>
  <c r="B40" i="12"/>
  <c r="C40" i="12" s="1"/>
  <c r="B2" i="12"/>
  <c r="C2" i="12" s="1"/>
  <c r="M37" i="12"/>
  <c r="M35" i="12"/>
  <c r="M33" i="12"/>
  <c r="M29" i="12"/>
  <c r="M28" i="12"/>
  <c r="M26" i="12"/>
  <c r="M20" i="12"/>
  <c r="M6" i="12"/>
  <c r="M5" i="12"/>
  <c r="M2" i="12"/>
  <c r="G7" i="10"/>
  <c r="D19" i="13" s="1"/>
  <c r="G8" i="10"/>
  <c r="G9" i="10"/>
  <c r="D2" i="13" s="1"/>
  <c r="G10" i="10"/>
  <c r="D4" i="13" s="1"/>
  <c r="G11" i="10"/>
  <c r="D5" i="13" s="1"/>
  <c r="G12" i="10"/>
  <c r="D23" i="13" s="1"/>
  <c r="G13" i="10"/>
  <c r="D10" i="13" s="1"/>
  <c r="G14" i="10"/>
  <c r="D16" i="13" s="1"/>
  <c r="G15" i="10"/>
  <c r="D34" i="13" s="1"/>
  <c r="G16" i="10"/>
  <c r="D12" i="13" s="1"/>
  <c r="G17" i="10"/>
  <c r="D13" i="13" s="1"/>
  <c r="G18" i="10"/>
  <c r="D20" i="13" s="1"/>
  <c r="G19" i="10"/>
  <c r="D28" i="13" s="1"/>
  <c r="G20" i="10"/>
  <c r="D9" i="13" s="1"/>
  <c r="G21" i="10"/>
  <c r="D30" i="13" s="1"/>
  <c r="G22" i="10"/>
  <c r="D35" i="13" s="1"/>
  <c r="G23" i="10"/>
  <c r="D22" i="13" s="1"/>
  <c r="G24" i="10"/>
  <c r="D6" i="13" s="1"/>
  <c r="G25" i="10"/>
  <c r="D8" i="13" s="1"/>
  <c r="G26" i="10"/>
  <c r="D18" i="13" s="1"/>
  <c r="G27" i="10"/>
  <c r="D17" i="13" s="1"/>
  <c r="G28" i="10"/>
  <c r="D25" i="13" s="1"/>
  <c r="G29" i="10"/>
  <c r="D11" i="13" s="1"/>
  <c r="G30" i="10"/>
  <c r="D29" i="13" s="1"/>
  <c r="G31" i="10"/>
  <c r="D38" i="13" s="1"/>
  <c r="G32" i="10"/>
  <c r="D31" i="13" s="1"/>
  <c r="G33" i="10"/>
  <c r="D26" i="13" s="1"/>
  <c r="G34" i="10"/>
  <c r="D37" i="13" s="1"/>
  <c r="G35" i="10"/>
  <c r="D3" i="13" s="1"/>
  <c r="G36" i="10"/>
  <c r="D39" i="13" s="1"/>
  <c r="G37" i="10"/>
  <c r="D24" i="13" s="1"/>
  <c r="G38" i="10"/>
  <c r="D36" i="13" s="1"/>
  <c r="G39" i="10"/>
  <c r="D15" i="13" s="1"/>
  <c r="G40" i="10"/>
  <c r="D40" i="13" s="1"/>
  <c r="G41" i="10"/>
  <c r="D32" i="13" s="1"/>
  <c r="G42" i="10"/>
  <c r="D14" i="13" s="1"/>
  <c r="G43" i="10"/>
  <c r="D27" i="13" s="1"/>
  <c r="G44" i="10"/>
  <c r="D21" i="13" s="1"/>
  <c r="G6" i="10"/>
  <c r="D33" i="13" s="1"/>
  <c r="F45" i="10"/>
  <c r="G45" i="10" l="1"/>
  <c r="D7" i="13"/>
  <c r="C6" i="13"/>
  <c r="O20" i="12"/>
  <c r="O28" i="12"/>
  <c r="C31" i="13"/>
  <c r="C15" i="13"/>
  <c r="O35" i="12"/>
  <c r="C33" i="13"/>
  <c r="O2" i="12"/>
  <c r="O26" i="12"/>
  <c r="C29" i="13"/>
  <c r="C32" i="13"/>
  <c r="O37" i="12"/>
  <c r="O5" i="12"/>
  <c r="C2" i="13"/>
  <c r="C4" i="13"/>
  <c r="O6" i="12"/>
  <c r="O29" i="12"/>
  <c r="C26" i="13"/>
  <c r="C24" i="13"/>
  <c r="O33" i="12"/>
  <c r="H30" i="12"/>
  <c r="H29" i="12"/>
  <c r="H10" i="12"/>
  <c r="H9" i="12"/>
  <c r="H25" i="12"/>
  <c r="H33" i="12"/>
  <c r="H13" i="12"/>
  <c r="H3" i="12"/>
  <c r="H12" i="12"/>
  <c r="H31" i="12"/>
  <c r="H11" i="12"/>
  <c r="H28" i="12"/>
  <c r="H7" i="12"/>
  <c r="H23" i="12"/>
  <c r="H40" i="12"/>
  <c r="H20" i="12"/>
  <c r="H24" i="12"/>
  <c r="H36" i="12"/>
  <c r="H16" i="12"/>
  <c r="H5" i="12"/>
  <c r="H4" i="12"/>
  <c r="F41" i="12"/>
  <c r="H39" i="12"/>
  <c r="H38" i="12"/>
  <c r="H17" i="12"/>
  <c r="H35" i="12"/>
  <c r="H15" i="12"/>
  <c r="H8" i="12"/>
  <c r="D41" i="12"/>
  <c r="H19" i="12"/>
  <c r="H18" i="12"/>
  <c r="H37" i="12"/>
  <c r="H34" i="12"/>
  <c r="H14" i="12"/>
  <c r="H32" i="12"/>
  <c r="H27" i="12"/>
  <c r="H26" i="12"/>
  <c r="H6" i="12"/>
  <c r="H22" i="12"/>
  <c r="C41" i="12"/>
  <c r="H21" i="12"/>
  <c r="G2" i="12"/>
  <c r="G41" i="12" s="1"/>
  <c r="E2" i="12"/>
  <c r="B41" i="12"/>
  <c r="M10" i="12"/>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2" i="5"/>
  <c r="F43" i="5"/>
  <c r="F3" i="5"/>
  <c r="F4" i="5"/>
  <c r="F5" i="5"/>
  <c r="H5" i="5" s="1"/>
  <c r="I5" i="5" s="1"/>
  <c r="F6" i="5"/>
  <c r="F7" i="5"/>
  <c r="F8" i="5"/>
  <c r="F9" i="5"/>
  <c r="F10" i="5"/>
  <c r="F11" i="5"/>
  <c r="F12" i="5"/>
  <c r="F13" i="5"/>
  <c r="F14" i="5"/>
  <c r="F15" i="5"/>
  <c r="F16" i="5"/>
  <c r="F17" i="5"/>
  <c r="F18" i="5"/>
  <c r="F19" i="5"/>
  <c r="F20" i="5"/>
  <c r="F21" i="5"/>
  <c r="F22" i="5"/>
  <c r="F23" i="5"/>
  <c r="F24" i="5"/>
  <c r="F25" i="5"/>
  <c r="F26" i="5"/>
  <c r="F27" i="5"/>
  <c r="F28" i="5"/>
  <c r="H28" i="5" s="1"/>
  <c r="I28" i="5" s="1"/>
  <c r="F29" i="5"/>
  <c r="F30" i="5"/>
  <c r="F31" i="5"/>
  <c r="F32" i="5"/>
  <c r="F33" i="5"/>
  <c r="F34" i="5"/>
  <c r="F35" i="5"/>
  <c r="F36" i="5"/>
  <c r="F37" i="5"/>
  <c r="F38" i="5"/>
  <c r="F39" i="5"/>
  <c r="F40" i="5"/>
  <c r="F41" i="5"/>
  <c r="F42" i="5"/>
  <c r="F2" i="5"/>
  <c r="D43" i="5"/>
  <c r="D3" i="5"/>
  <c r="E3" i="5" s="1"/>
  <c r="D4" i="5"/>
  <c r="E4" i="5" s="1"/>
  <c r="D5" i="5"/>
  <c r="E5" i="5" s="1"/>
  <c r="D6" i="5"/>
  <c r="E6" i="5" s="1"/>
  <c r="D7" i="5"/>
  <c r="E7" i="5" s="1"/>
  <c r="D8" i="5"/>
  <c r="E8" i="5" s="1"/>
  <c r="D9" i="5"/>
  <c r="E9" i="5" s="1"/>
  <c r="D10" i="5"/>
  <c r="E10" i="5" s="1"/>
  <c r="D11" i="5"/>
  <c r="E11" i="5" s="1"/>
  <c r="D12" i="5"/>
  <c r="E12" i="5" s="1"/>
  <c r="D13" i="5"/>
  <c r="E13" i="5" s="1"/>
  <c r="D14" i="5"/>
  <c r="E14" i="5" s="1"/>
  <c r="D15" i="5"/>
  <c r="E15" i="5" s="1"/>
  <c r="D16" i="5"/>
  <c r="E16" i="5" s="1"/>
  <c r="D17" i="5"/>
  <c r="E17" i="5" s="1"/>
  <c r="D18" i="5"/>
  <c r="E18" i="5" s="1"/>
  <c r="D19" i="5"/>
  <c r="E19" i="5" s="1"/>
  <c r="D20" i="5"/>
  <c r="E20" i="5" s="1"/>
  <c r="D21" i="5"/>
  <c r="E21" i="5" s="1"/>
  <c r="D22" i="5"/>
  <c r="E22" i="5" s="1"/>
  <c r="D23" i="5"/>
  <c r="E23" i="5" s="1"/>
  <c r="D24" i="5"/>
  <c r="E24" i="5" s="1"/>
  <c r="D25" i="5"/>
  <c r="E25" i="5" s="1"/>
  <c r="D26" i="5"/>
  <c r="E26" i="5" s="1"/>
  <c r="D27" i="5"/>
  <c r="E27" i="5" s="1"/>
  <c r="D28" i="5"/>
  <c r="E28" i="5" s="1"/>
  <c r="D29" i="5"/>
  <c r="E29" i="5" s="1"/>
  <c r="D30" i="5"/>
  <c r="E30" i="5" s="1"/>
  <c r="D31" i="5"/>
  <c r="E31" i="5" s="1"/>
  <c r="D32" i="5"/>
  <c r="E32" i="5" s="1"/>
  <c r="D33" i="5"/>
  <c r="E33" i="5" s="1"/>
  <c r="D34" i="5"/>
  <c r="E34" i="5" s="1"/>
  <c r="D35" i="5"/>
  <c r="E35" i="5" s="1"/>
  <c r="D36" i="5"/>
  <c r="E36" i="5" s="1"/>
  <c r="D37" i="5"/>
  <c r="E37" i="5" s="1"/>
  <c r="D38" i="5"/>
  <c r="E38" i="5" s="1"/>
  <c r="D39" i="5"/>
  <c r="E39" i="5" s="1"/>
  <c r="D40" i="5"/>
  <c r="E40" i="5" s="1"/>
  <c r="D41" i="5"/>
  <c r="E41" i="5" s="1"/>
  <c r="D42" i="5"/>
  <c r="E42" i="5" s="1"/>
  <c r="D2" i="5"/>
  <c r="E2" i="5" s="1"/>
  <c r="B43" i="5"/>
  <c r="B3" i="5"/>
  <c r="C3" i="5" s="1"/>
  <c r="B4" i="5"/>
  <c r="C4" i="5" s="1"/>
  <c r="B5" i="5"/>
  <c r="C5" i="5" s="1"/>
  <c r="B6" i="5"/>
  <c r="C6" i="5" s="1"/>
  <c r="B7" i="5"/>
  <c r="C7" i="5" s="1"/>
  <c r="B8" i="5"/>
  <c r="C8" i="5" s="1"/>
  <c r="B9" i="5"/>
  <c r="C9" i="5" s="1"/>
  <c r="B10" i="5"/>
  <c r="C10" i="5" s="1"/>
  <c r="B11" i="5"/>
  <c r="C11" i="5" s="1"/>
  <c r="B12" i="5"/>
  <c r="C12" i="5" s="1"/>
  <c r="B13" i="5"/>
  <c r="C13" i="5" s="1"/>
  <c r="B14" i="5"/>
  <c r="C14" i="5" s="1"/>
  <c r="B15" i="5"/>
  <c r="C15" i="5" s="1"/>
  <c r="B16" i="5"/>
  <c r="C16" i="5" s="1"/>
  <c r="B17" i="5"/>
  <c r="C17" i="5" s="1"/>
  <c r="B18" i="5"/>
  <c r="C18" i="5" s="1"/>
  <c r="B19" i="5"/>
  <c r="C19" i="5" s="1"/>
  <c r="B20" i="5"/>
  <c r="C20" i="5" s="1"/>
  <c r="B21" i="5"/>
  <c r="C21" i="5" s="1"/>
  <c r="B22" i="5"/>
  <c r="C22" i="5" s="1"/>
  <c r="B23" i="5"/>
  <c r="C23" i="5" s="1"/>
  <c r="B24" i="5"/>
  <c r="C24" i="5" s="1"/>
  <c r="B25" i="5"/>
  <c r="C25" i="5" s="1"/>
  <c r="B26" i="5"/>
  <c r="C26" i="5" s="1"/>
  <c r="B27" i="5"/>
  <c r="C27" i="5" s="1"/>
  <c r="B28" i="5"/>
  <c r="C28" i="5" s="1"/>
  <c r="B29" i="5"/>
  <c r="C29" i="5" s="1"/>
  <c r="B30" i="5"/>
  <c r="C30" i="5" s="1"/>
  <c r="B31" i="5"/>
  <c r="C31" i="5" s="1"/>
  <c r="B32" i="5"/>
  <c r="C32" i="5" s="1"/>
  <c r="B33" i="5"/>
  <c r="C33" i="5" s="1"/>
  <c r="B34" i="5"/>
  <c r="C34" i="5" s="1"/>
  <c r="B35" i="5"/>
  <c r="C35" i="5" s="1"/>
  <c r="B36" i="5"/>
  <c r="C36" i="5" s="1"/>
  <c r="B37" i="5"/>
  <c r="C37" i="5" s="1"/>
  <c r="B38" i="5"/>
  <c r="C38" i="5" s="1"/>
  <c r="B39" i="5"/>
  <c r="C39" i="5" s="1"/>
  <c r="B40" i="5"/>
  <c r="C40" i="5" s="1"/>
  <c r="B41" i="5"/>
  <c r="C41" i="5" s="1"/>
  <c r="B42" i="5"/>
  <c r="C42" i="5" s="1"/>
  <c r="B2" i="5"/>
  <c r="C2" i="5" s="1"/>
  <c r="L33" i="5"/>
  <c r="C3" i="6" s="1"/>
  <c r="L34" i="5"/>
  <c r="C40" i="6" s="1"/>
  <c r="L35" i="5"/>
  <c r="C24" i="6" s="1"/>
  <c r="L37" i="5"/>
  <c r="C15" i="6" s="1"/>
  <c r="L38" i="5"/>
  <c r="C41" i="6" s="1"/>
  <c r="L39" i="5"/>
  <c r="C32" i="6" s="1"/>
  <c r="L41" i="5"/>
  <c r="C27" i="6" s="1"/>
  <c r="L42" i="5"/>
  <c r="C21" i="6" s="1"/>
  <c r="L28" i="5"/>
  <c r="C29" i="6" s="1"/>
  <c r="L25" i="5"/>
  <c r="C17" i="6" s="1"/>
  <c r="L21" i="5"/>
  <c r="C22" i="6" s="1"/>
  <c r="L12" i="5"/>
  <c r="C16" i="6" s="1"/>
  <c r="L6" i="5"/>
  <c r="C4" i="6" s="1"/>
  <c r="F7" i="4"/>
  <c r="D19" i="6" s="1"/>
  <c r="F8" i="4"/>
  <c r="D7" i="6" s="1"/>
  <c r="F9" i="4"/>
  <c r="D2" i="6" s="1"/>
  <c r="F10" i="4"/>
  <c r="D4" i="6" s="1"/>
  <c r="F11" i="4"/>
  <c r="D5" i="6" s="1"/>
  <c r="F12" i="4"/>
  <c r="D33" i="6" s="1"/>
  <c r="F13" i="4"/>
  <c r="D23" i="6" s="1"/>
  <c r="F14" i="4"/>
  <c r="D10" i="6" s="1"/>
  <c r="F15" i="4"/>
  <c r="F16" i="4"/>
  <c r="D16" i="6" s="1"/>
  <c r="F17" i="4"/>
  <c r="D35" i="6" s="1"/>
  <c r="F18" i="4"/>
  <c r="D12" i="6" s="1"/>
  <c r="F19" i="4"/>
  <c r="D13" i="6" s="1"/>
  <c r="F20" i="4"/>
  <c r="D20" i="6" s="1"/>
  <c r="F21" i="4"/>
  <c r="D28" i="6" s="1"/>
  <c r="F22" i="4"/>
  <c r="D9" i="6" s="1"/>
  <c r="F23" i="4"/>
  <c r="D30" i="6" s="1"/>
  <c r="F24" i="4"/>
  <c r="D36" i="6" s="1"/>
  <c r="F25" i="4"/>
  <c r="D22" i="6" s="1"/>
  <c r="F26" i="4"/>
  <c r="D6" i="6" s="1"/>
  <c r="F27" i="4"/>
  <c r="D8" i="6" s="1"/>
  <c r="F28" i="4"/>
  <c r="D18" i="6" s="1"/>
  <c r="F29" i="4"/>
  <c r="D17" i="6" s="1"/>
  <c r="F30" i="4"/>
  <c r="D25" i="6" s="1"/>
  <c r="F31" i="4"/>
  <c r="D11" i="6" s="1"/>
  <c r="F32" i="4"/>
  <c r="D29" i="6" s="1"/>
  <c r="F33" i="4"/>
  <c r="D39" i="6" s="1"/>
  <c r="F34" i="4"/>
  <c r="D31" i="6" s="1"/>
  <c r="F35" i="4"/>
  <c r="D26" i="6" s="1"/>
  <c r="F36" i="4"/>
  <c r="D38" i="6" s="1"/>
  <c r="F37" i="4"/>
  <c r="D3" i="6" s="1"/>
  <c r="F38" i="4"/>
  <c r="D40" i="6" s="1"/>
  <c r="F39" i="4"/>
  <c r="D24" i="6" s="1"/>
  <c r="F40" i="4"/>
  <c r="D37" i="6" s="1"/>
  <c r="F41" i="4"/>
  <c r="D15" i="6" s="1"/>
  <c r="F42" i="4"/>
  <c r="D41" i="6" s="1"/>
  <c r="F43" i="4"/>
  <c r="D32" i="6" s="1"/>
  <c r="F44" i="4"/>
  <c r="D14" i="6" s="1"/>
  <c r="F45" i="4"/>
  <c r="D27" i="6" s="1"/>
  <c r="F46" i="4"/>
  <c r="D21" i="6" s="1"/>
  <c r="F6" i="4"/>
  <c r="D34" i="6" s="1"/>
  <c r="H27" i="5" l="1"/>
  <c r="I27" i="5" s="1"/>
  <c r="J27" i="5" s="1"/>
  <c r="R33" i="12"/>
  <c r="Q33" i="12"/>
  <c r="R6" i="12"/>
  <c r="Q6" i="12"/>
  <c r="R35" i="12"/>
  <c r="Q35" i="12"/>
  <c r="Q5" i="12"/>
  <c r="R5" i="12"/>
  <c r="R37" i="12"/>
  <c r="Q37" i="12"/>
  <c r="Q29" i="12"/>
  <c r="R29" i="12"/>
  <c r="R26" i="12"/>
  <c r="Q26" i="12"/>
  <c r="R2" i="12"/>
  <c r="Q2" i="12"/>
  <c r="Q28" i="12"/>
  <c r="R28" i="12"/>
  <c r="O10" i="12"/>
  <c r="C16" i="13"/>
  <c r="Q20" i="12"/>
  <c r="R20" i="12"/>
  <c r="K22" i="12"/>
  <c r="L22" i="12" s="1"/>
  <c r="M22" i="12" s="1"/>
  <c r="K14" i="12"/>
  <c r="L14" i="12" s="1"/>
  <c r="M14" i="12" s="1"/>
  <c r="K34" i="12"/>
  <c r="L34" i="12" s="1"/>
  <c r="M34" i="12" s="1"/>
  <c r="K38" i="12"/>
  <c r="L38" i="12" s="1"/>
  <c r="M38" i="12" s="1"/>
  <c r="K4" i="12"/>
  <c r="L4" i="12" s="1"/>
  <c r="M4" i="12" s="1"/>
  <c r="K30" i="12"/>
  <c r="L30" i="12" s="1"/>
  <c r="M30" i="12" s="1"/>
  <c r="K7" i="12"/>
  <c r="L7" i="12" s="1"/>
  <c r="M7" i="12" s="1"/>
  <c r="K11" i="12"/>
  <c r="L11" i="12" s="1"/>
  <c r="M11" i="12" s="1"/>
  <c r="K31" i="12"/>
  <c r="M31" i="12" s="1"/>
  <c r="K12" i="12"/>
  <c r="L12" i="12" s="1"/>
  <c r="M12" i="12" s="1"/>
  <c r="K3" i="12"/>
  <c r="L3" i="12" s="1"/>
  <c r="K13" i="12"/>
  <c r="L13" i="12" s="1"/>
  <c r="M13" i="12" s="1"/>
  <c r="K17" i="12"/>
  <c r="L17" i="12" s="1"/>
  <c r="M17" i="12" s="1"/>
  <c r="K25" i="12"/>
  <c r="L25" i="12" s="1"/>
  <c r="M25" i="12" s="1"/>
  <c r="K9" i="12"/>
  <c r="L9" i="12" s="1"/>
  <c r="M9" i="12" s="1"/>
  <c r="H21" i="5"/>
  <c r="I21" i="5" s="1"/>
  <c r="J21" i="5" s="1"/>
  <c r="M21" i="5" s="1"/>
  <c r="J19" i="12" s="1" a="1"/>
  <c r="J19" i="12" s="1"/>
  <c r="K19" i="12" s="1"/>
  <c r="M32" i="12"/>
  <c r="M36" i="12"/>
  <c r="M19" i="12"/>
  <c r="H2" i="12"/>
  <c r="E41" i="12"/>
  <c r="H2" i="5"/>
  <c r="I2" i="5" s="1"/>
  <c r="H35" i="5"/>
  <c r="I35" i="5" s="1"/>
  <c r="J35" i="5" s="1"/>
  <c r="M35" i="5" s="1"/>
  <c r="J33" i="12" s="1" a="1"/>
  <c r="J33" i="12" s="1"/>
  <c r="K33" i="12" s="1"/>
  <c r="H19" i="5"/>
  <c r="I19" i="5" s="1"/>
  <c r="J19" i="5" s="1"/>
  <c r="H11" i="5"/>
  <c r="I11" i="5" s="1"/>
  <c r="J11" i="5" s="1"/>
  <c r="H3" i="5"/>
  <c r="I3" i="5" s="1"/>
  <c r="J3" i="5" s="1"/>
  <c r="H36" i="5"/>
  <c r="I36" i="5" s="1"/>
  <c r="J36" i="5" s="1"/>
  <c r="H4" i="5"/>
  <c r="I4" i="5" s="1"/>
  <c r="J4" i="5" s="1"/>
  <c r="H13" i="5"/>
  <c r="I13" i="5" s="1"/>
  <c r="J13" i="5" s="1"/>
  <c r="H29" i="5"/>
  <c r="I29" i="5" s="1"/>
  <c r="J29" i="5" s="1"/>
  <c r="H42" i="5"/>
  <c r="I42" i="5" s="1"/>
  <c r="J42" i="5" s="1"/>
  <c r="M42" i="5" s="1"/>
  <c r="J40" i="12" s="1" a="1"/>
  <c r="J40" i="12" s="1"/>
  <c r="K40" i="12" s="1"/>
  <c r="L40" i="12" s="1"/>
  <c r="M40" i="12" s="1"/>
  <c r="H26" i="5"/>
  <c r="I26" i="5" s="1"/>
  <c r="J26" i="5" s="1"/>
  <c r="H30" i="5"/>
  <c r="I30" i="5" s="1"/>
  <c r="J30" i="5" s="1"/>
  <c r="H22" i="5"/>
  <c r="I22" i="5" s="1"/>
  <c r="J22" i="5" s="1"/>
  <c r="H14" i="5"/>
  <c r="I14" i="5" s="1"/>
  <c r="J14" i="5" s="1"/>
  <c r="H6" i="5"/>
  <c r="I6" i="5" s="1"/>
  <c r="J6" i="5" s="1"/>
  <c r="M6" i="5" s="1"/>
  <c r="J6" i="12" s="1" a="1"/>
  <c r="J6" i="12" s="1"/>
  <c r="K6" i="12" s="1"/>
  <c r="H39" i="5"/>
  <c r="I39" i="5" s="1"/>
  <c r="J39" i="5" s="1"/>
  <c r="M39" i="5" s="1"/>
  <c r="J37" i="12" s="1" a="1"/>
  <c r="J37" i="12" s="1"/>
  <c r="K37" i="12" s="1"/>
  <c r="H31" i="5"/>
  <c r="I31" i="5" s="1"/>
  <c r="J31" i="5" s="1"/>
  <c r="H23" i="5"/>
  <c r="I23" i="5" s="1"/>
  <c r="J23" i="5" s="1"/>
  <c r="H15" i="5"/>
  <c r="I15" i="5" s="1"/>
  <c r="J15" i="5" s="1"/>
  <c r="H7" i="5"/>
  <c r="I7" i="5" s="1"/>
  <c r="J7" i="5" s="1"/>
  <c r="H10" i="5"/>
  <c r="I10" i="5" s="1"/>
  <c r="J10" i="5" s="1"/>
  <c r="G43" i="5"/>
  <c r="H41" i="5"/>
  <c r="I41" i="5" s="1"/>
  <c r="J41" i="5" s="1"/>
  <c r="M41" i="5" s="1"/>
  <c r="J39" i="12" s="1" a="1"/>
  <c r="J39" i="12" s="1"/>
  <c r="K39" i="12" s="1"/>
  <c r="L39" i="12" s="1"/>
  <c r="M39" i="12" s="1"/>
  <c r="H33" i="5"/>
  <c r="I33" i="5" s="1"/>
  <c r="J33" i="5" s="1"/>
  <c r="M33" i="5" s="1"/>
  <c r="J31" i="12" s="1" a="1"/>
  <c r="J31" i="12" s="1"/>
  <c r="H25" i="5"/>
  <c r="I25" i="5" s="1"/>
  <c r="J25" i="5" s="1"/>
  <c r="M25" i="5" s="1"/>
  <c r="J23" i="12" s="1" a="1"/>
  <c r="J23" i="12" s="1"/>
  <c r="K23" i="12" s="1"/>
  <c r="L23" i="12" s="1"/>
  <c r="M23" i="12" s="1"/>
  <c r="H17" i="5"/>
  <c r="I17" i="5" s="1"/>
  <c r="J17" i="5" s="1"/>
  <c r="H9" i="5"/>
  <c r="I9" i="5" s="1"/>
  <c r="J9" i="5" s="1"/>
  <c r="H20" i="5"/>
  <c r="I20" i="5" s="1"/>
  <c r="J20" i="5" s="1"/>
  <c r="H12" i="5"/>
  <c r="I12" i="5" s="1"/>
  <c r="J12" i="5" s="1"/>
  <c r="M12" i="5" s="1"/>
  <c r="J10" i="12" s="1" a="1"/>
  <c r="J10" i="12" s="1"/>
  <c r="K10" i="12" s="1"/>
  <c r="H38" i="5"/>
  <c r="I38" i="5" s="1"/>
  <c r="J38" i="5" s="1"/>
  <c r="M38" i="5" s="1"/>
  <c r="J36" i="12" s="1" a="1"/>
  <c r="J36" i="12" s="1"/>
  <c r="K36" i="12" s="1"/>
  <c r="H40" i="5"/>
  <c r="I40" i="5" s="1"/>
  <c r="J40" i="5" s="1"/>
  <c r="H32" i="5"/>
  <c r="I32" i="5" s="1"/>
  <c r="J32" i="5" s="1"/>
  <c r="H24" i="5"/>
  <c r="I24" i="5" s="1"/>
  <c r="J24" i="5" s="1"/>
  <c r="H16" i="5"/>
  <c r="I16" i="5" s="1"/>
  <c r="J16" i="5" s="1"/>
  <c r="H8" i="5"/>
  <c r="I8" i="5" s="1"/>
  <c r="J8" i="5" s="1"/>
  <c r="H34" i="5"/>
  <c r="I34" i="5" s="1"/>
  <c r="J34" i="5" s="1"/>
  <c r="M34" i="5" s="1"/>
  <c r="J32" i="12" s="1" a="1"/>
  <c r="J32" i="12" s="1"/>
  <c r="K32" i="12" s="1"/>
  <c r="H18" i="5"/>
  <c r="I18" i="5" s="1"/>
  <c r="J18" i="5" s="1"/>
  <c r="H37" i="5"/>
  <c r="I37" i="5" s="1"/>
  <c r="J37" i="5" s="1"/>
  <c r="M37" i="5" s="1"/>
  <c r="J35" i="12" s="1" a="1"/>
  <c r="J35" i="12" s="1"/>
  <c r="K35" i="12" s="1"/>
  <c r="J5" i="5"/>
  <c r="C43" i="5"/>
  <c r="J28" i="5"/>
  <c r="M28" i="5" s="1"/>
  <c r="J26" i="12" s="1" a="1"/>
  <c r="J26" i="12" s="1"/>
  <c r="K26" i="12" s="1"/>
  <c r="E43" i="5"/>
  <c r="F47" i="4"/>
  <c r="O25" i="12" l="1"/>
  <c r="C11" i="13"/>
  <c r="C28" i="13"/>
  <c r="C36" i="13"/>
  <c r="O34" i="12"/>
  <c r="O14" i="12"/>
  <c r="C20" i="13"/>
  <c r="O40" i="12"/>
  <c r="C21" i="13"/>
  <c r="C12" i="13"/>
  <c r="O12" i="12"/>
  <c r="Q10" i="12"/>
  <c r="R10" i="12"/>
  <c r="O30" i="12"/>
  <c r="C37" i="13"/>
  <c r="C7" i="13"/>
  <c r="O4" i="12"/>
  <c r="O9" i="12"/>
  <c r="C10" i="13"/>
  <c r="C30" i="13"/>
  <c r="O17" i="12"/>
  <c r="O11" i="12"/>
  <c r="C34" i="13"/>
  <c r="O23" i="12"/>
  <c r="C17" i="13"/>
  <c r="O31" i="12"/>
  <c r="C3" i="13"/>
  <c r="O36" i="12"/>
  <c r="C40" i="13"/>
  <c r="C27" i="13"/>
  <c r="O39" i="12"/>
  <c r="C18" i="13"/>
  <c r="O22" i="12"/>
  <c r="O7" i="12"/>
  <c r="C5" i="13"/>
  <c r="O32" i="12"/>
  <c r="C39" i="13"/>
  <c r="C14" i="13"/>
  <c r="O38" i="12"/>
  <c r="O19" i="12"/>
  <c r="C22" i="13"/>
  <c r="C35" i="13"/>
  <c r="O18" i="12"/>
  <c r="C13" i="13"/>
  <c r="O13" i="12"/>
  <c r="M3" i="12"/>
  <c r="L18" i="5"/>
  <c r="C9" i="6" s="1"/>
  <c r="M18" i="5"/>
  <c r="J16" i="12" s="1" a="1"/>
  <c r="J16" i="12" s="1"/>
  <c r="K16" i="12" s="1"/>
  <c r="L16" i="12" s="1"/>
  <c r="M16" i="12" s="1"/>
  <c r="C9" i="13" s="1"/>
  <c r="K8" i="5"/>
  <c r="L8" i="5" s="1"/>
  <c r="C33" i="6" s="1"/>
  <c r="L22" i="5"/>
  <c r="C6" i="6" s="1"/>
  <c r="M22" i="5"/>
  <c r="J20" i="12" s="1" a="1"/>
  <c r="J20" i="12" s="1"/>
  <c r="K20" i="12" s="1"/>
  <c r="K32" i="5"/>
  <c r="L32" i="5" s="1"/>
  <c r="K40" i="5"/>
  <c r="L40" i="5" s="1"/>
  <c r="L29" i="5"/>
  <c r="C39" i="6" s="1"/>
  <c r="M29" i="5"/>
  <c r="J27" i="12" s="1" a="1"/>
  <c r="J27" i="12" s="1"/>
  <c r="K27" i="12" s="1"/>
  <c r="L27" i="12" s="1"/>
  <c r="M27" i="12" s="1"/>
  <c r="O27" i="12" s="1"/>
  <c r="L20" i="5"/>
  <c r="C36" i="6" s="1"/>
  <c r="M20" i="5"/>
  <c r="J18" i="12" s="1" a="1"/>
  <c r="J18" i="12" s="1"/>
  <c r="K18" i="12" s="1"/>
  <c r="M18" i="12" s="1"/>
  <c r="L9" i="5"/>
  <c r="C23" i="6" s="1"/>
  <c r="M9" i="5"/>
  <c r="J8" i="12" s="1" a="1"/>
  <c r="J8" i="12" s="1"/>
  <c r="K8" i="12" s="1"/>
  <c r="M8" i="12" s="1"/>
  <c r="O8" i="12" s="1"/>
  <c r="K36" i="5"/>
  <c r="L36" i="5" s="1"/>
  <c r="K27" i="5"/>
  <c r="L27" i="5" s="1"/>
  <c r="K3" i="5"/>
  <c r="L5" i="5"/>
  <c r="C2" i="6" s="1"/>
  <c r="M5" i="5"/>
  <c r="J5" i="12" s="1" a="1"/>
  <c r="J5" i="12" s="1"/>
  <c r="K5" i="12" s="1"/>
  <c r="L23" i="5"/>
  <c r="C8" i="6" s="1"/>
  <c r="M23" i="5"/>
  <c r="J21" i="12" s="1" a="1"/>
  <c r="J21" i="12" s="1"/>
  <c r="K21" i="12" s="1"/>
  <c r="L21" i="12" s="1"/>
  <c r="M21" i="12" s="1"/>
  <c r="O21" i="12" s="1"/>
  <c r="L31" i="5"/>
  <c r="C26" i="6" s="1"/>
  <c r="M31" i="5"/>
  <c r="J29" i="12" s="1" a="1"/>
  <c r="J29" i="12" s="1"/>
  <c r="K29" i="12" s="1"/>
  <c r="L30" i="5"/>
  <c r="C31" i="6" s="1"/>
  <c r="M30" i="5"/>
  <c r="J28" i="12" s="1" a="1"/>
  <c r="J28" i="12" s="1"/>
  <c r="K28" i="12" s="1"/>
  <c r="L26" i="5"/>
  <c r="C25" i="6" s="1"/>
  <c r="M26" i="5"/>
  <c r="J24" i="12" s="1" a="1"/>
  <c r="J24" i="12" s="1"/>
  <c r="K24" i="12" s="1"/>
  <c r="L24" i="12" s="1"/>
  <c r="M24" i="12" s="1"/>
  <c r="O24" i="12" s="1"/>
  <c r="L17" i="5"/>
  <c r="C28" i="6" s="1"/>
  <c r="M17" i="5"/>
  <c r="J15" i="12" s="1" a="1"/>
  <c r="J15" i="12" s="1"/>
  <c r="K15" i="12" s="1"/>
  <c r="L15" i="12" s="1"/>
  <c r="M15" i="12" s="1"/>
  <c r="O15" i="12" s="1"/>
  <c r="H41" i="12"/>
  <c r="K11" i="5"/>
  <c r="L11" i="5" s="1"/>
  <c r="K24" i="5"/>
  <c r="L24" i="5" s="1"/>
  <c r="K13" i="5"/>
  <c r="L13" i="5" s="1"/>
  <c r="K19" i="5"/>
  <c r="L19" i="5" s="1"/>
  <c r="K14" i="5"/>
  <c r="L14" i="5" s="1"/>
  <c r="K10" i="5"/>
  <c r="L10" i="5" s="1"/>
  <c r="K7" i="5"/>
  <c r="L7" i="5" s="1"/>
  <c r="K15" i="5"/>
  <c r="L15" i="5" s="1"/>
  <c r="K4" i="5"/>
  <c r="L4" i="5" s="1"/>
  <c r="K16" i="5"/>
  <c r="L16" i="5" s="1"/>
  <c r="H43" i="5"/>
  <c r="I43" i="5"/>
  <c r="J2" i="5"/>
  <c r="M2" i="5" s="1"/>
  <c r="J2" i="12" s="1" a="1"/>
  <c r="J2" i="12" s="1"/>
  <c r="C23" i="13" l="1"/>
  <c r="O16" i="12"/>
  <c r="R16" i="12" s="1"/>
  <c r="C38" i="13"/>
  <c r="K47" i="12"/>
  <c r="K48" i="12"/>
  <c r="K50" i="12" s="1"/>
  <c r="C8" i="13"/>
  <c r="C10" i="6"/>
  <c r="N9" i="12"/>
  <c r="C30" i="6"/>
  <c r="N17" i="12"/>
  <c r="R17" i="12" s="1"/>
  <c r="C35" i="6"/>
  <c r="N11" i="12"/>
  <c r="Q11" i="12" s="1"/>
  <c r="C18" i="6"/>
  <c r="N22" i="12"/>
  <c r="R22" i="12" s="1"/>
  <c r="C11" i="6"/>
  <c r="N25" i="12"/>
  <c r="R25" i="12" s="1"/>
  <c r="C12" i="6"/>
  <c r="N12" i="12"/>
  <c r="R12" i="12" s="1"/>
  <c r="C37" i="6"/>
  <c r="N34" i="12"/>
  <c r="R34" i="12" s="1"/>
  <c r="L41" i="12"/>
  <c r="K46" i="12" s="1"/>
  <c r="K44" i="12"/>
  <c r="K45" i="12"/>
  <c r="C25" i="13"/>
  <c r="C5" i="6"/>
  <c r="N7" i="12"/>
  <c r="Q7" i="12" s="1"/>
  <c r="C14" i="6"/>
  <c r="N38" i="12"/>
  <c r="R38" i="12" s="1"/>
  <c r="J41" i="12"/>
  <c r="C38" i="6"/>
  <c r="N30" i="12"/>
  <c r="R30" i="12" s="1"/>
  <c r="C20" i="6"/>
  <c r="N14" i="12"/>
  <c r="Q14" i="12" s="1"/>
  <c r="C7" i="6"/>
  <c r="N4" i="12"/>
  <c r="R4" i="12" s="1"/>
  <c r="C13" i="6"/>
  <c r="N13" i="12"/>
  <c r="R13" i="12" s="1"/>
  <c r="K2" i="12"/>
  <c r="K41" i="12" s="1"/>
  <c r="R7" i="12"/>
  <c r="Q8" i="12"/>
  <c r="R8" i="12"/>
  <c r="Q36" i="12"/>
  <c r="R36" i="12"/>
  <c r="Q16" i="12"/>
  <c r="Q31" i="12"/>
  <c r="R31" i="12"/>
  <c r="R24" i="12"/>
  <c r="Q24" i="12"/>
  <c r="R19" i="12"/>
  <c r="Q19" i="12"/>
  <c r="Q27" i="12"/>
  <c r="R27" i="12"/>
  <c r="Q23" i="12"/>
  <c r="R23" i="12"/>
  <c r="R18" i="12"/>
  <c r="Q18" i="12"/>
  <c r="Q39" i="12"/>
  <c r="R39" i="12"/>
  <c r="R40" i="12"/>
  <c r="Q40" i="12"/>
  <c r="R15" i="12"/>
  <c r="Q15" i="12"/>
  <c r="M41" i="12"/>
  <c r="O3" i="12"/>
  <c r="C19" i="13"/>
  <c r="Q9" i="12"/>
  <c r="R9" i="12"/>
  <c r="R32" i="12"/>
  <c r="Q32" i="12"/>
  <c r="Q21" i="12"/>
  <c r="R21" i="12"/>
  <c r="M43" i="5"/>
  <c r="L3" i="5"/>
  <c r="K45" i="5"/>
  <c r="K48" i="5"/>
  <c r="L48" i="5" s="1"/>
  <c r="K49" i="5"/>
  <c r="L49" i="5" s="1"/>
  <c r="K46" i="5"/>
  <c r="J43" i="5"/>
  <c r="K43" i="5"/>
  <c r="K47" i="5" s="1"/>
  <c r="L2" i="5"/>
  <c r="R14" i="12" l="1"/>
  <c r="Q17" i="12"/>
  <c r="Q38" i="12"/>
  <c r="R11" i="12"/>
  <c r="Q22" i="12"/>
  <c r="Q13" i="12"/>
  <c r="K49" i="12"/>
  <c r="Q25" i="12"/>
  <c r="Q30" i="12"/>
  <c r="Q12" i="12"/>
  <c r="C19" i="6"/>
  <c r="N3" i="12"/>
  <c r="N41" i="12" s="1"/>
  <c r="Q34" i="12"/>
  <c r="Q4" i="12"/>
  <c r="O41" i="12"/>
  <c r="L43" i="5"/>
  <c r="C34" i="6"/>
  <c r="Q3" i="12" l="1"/>
  <c r="R3" i="12"/>
  <c r="R41" i="12" s="1"/>
  <c r="Q41"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<sst xmlns="http://schemas.openxmlformats.org/spreadsheetml/2006/main" count="12652" uniqueCount="753">
  <si>
    <t>ENTREGA PARCIAL CORTE 1</t>
  </si>
  <si>
    <t>Tarea Clase 4 🚀 Reto - El Organizador de Precios (Bono +0.5)</t>
  </si>
  <si>
    <t>Tarea Clase 3 🚀 Reto Opcional - Sistema de Login Seguro (Bono +0.5)</t>
  </si>
  <si>
    <t>Asistencia Clase 4</t>
  </si>
  <si>
    <t>🚀 ENTREGA TALLER CORTE 1</t>
  </si>
  <si>
    <t>TAREA - Calculadora de Divisas (COP/USD/EUR) – Grupos de 3</t>
  </si>
  <si>
    <t>Asistencia Clase 3</t>
  </si>
  <si>
    <t>Asistencia Clase 2</t>
  </si>
  <si>
    <t>Tarea 1: Instalación y Ensayo</t>
  </si>
  <si>
    <t>Asistencia 1: Compromiso y Lógica</t>
  </si>
  <si>
    <t>5925 PERIODO 2026-1 PROGRAMACI N Y DECISIONES - Datos de asignación</t>
  </si>
  <si>
    <t>Nombre completo</t>
  </si>
  <si>
    <t>Nombre</t>
  </si>
  <si>
    <t>Apellidos</t>
  </si>
  <si>
    <t>Dirección de correo electrónico</t>
  </si>
  <si>
    <t>Tareas</t>
  </si>
  <si>
    <t>Fecha de vencimiento</t>
  </si>
  <si>
    <t>Etiqueta</t>
  </si>
  <si>
    <t>Estado</t>
  </si>
  <si>
    <t>Comentarios</t>
  </si>
  <si>
    <t>Puntos</t>
  </si>
  <si>
    <t>Puntos máximos</t>
  </si>
  <si>
    <t>Porcentaje</t>
  </si>
  <si>
    <t/>
  </si>
  <si>
    <t>Paula Andrea Arciniegas Cardenas</t>
  </si>
  <si>
    <t>Paula Andrea</t>
  </si>
  <si>
    <t>Arciniegas Cardenas</t>
  </si>
  <si>
    <t>paulaarcca@unisabana.edu.co</t>
  </si>
  <si>
    <t>PARCIAL CORTE 1</t>
  </si>
  <si>
    <t>Devuelta</t>
  </si>
  <si>
    <t>Retroalimentación de la Entrega: Examen Parcial 1 - Motor
Lógico "FinVes"  Estudiante: ARCINIEGAS CARDENAS, PAULA ANDREA Calificación Final: 5.0 / 5.0  Comentarios del Profesor: Paula, excelente trabajo. Has entregado un examen parcial
muy sólido y estructurado. Demostraste un dominio claro de los fundamentos de
Python y cumpliste a cabalidad con los requerimientos lógicos del caso de
negocio "FinVes".  Puntos a destacar (Lo excelente): 
 Autogestión
     y Lógica: Tu pseudocódigo es uno de los más ordenados que he revisado.
     El sistema de numeración (1.0, 1.1, 2.0...) refleja una mente analítica y
     estructurada. Lo más importante: el código en Python es un espejo exacto
     de tu planeación. 
 Estructuras
     de Datos: Declaraste e implementaste a la perfección el Diccionario
     para el perfil, la Tupla para los activos fijos y la Lista para el
     portafolio dinámico. 
 Procesamiento
     Matemático: El cálculo del ingreso pasivo mensual (inv["monto"]
     * (inv["tasa"] / 100)) / 12 y el acumulador dentro del ciclo for
     están impecables. Entendiste perfectamente la lógica financiera detrás del
     algoritmo.  Oportunidades de Mejora (Sanity Check y UX): 
 Manejo
     de Errores (El Bono perdido): El parcial ofrecía hasta +1.0 unidad
     extra por implementar bloques try-except. En tu código, si el usuario
     digita la letra "A" cuando pides la opción del menú (int(input(...)))
     o el monto a invertir, el programa colapsará inmediatamente con un ValueError.
     En el mundo real, los usuarios cometen errores de digitación; siempre
     debemos blindar nuestras aplicaciones. 
 Experiencia
     de Usuario (UX): Aunque calculaste el ingreso_pasivo_total
     correctamente y mostraste el porcentaje de avance con formato :,2f,
     omitiste imprimirle al usuario cuánto dinero exacto está generando
     mensualmente. En una App financiera, ver el monto en pesos es el mayor
     incentivo para el cliente.  Motivación: 
Tienes una excelente capacidad de abstracción y lógica de programación. Posees
las bases técnicas necesarias para modelar problemas complejos del mundo de los
negocios. Sigue cultivando este nivel de orden y disciplina en los próximos
cortes. ¡Felicitaciones por este gran resultado!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con separadores de miles, código
  documentado y mensajes claros. 
  0.5 
  0.5 
  Bono de Seguridad 
  Implementación de try-except para evitar cierres abruptos
  por errores de formato (ValueError). 
  + 1.0 
  + 0.0 
  TOTAL 
  5.0 
  5.0 
 Diego Mauricio Zuluaga Rodríguez 
Profesor - Departamento de Economía 
Universidad de La Sabana</t>
  </si>
  <si>
    <t>Sofia Giraldo Pico</t>
  </si>
  <si>
    <t>Sofia</t>
  </si>
  <si>
    <t>Giraldo Pico</t>
  </si>
  <si>
    <t>sofiagipi@unisabana.edu.co</t>
  </si>
  <si>
    <t>Retroalimentación de la Entrega: Examen Parcial 1 - Motor
Lógico "FinVes"  Estudiante: Sofia Giraldo Pico Calificación Final: 5.0 / 5.0  Comentarios del Profesor: Tu desempeño en este primer examen parcial ha sido
excelente. Has logrado plasmar la lógica de negocio solicitada en un código
limpio, estructurado y completamente funcional, demostrando que los conceptos
fundamentales del primer corte están consolidados.  Puntos a destacar (Lo excelente): 
 Autogestión
     Evidenciada: El pseudocódigo entregado en la celda de Markdown es
     claro, secuencial y refleja exactamente la estructura que luego
     programaste en Python. Este paso de planeación es vital y lo has ejecutado
     a la perfección. 
 Manejo
     de Estructuras de Datos: Utilizaste el diccionario (perfil_usuario),
     la tupla (activos_disponibles) y la lista (portafolio) de manera precisa.
     La forma en que inicializaste el diccionario vacío y luego le asignaste
     las llaves dinámicamente con los input() demuestra una comprensión
     profunda de la mutabilidad de esta estructura. 
 Procesamiento
     y Matemáticas: El ciclo for para recorrer el portafolio y la
     aplicación de las fórmulas financieras (cálculo del ingreso pasivo mensual
     y el porcentaje de avance) son exactos. No hay errores de casting
     ni de lógica aritmética. 
 Presentación
     (UX): El uso de f-strings con el formato :,.2f para mostrar el dinero
     y los porcentajes le da un toque muy profesional a la salida en consola.  Oportunidad de Mejora (El Siguiente Nivel): 
El código cumple con el 100% de los requerimientos base. Para alcanzar el nivel
de excelencia absoluta (y obtener el bono de +1.0), faltó implementar el bloque
de seguridad try-except al momento de solicitar los datos numéricos (monto y
tasa). En el mundo real, los usuarios cometen errores de digitación, y un
sistema financiero no puede permitirse colapsar (ValueError) por un texto
ingresado accidentalmente. Te invito a incorporar esta validación en tus
futuros proyectos.  Motivación: 
Tienes una base técnica muy sólida y una capacidad analítica destacable. Si
mantienes este nivel de organización y rigor en tu código, los retos de
análisis de datos que vienen en los próximos cortes serán muy fáciles de
dominar. ¡Felicitaciones por este gran resultado!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if/else. 
  1.0 
  1.0 
  4. Procesamiento 
  Recorrido correcto con for, cálculos matemáticos precisos
  de ingresos pasivos y porcentajes. 
  1.0 
  1.0 
  5. Presentación (UX) 
  Uso de f-strings con separadores de miles, código
  documentado y mensajes claros. 
  0.5 
  0.5 
  Bono de Seguridad 
  No se implementó el bloque try-except para validación de
  errores. 
  + 1.0 
  + 0.0 
  TOTAL 
  5.0 
  5.0 
 Diego Mauricio Zuluaga Rodríguez 
Profesor - Departamento de Economía 
Universidad de La Sabana</t>
  </si>
  <si>
    <t>Valery Linares Hernandez</t>
  </si>
  <si>
    <t>Valery</t>
  </si>
  <si>
    <t>Linares Hernandez</t>
  </si>
  <si>
    <t>valerylihe@unisabana.edu.co</t>
  </si>
  <si>
    <t>Retroalimentación de la Entrega: Examen Parcial 1 - Motor
Lógico "FinVes"  Estudiante: Linares Hernandez, Valery Calificación Final: 5.0 / 5.0 (+1.0 Unidad de Bono por excelencia técnica)  Comentarios del Profesor: Este es un examen de nivel profesional. No solo
has cumplido con todos los requerimientos técnicos, sino que has demostrado una
comprensión profunda de la lógica de programación y la autogestión, que son los
pilares de este curso.  Puntos a destacar (Lo excelente): 
 Autogestión
     y Diseño (Sanity Check): Tu pseudocódigo en Markdown es un ejemplo
     perfecto de cómo se debe planificar un proyecto. Es detallado, sigue una
     secuencia lógica impecable y, lo más importante, tu código en Python es un
     reflejo exacto de esa planeación. Esto demuestra que dominas la
     metodología de "pensar antes de programar". 
 Robustez
     y Seguridad (Bono +1.0): Implementaste bloques try-except para manejar
     posibles errores de formato (ValueError) del usuario. Esta es la
     mentalidad de un desarrollador senior: anticiparse a los problemas y crear
     un programa "a prueba de balas". Por esta iniciativa, te has
     ganado la unidad de bono completa. 
 Lógica
     Avanzada: No solo cumpliste con lo solicitado, sino que añadiste una
     capa de validación extra (if activo_elegido not in activos_disponibles:).
     Este pequeño detalle demuestra que piensas en la integridad de los datos y
     en la experiencia del usuario, evitando que se registren inversiones en
     activos no autorizados. 
 Clean
     Code y Presentación: Tu código está excepcionalmente bien documentado
     y organizado. El uso de f-strings con formato de moneda y el diseño de los
     reportes en consola son limpios y profesionales.  Motivación: 
Has demostrado tener una base técnica y lógica sobresaliente. Si continúas
aplicando este nivel de disciplina, análisis y atención al detalle, tienes el
potencial no solo para destacar en el ámbito académico, sino para liderar
proyectos tecnológicos complejos en el sector financiero o administrativo.
¡Felicitaciones por un trabajo excepcional!  Rúbrica de Calificación 
  Criterio de Evaluación 
  Descripción Técnica 
  Puntaje Máximo 
  Puntaje Obtenido 
  1. Autogestión y Lógica 
  Pseudocódigo detallado en Markdown que coincide
  perfectamente con la lógica programada. 
  1.0 
  1.0 
  2. Estructuras de Datos 
  Implementación y manipulación impecable de Lista, Tupla y
  Diccionario. 
  1.5 
  1.5 
  3. Control de Flujo 
  Menú while funcional, sin errores, y decisiones lógicas
  precisas con if/elif/else. 
  1.0 
  1.0 
  4. Procesamiento 
  Recorrido correcto con for, cálculos matemáticos precisos
  y sin errores de Casting. 
  1.0 
  1.0 
  5. Presentación (UX) 
  Uso de f-strings con formato profesional, código
  documentado y mensajes claros. 
  0.5 
  0.5 
  Bono de Seguridad 
  Implementación de try-except para evitar cierres abruptos
  por errores de formato. 
  + 1.0 
  + 1.0 
  TOTAL 
  5.0 
  6.0 
 Diego Mauricio Zuluaga Rodríguez 
Profesor - Departamento de Economía 
Universidad de La Sabana</t>
  </si>
  <si>
    <t>Nicolas Torres Calderon</t>
  </si>
  <si>
    <t>Nicolas</t>
  </si>
  <si>
    <t>Torres Calderon</t>
  </si>
  <si>
    <t>nicolastorca@unisabana.edu.co</t>
  </si>
  <si>
    <t>Retroalimentación de la Entrega: Examen Parcial 1 - Motor
Lógico "FinVes"  Estudiante: TORRES CALDERON, NICOLAS Calificación Final: 5.0 / 5.0 (Nota Desglosada: 4.0 Base + 1.0 Bono por Robustez Técnica. La ausencia del
Pseudocódigo anuló el punto de Lógica, pero el Bono compensó la nota final).  Comentarios del Profesor: Técnicamente has entregado uno de los códigos más
robustos de la clase. Tu implementación en Python demuestra un dominio sólido
de la sintaxis y una excelente capacidad para validar datos (evitando que el
programa colapse). Sin embargo, hay un punto crítico de Autogestión que
omitiste y que casi te cuesta la nota perfecta.  Puntos a destacar (Lo excelente): 
 Robustez
     y Seguridad (Bono +1.0): Implementaste bloques try-except y
     validaciones while True para asegurar que los datos ingresados (meta,
     monto, tasa) sean correctos. Esto protege al sistema de errores de usuario
     (ValueError) y cumple con el criterio para el bono extra. ¡Excelente
     trabajo blindando el código! 
 Lógica
     de Negocio: La fórmula de libertad financiera y el cálculo de ingresos
     pasivos son matemáticamente correctos. 
 Presentación:
     El uso de f-strings con separadores de miles (:,.2f) facilita la lectura
     de los datos financieros.  Oportunidad de Mejora (Atención a la Autogestión): 
 Ausencia
     de Pseudocódigo: El enunciado era explícito: "Antes de
     escribir una sola línea de código... DEBEN escribir el Pseudocódigo".
     Tu celda de Markdown solo tiene tu nombre. En este parcial, el Bono de
     Seguridad salvó tu nota, cubriendo el punto perdido por Lógica y
     Diseño. En futuros entregables, la planeación escrita es obligatoria y no
     negociable. 
 Tip
     Técnico: Usaste portafolio = portafolio + [inversion]. Aunque funciona
     (concatenación de listas), la forma estándar y más eficiente en memoria en
     Python es usar el método .append(inversion).  Motivación: 
Tienes una habilidad técnica muy fuerte. Si logras combinar esa capacidad de
programación con la disciplina de documentar tu lógica previamente
(Pseudocódigo), serás un desarrollador/analista excepcional. ¡Sigue así, pero
no descuides las instrucciones de autogestión!  Rúbrica de Calificación 
  Criterio de Evaluación 
  Descripción Técnica 
  Puntaje Máximo 
  Puntaje Obtenido 
  1. Autogestión y Lógica 
  Pseudocódigo faltante. No se presentó la planeación
  lógica en Markdown requerida. 
  1.0 
  0.0 
  2. Estructuras de Datos 
  Uso correcto de Diccionarios, Tuplas y Listas anidadas. 
  1.5 
  1.5 
  3. Control de Flujo 
  Menú interactivo funcional con opciones de salida y
  validación correcta. 
  1.0 
  1.0 
  4. Procesamiento 
  Cálculos matemáticos precisos e iteración correcta de la
  lista. 
  1.0 
  1.0 
  5. Presentación (UX) 
  Formato de moneda legible y mensajes claros al usuario. 
  0.5 
  0.5 
  Bono de Seguridad 
  Implementación efectiva de try-except y validaciones de
  entrada. 
  + 1.0 
  + 1.0 
  TOTAL 
  5.0 
  5.0 
 Diego Mauricio Zuluaga Rodríguez 
Profesor - Departamento de Economía 
Universidad de La Sabana</t>
  </si>
  <si>
    <t>Cristian Bermudez</t>
  </si>
  <si>
    <t>Cristian</t>
  </si>
  <si>
    <t>Bermudez</t>
  </si>
  <si>
    <t>cristianbe@unisabana.edu.co</t>
  </si>
  <si>
    <t>Retroalimentación de la Entrega: Examen Parcial 1 - Motor
Lógico "FinVes"  Estudiante: Cristian Bermudez Calificación Final: 5.0 / 5.0 (Nota Desglosada: 4.0 Base + 1.0 Bono por Robustez Técnica. La ausencia del
Pseudocódigo anuló el punto de Lógica, pero el Bono compensó la nota final).  Comentarios del Profesor: Cristian, técnicamente has entregado uno de los códigos más
robustos de la clase. Tu implementación en Python demuestra un dominio sólido
de la sintaxis y una excelente capacidad para validar datos (evitando que el
programa colapse). Sin embargo, hay un punto crítico de Autogestión que
omitiste y que casi te cuesta la nota perfecta.  Puntos a destacar (Lo excelente): 
 Robustez
     y Seguridad (Bono +1.0): Implementaste bloques try-except y
     validaciones while True para asegurar que los datos ingresados (meta,
     monto, tasa) sean correctos. Esto protege al sistema de errores de usuario
     (ValueError) y cumple con el criterio para el bono extra. ¡Excelente
     trabajo blindando el código! 
 Lógica
     de Negocio: La fórmula de libertad financiera y el cálculo de ingresos
     pasivos son matemáticamente correctos. 
 Presentación:
     El uso de f-strings con separadores de miles (:,.2f) facilita la lectura
     de los datos financieros.  Oportunidad de Mejora (Atención a la Autogestión): 
 Ausencia
     de Pseudocódigo: El enunciado era explícito: "Antes de
     escribir una sola línea de código... DEBEN escribir el Pseudocódigo".
     Tu celda de Markdown solo tiene tu nombre. En este parcial, el Bono de
     Seguridad salvó tu nota, cubriendo el punto perdido por Lógica y
     Diseño. En futuros entregables, la planeación escrita es obligatoria y no
     negociable. 
 Tip
     Técnico: Usaste portafolio = portafolio + [inversion]. Aunque funciona
     (concatenación de listas), la forma estándar y más eficiente en memoria en
     Python es usar el método .append(inversion).  Motivación: 
Tienes una habilidad técnica muy fuerte. Si logras combinar esa capacidad de
programación con la disciplina de documentar tu lógica previamente
(Pseudocódigo), serás un desarrollador/analista excepcional. ¡Sigue así, pero
no descuides las instrucciones de autogestión!  Rúbrica de Calificación 
  Criterio de Evaluación 
  Descripción Técnica 
  Puntaje Máximo 
  Puntaje Obtenido 
  1. Autogestión y Lógica 
  Pseudocódigo faltante. No se presentó la planeación
  lógica en Markdown requerida. 
  1.0 
  0.0 
  2. Estructuras de Datos 
  Uso correcto de Diccionarios, Tuplas y Listas anidadas. 
  1.5 
  1.5 
  3. Control de Flujo 
  Menú interactivo funcional con opciones de salida y
  validación correcta. 
  1.0 
  1.0 
  4. Procesamiento 
  Cálculos matemáticos precisos e iteración correcta de la
  lista. 
  1.0 
  1.0 
  5. Presentación (UX) 
  Formato de moneda legible y mensajes claros al usuario. 
  0.5 
  0.5 
  Bono de Seguridad 
  Implementación efectiva de try-except y validaciones de
  entrada. 
  + 1.0 
  + 1.0 
  TOTAL 
  5.0 
  5.0 
 Diego Mauricio Zuluaga Rodríguez 
Profesor - Departamento de Economía 
Universidad de La Sabana</t>
  </si>
  <si>
    <t>Mariana Carmona Romero</t>
  </si>
  <si>
    <t>Mariana</t>
  </si>
  <si>
    <t>Carmona Romero</t>
  </si>
  <si>
    <t>marianacarrom@unisabana.edu.co</t>
  </si>
  <si>
    <t>Retroalimentación de la Entrega: Examen Parcial 1 - Motor
Lógico "FinVes"  Estudiante: Mariana Carmona Romero Calificación Final: 5.0 / 5.0  Comentarios del Profesor: Tu desempeño en este parcial ha sido excepcional. Has
demostrado no solo un dominio completo de los conceptos técnicos del primer
corte, sino también una capacidad de autogestión y planeación que es
precisamente lo que buscamos en los profesionales de la EICEA.  Puntos a destacar (Lo excelente): 
 Autogestión
     y Lógica Impecable: Tu pseudocódigo en la celda de Markdown es un
     ejemplo perfecto de cómo se debe planificar un programa. Es claro,
     detallado y, lo más importante, se traduce directamente en la lógica de tu
     código en Python. Cumpliste a cabalidad la regla de "pensar antes de
     programar". 
 Dominio
     de Estructuras de Datos: Utilizaste las tres estructuras de datos
     (Diccionario, Tupla y Lista) de manera precisa y para el propósito
     correcto, demostrando que entiendes la naturaleza y el uso de cada una. La
     validación if activo_seleccionado in activos_disponibles es una
     implementación de alto nivel. 
 Presentación
     y UX Profesional: El uso de f-strings con formato de moneda (:,.2f),
     los menús limpios y los mensajes de estado claros hacen que tu aplicación
     se sienta como un producto real y profesional.  Oportunidad de Mejora (El Siguiente Nivel): 
Tu código es funcionalmente perfecto. El único paso que te faltó para obtener
el bono de seguridad fue implementar el bloque try-except para manejar los ValueError
(cuando un usuario ingresa texto en lugar de un número). Si hubieras añadido
esa capa de protección, tu programa sería "a prueba de balas". Este
será uno de los temas que reforzaremos en el segundo corte.  Motivación: 
Has sentado una base técnica y lógica extremadamente sólida para el resto del
semestre. Tu capacidad para seguir instrucciones detalladas y entregar un
producto de alta calidad es una habilidad muy valorada en la industria.
¡Felicitaciones por un trabajo extraordinario!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con separadores de miles, código
  documentado y mensajes claros. 
  0.5 
  0.5 
  Bono de Seguridad 
  No implementado. 
  + 1.0 
  + 0.0 
  TOTAL 
  5.0 
  5.0 
 Diego Mauricio Zuluaga Rodríguez 
Profesor - Departamento de Economía 
Universidad de La Sabana</t>
  </si>
  <si>
    <t>Mariana Pena Rodriguez</t>
  </si>
  <si>
    <t>Pena Rodriguez</t>
  </si>
  <si>
    <t>marianapero@unisabana.edu.co</t>
  </si>
  <si>
    <t>Retroalimentación de la Entrega: Examen Parcial 1 - Motor
Lógico "FinVes"  Estudiante: PEÑA RODRIGUEZ, MARIANA Calificación Final: 5.0 / 5.0 (+1.0 Unidad de Bono por uso de try-except)  Comentarios del Profesor: Has entregado un examen parcial impecable.
Demostraste un dominio absoluto de todos los temas vistos durante el primer
corte y, lo más importante, probaste que tienes la lógica estructurada de una
verdadera analista y desarrolladora.  Puntos a destacar (Lo excelente): 
 Autogestión
     y Sanity Check: Tu pseudocódigo en la celda de Markdown es detallado,
     claro y coincide paso a paso con la ejecución de tu código en Python.
     Cumpliste a la perfección la regla de "pensar antes de
     programar". 
 Robustez
     del Código (Bono +1.0): Implementaste bloques try-except tanto en la
     configuración inicial del perfil como en el registro de inversiones. Esto
     demuestra que te pones en los zapatos del usuario y previenes que la
     aplicación colapse por un error de digitación. Excelente iniciativa. 
 Estructuras
     de Datos: Manejaste a la perfección la combinación de Diccionarios
     (para el perfil y las inversiones individuales), Tuplas (para los activos
     fijos) y Listas (para el portafolio dinámico). 
 Presentación
     (UX): El uso de f-strings con el formato :,.2f hace que tu aplicación
     se vea como un software financiero real. Además, los menús y mensajes en
     consola son muy limpios e intuitivos (noté en el registro de salida que
     hiciste pruebas exhaustivas, incluso usando "Matias" como
     usuario de prueba, lo cual es una excelente práctica de testeo).  Motivación: 
Tienes una base técnica y lógica sumamente sólida. Si mantienes esta
disciplina, rigurosidad y atención al detalle, no solo te irá excelente en lo
que resta del semestre, sino que tendrás las herramientas necesarias para
liderar proyectos tecnológicos reales en tu vida profesional. ¡Felicitaciones
por este gran resultado!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con separadores de miles, código
  documentado y mensajes claros. 
  0.5 
  0.5 
  Bono de Seguridad 
  Implementación de try-except para evitar cierres abruptos
  por errores de formato (ValueError). 
  + 1.0 
  + 1.0 
  TOTAL 
  5.0 
  6.0 
 Diego Mauricio Zuluaga Rodríguez 
Profesor - Departamento de Economía 
Universidad de La Sabana</t>
  </si>
  <si>
    <t>Isabella Carranza Tapiero</t>
  </si>
  <si>
    <t>Isabella</t>
  </si>
  <si>
    <t>Carranza Tapiero</t>
  </si>
  <si>
    <t>isabellacata@unisabana.edu.co</t>
  </si>
  <si>
    <t>Retroalimentación de la Entrega: Examen Parcial 1 - Motor
Lógico "FinVes"  Estudiante: CARRANZA TAPIERO, ISABELLA Calificación Final: 5.0 / 5.0  Comentarios del Profesor: Excelente trabajo. Has entregado un examen parcial
muy sólido y estructurado. Demostraste un dominio claro de los fundamentos de
Python y cumpliste a cabalidad con los requerimientos lógicos del caso de
negocio "FinVes".  Puntos a destacar (Lo excelente): 
 Autogestión
     y Lógica: Tu pseudocódigo es uno de los más ordenados que he revisado.
     El sistema de numeración (1.0, 1.1, 2.0...) refleja una mente analítica y
     estructurada. Lo más importante: el código en Python es un espejo exacto
     de tu planeación. 
 Estructuras
     de Datos: Declaraste e implementaste a la perfección el Diccionario
     para el perfil, la Tupla para los activos fijos y la Lista para el
     portafolio dinámico. 
 Procesamiento
     Matemático: El cálculo del ingreso pasivo mensual (inv["monto"]
     * (inv["tasa"] / 100)) / 12 y el acumulador dentro del ciclo for
     están impecables. Entendiste perfectamente la lógica financiera detrás del
     algoritmo.  Oportunidades de Mejora (Sanity Check y UX): 
 Manejo
     de Errores (El Bono perdido): El parcial ofrecía hasta +1.0 unidad
     extra por implementar bloques try-except. En tu código, si el usuario
     digita la letra "A" cuando pides la opción del menú (int(input(...)))
     o el monto a invertir, el programa colapsará inmediatamente con un ValueError.
     En el mundo real, los usuarios cometen errores de digitación; siempre
     debemos blindar nuestras aplicaciones. 
 Experiencia
     de Usuario (UX): Aunque calculaste el ingreso_pasivo_total
     correctamente y mostraste el porcentaje de avance con formato :,2f,
     omitiste imprimirle al usuario cuánto dinero exacto está generando
     mensualmente. En una App financiera, ver el monto en pesos es el mayor
     incentivo para el cliente.  Motivación: 
Tienes una excelente capacidad de abstracción y lógica de programación. Posees
las bases técnicas necesarias para modelar problemas complejos del mundo de los
negocios. Sigue cultivando este nivel de orden y disciplina en los próximos
cortes. ¡Felicitaciones por este gran resultado!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con separadores de miles, código
  documentado y mensajes claros. 
  0.5 
  0.5 
  Bono de Seguridad 
  Implementación de try-except para evitar cierres abruptos
  por errores de formato (ValueError). 
  + 1.0 
  + 0.0 
  TOTAL 
  5.0 
  5.0 
 Diego Mauricio Zuluaga Rodríguez 
Profesor - Departamento de Economía 
Universidad de La Sabana</t>
  </si>
  <si>
    <t>Samuel David Lozano Holguin</t>
  </si>
  <si>
    <t>Samuel David</t>
  </si>
  <si>
    <t>Lozano Holguin</t>
  </si>
  <si>
    <t>samuelloho@unisabana.edu.co</t>
  </si>
  <si>
    <t>Retroalimentación de la Entrega: Examen Parcial 1 - Motor
Lógico "FinVes"  Estudiante: Lozano Holguin, Samuel David Calificación Final: 4.3 / 5.0  Comentarios del Profesor: Has entregado un parcial con una estructura muy interesante
y con destellos de programación avanzada. Se nota que comprendes la sintaxis de
Python y te sientes cómodo explorando formas eficientes de resolver problemas.  Puntos a destacar (Lo excelente): 
 Autogestión
     (Pseudocódigo): Cumpliste a la perfección con la regla de escribir el
     pseudocódigo antes de programar. Tu paso a paso es lógico, estructurado y
     fácil de leer. 
 Estructuras
     de Datos: Implementaste correctamente el diccionario, la tupla y la
     lista. Validar si el activo ingresado existe dentro de la tupla (if activo
     in activos_disponibles:) es una excelente práctica de validación de datos. 
 Código
     Avanzado ("Pythónico"): El uso de la función sum() combinada
     con un generador en una sola línea (sum(inversion["monto"] * ...
     for inversion in portafolio)) para calcular el rendimiento total demuestra
     un nivel de abstracción superior al promedio. ¡Muy bien hecho! 
 Presentación
     Visual (UX): El uso de f-strings con separadores de miles y decimales
     (:,.2f) hace que la salida en consola sea muy profesional y fácil de leer
     para un usuario financiero.  Oportunidades de Mejora (Atención al Detalle): 
El motivo por el cual no alcanzas la nota máxima se debe a tres detalles
específicos en el seguimiento de instrucciones y la lógica de procesamiento: 
 Bug
     Lógico (Duplicidad de Datos): En la Opción 1, estás agregando la misma
     inversión dos veces a la lista portafolio. Primero haces un .append()
     parcial, luego le agregas la tasa, y unas líneas más abajo creas el
     diccionario datos_inversion y le haces .append() de nuevo. Si revisas tu
     propia consola de salida, verás que "Bonos del Estado" aparece
     duplicado y el ingreso pasivo se calcula por el doble del valor real. 
 Requerimiento
     Omitido (Porcentaje): La rúbrica exigía explícitamente calcular el
     porcentaje de avance (Ingreso Pasivo / Meta) * 100 e imprimir el mensaje "Te
     falta un camino por recorrer. Tu avance es del X.XX%.". Omitiste
     este cálculo matemático y el mensaje solicitado. 
 Documentación
     del Código: La rúbrica pedía "código documentado con # explicando
     cada bloque". Tu script carece por completo de comentarios internos.
     En el entorno profesional, documentar el código es vital para el trabajo
     en equipo. 
 Bono
     de Seguridad: No implementaste el bloque try-except para capturar
     errores de digitación (ValueError), por lo que no aplicas para la unidad
     extra.  Motivación: 
Tienes una lógica de programación muy ágil y utilizas herramientas avanzadas de
Python de forma natural. Tu reto ahora es la auditoría de tu propio código
(Sanity Check). Revisa siempre las salidas de tu consola para detectar bugs
(como la duplicidad) y lee los requerimientos del cliente línea por línea. Si
ajustas ese nivel de atención al detalle, tus próximos proyectos serán
perfectos. ¡Sigue adelante!  Rúbrica de Calificación 
  Criterio de Evaluación 
  Descripción Técnica 
  Puntaje Máximo 
  Puntaje Obtenido 
  1. Autogestión y Lógica 
  Pseudocódigo detallado en Markdown que refleja la
  planeación del sistema. 
  1.0 
  1.0 
  2. Estructuras de Datos 
  Implementación y manipulación correcta de Lista, Tupla y
  Diccionario. 
  1.5 
  1.5 
  3. Control de Flujo 
  Menú while funcional y decisiones lógicas precisas con if/elif/else. 
  1.0 
  1.0 
  4. Procesamiento 
  Penalización por duplicidad de datos en el .append() y por
  omitir el cálculo del porcentaje de avance exigido. 
  1.0 
  0.5 
  5. Presentación (UX) 
  Excelente uso de f-strings, pero ausencia total de
  comentarios (#) en el código. 
  0.5 
  0.3 
  Bono de Seguridad 
  No se implementó try-except para evitar cierres abruptos. 
  + 1.0 
  + 0.0 
  TOTAL 
  5.0 
  4.3 
 Diego Mauricio Zuluaga Rodríguez 
Profesor - Departamento de Economía 
Universidad de La Sabana</t>
  </si>
  <si>
    <t>Sebastian Vanoy Gutierrez</t>
  </si>
  <si>
    <t>Sebastian</t>
  </si>
  <si>
    <t>Vanoy Gutierrez</t>
  </si>
  <si>
    <t>sebastianvagu@unisabana.edu.co</t>
  </si>
  <si>
    <t>Retroalimentación de la Entrega: Examen Parcial 1 - Motor
Lógico "FinVes"  Estudiante: Vanoy Gutierrez, Sebastian Calificación Final: 4.3 / 5.0  Comentarios del Profesor: Has entregado un parcial con una estructura muy interesante
y con destellos de programación avanzada. Se nota que comprendes la sintaxis de
Python y te sientes cómodo explorando formas eficientes de resolver problemas.  Puntos a destacar (Lo excelente): 
 Autogestión
     (Pseudocódigo): Cumpliste a la perfección con la regla de escribir el
     pseudocódigo antes de programar. Tu paso a paso es lógico, estructurado y
     fácil de leer. 
 Estructuras
     de Datos: Implementaste correctamente el diccionario, la tupla y la
     lista. Validar si el activo ingresado existe dentro de la tupla (if activo
     in activos_disponibles:) es una excelente práctica de validación de datos. 
 Código
     Avanzado ("Pythónico"): El uso de la función sum() combinada
     con un generador en una sola línea (sum(inversion["monto"] * ...
     for inversion in portafolio)) para calcular el rendimiento total demuestra
     un nivel de abstracción superior al promedio. ¡Muy bien hecho! 
 Presentación
     Visual (UX): El uso de f-strings con separadores de miles y decimales
     (:,.2f) hace que la salida en consola sea muy profesional y fácil de leer
     para un usuario financiero.  Oportunidades de Mejora (Atención al Detalle): 
El motivo por el cual no alcanzas la nota máxima se debe a tres detalles
específicos en el seguimiento de instrucciones y la lógica de procesamiento: 
 Bug
     Lógico (Duplicidad de Datos): En la Opción 1, estás agregando la misma
     inversión dos veces a la lista portafolio. Primero haces un .append()
     parcial, luego le agregas la tasa, y unas líneas más abajo creas el
     diccionario datos_inversion y le haces .append() de nuevo. Si revisas tu
     propia consola de salida, verás que "Bonos del Estado" aparece
     duplicado y el ingreso pasivo se calcula por el doble del valor real. 
 Requerimiento
     Omitido (Porcentaje): La rúbrica exigía explícitamente calcular el
     porcentaje de avance (Ingreso Pasivo / Meta) * 100 e imprimir el mensaje "Te
     falta un camino por recorrer. Tu avance es del X.XX%.". Omitiste
     este cálculo matemático y el mensaje solicitado. 
 Documentación
     del Código: La rúbrica pedía "código documentado con # explicando
     cada bloque". Tu script carece por completo de comentarios internos.
     En el entorno profesional, documentar el código es vital para el trabajo
     en equipo. 
 Bono
     de Seguridad: No implementaste el bloque try-except para capturar
     errores de digitación (ValueError), por lo que no aplicas para la unidad
     extra.  Motivación: 
Tienes una lógica de programación muy ágil y utilizas herramientas avanzadas de
Python de forma natural. Tu reto ahora es la auditoría de tu propio código
(Sanity Check). Revisa siempre las salidas de tu consola para detectar bugs
(como la duplicidad) y lee los requerimientos del cliente línea por línea. Si
ajustas ese nivel de atención al detalle, tus próximos proyectos serán
perfectos. ¡Sigue adelante!  Rúbrica de Calificación 
  Criterio de Evaluación 
  Descripción Técnica 
  Puntaje Máximo 
  Puntaje Obtenido 
  1. Autogestión y Lógica 
  Pseudocódigo detallado en Markdown que refleja la
  planeación del sistema. 
  1.0 
  1.0 
  2. Estructuras de Datos 
  Implementación y manipulación correcta de Lista, Tupla y
  Diccionario. 
  1.5 
  1.5 
  3. Control de Flujo 
  Menú while funcional y decisiones lógicas precisas con if/elif/else. 
  1.0 
  1.0 
  4. Procesamiento 
  Penalización por duplicidad de datos en el .append() y por
  omitir el cálculo del porcentaje de avance exigido. 
  1.0 
  0.5 
  5. Presentación (UX) 
  Excelente uso de f-strings, pero ausencia total de
  comentarios (#) en el código. 
  0.5 
  0.3 
  Bono de Seguridad 
  No se implementó try-except para evitar cierres abruptos. 
  + 1.0 
  + 0.0 
  TOTAL 
  5.0 
  4.3 
 Diego Mauricio Zuluaga Rodríguez 
Profesor - Departamento de Economía 
Universidad de La Sabana</t>
  </si>
  <si>
    <t>Jose Daniel Escobar Hurtado</t>
  </si>
  <si>
    <t>Jose Daniel</t>
  </si>
  <si>
    <t>Escobar Hurtado</t>
  </si>
  <si>
    <t>joseeshu@unisabana.edu.co</t>
  </si>
  <si>
    <t>Retroalimentación de la Entrega: Examen Parcial 1 - Motor
Lógico "FinVes"  Estudiante: Jóse Daniel Escobar Hurtado Calificación Final: 5.0 / 5.0  Comentarios del Profesor: Tu examen es un ejemplo de excelencia técnica y
metodológica. Has demostrado un dominio completo de todos los conceptos del
primer corte y, lo que es más importante, una capacidad de autogestión y
pensamiento estructurado que es precisamente lo que buscamos en los
profesionales de la EICEA.  Puntos a destacar (Lo excelente): 
 Autogestión
     y Lógica Impecable: Tu pseudocódigo en la celda de Markdown es de
     altísima calidad. Es detallado, sigue una estructura lógica profesional y
     se refleja perfectamente en tu código final. Cumpliste a cabalidad la
     regla de "pensar antes de programar". 
 Programación
     Defensiva: La validación if activo not in activos_disponibles: es una
     muestra de pensamiento computacional avanzado. No solo hiciste que el
     programa funcionara, sino que lo hiciste robusto, anticipándote a los
     errores del usuario. 
 Presentación
     y UX Profesional: El uso de emojis, mensajes claros y una interfaz de
     consola bien organizada demuestra que piensas en el usuario final. Esto
     transforma un simple script en una aplicación amigable.  Oportunidad de Mejora (El Siguiente Nivel): 
Tu código es funcionalmente perfecto. El único paso que te faltó para obtener
el bono de seguridad fue implementar el bloque try-except para manejar los ValueError
(cuando un usuario ingresa texto en lugar de un número). Si hubieras añadido
esa capa de protección, tu programa sería "a prueba de balas". Este
será uno de los temas que reforzaremos en el segundo corte.  Motivación: 
Has demostrado que no solo sabes programar, sino que sabes cómo construir una
solución completa y bien pensada. Esta habilidad para pasar de un problema de
negocio a un prototipo funcional es extremadamente valiosa en el mercado.
¡Felicitaciones por un trabajo impecable!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código documentado y mensajes claros. 
  0.5 
  0.5 
  Bono de Seguridad 
  No implementado. 
  + 1.0 
  + 0.0 
  TOTAL 
  5.0 
  5.0 
 Diego Mauricio Zuluaga Rodríguez 
Profesor - Departamento de Economía 
Universidad de La Sabana</t>
  </si>
  <si>
    <t>Maria Jose Botero Galviz</t>
  </si>
  <si>
    <t>Maria Jose</t>
  </si>
  <si>
    <t>Botero Galviz</t>
  </si>
  <si>
    <t>mariabotga@unisabana.edu.co</t>
  </si>
  <si>
    <t>Retroalimentación de la Entrega: Examen Parcial 1 - Motor
Lógico "FinVes"  Estudiante: María José Botero Galviz Calificación Final: 5.0 / 5.0 (+1.0 Unidad de Bono por excelencia técnica)  Comentarios del Profesor: María José, este es un examen de nivel profesional. No solo
has cumplido con todos los requerimientos técnicos, sino que has demostrado una
comprensión profunda de la lógica de programación y la autogestión, que son los
pilares de este curso.  Puntos a destacar (Lo excelente): 
 Autogestión
     y Diseño (Sanity Check): Tu pseudocódigo en Markdown es un ejemplo
     perfecto de cómo se debe planificar un proyecto. Es detallado, sigue una
     secuencia lógica impecable y, lo más importante, tu código en Python es un
     reflejo exacto de esa planeación. Esto demuestra que dominas la
     metodología de "pensar antes de programar". 
 Robustez
     y Seguridad (Bono +1.0): Implementaste bloques try-except para manejar
     posibles errores de formato (ValueError) del usuario. Esta es la
     mentalidad de un desarrollador senior: anticiparse a los problemas y crear
     un programa "a prueba de balas". Por esta iniciativa, te has
     ganado la unidad de bono completa. 
 Lógica
     Avanzada: No solo cumpliste con lo solicitado, sino que añadiste una
     capa de validación extra (if activo_elegido not in activos_disponibles:).
     Este pequeño detalle demuestra que piensas en la integridad de los datos y
     en la experiencia del usuario, evitando que se registren inversiones en
     activos no autorizados. 
 Clean
     Code y Presentación: Tu código está excepcionalmente bien documentado
     y organizado. El uso de f-strings con formato de moneda y el diseño de los
     reportes en consola son limpios y profesionales.  Motivación: 
Has demostrado tener una base técnica y lógica sobresaliente. Si continúas
aplicando este nivel de disciplina, análisis y atención al detalle, tienes el
potencial no solo para destacar en el ámbito académico, sino para liderar
proyectos tecnológicos complejos en el sector financiero o administrativo.
¡Felicitaciones por un trabajo excepcional!  Rúbrica de Calificación 
  Criterio de Evaluación 
  Descripción Técnica 
  Puntaje Máximo 
  Puntaje Obtenido 
  1. Autogestión y Lógica 
  Pseudocódigo detallado en Markdown que coincide
  perfectamente con la lógica programada. 
  1.0 
  1.0 
  2. Estructuras de Datos 
  Implementación y manipulación impecable de Lista, Tupla y
  Diccionario. 
  1.5 
  1.5 
  3. Control de Flujo 
  Menú while funcional, sin errores, y decisiones lógicas
  precisas con if/elif/else. 
  1.0 
  1.0 
  4. Procesamiento 
  Recorrido correcto con for, cálculos matemáticos precisos
  y sin errores de Casting. 
  1.0 
  1.0 
  5. Presentación (UX) 
  Uso de f-strings con formato profesional, código
  documentado y mensajes claros. 
  0.5 
  0.5 
  Bono de Seguridad 
  Implementación de try-except para evitar cierres abruptos
  por errores de formato. 
  + 1.0 
  + 1.0 
  TOTAL 
  5.0 
  6.0 
 Diego Mauricio Zuluaga Rodríguez 
Profesor - Departamento de Economía 
Universidad de La Sabana</t>
  </si>
  <si>
    <t>Maria Juliana Mejia Quintero</t>
  </si>
  <si>
    <t>Maria Juliana</t>
  </si>
  <si>
    <t>Mejia Quintero</t>
  </si>
  <si>
    <t>mariamequ@unisabana.edu.co</t>
  </si>
  <si>
    <t>Alejandra Leon Vargas</t>
  </si>
  <si>
    <t>Alejandra</t>
  </si>
  <si>
    <t>Leon Vargas</t>
  </si>
  <si>
    <t>alejandraleva@unisabana.edu.co</t>
  </si>
  <si>
    <t>Retroalimentación de la Entrega: Examen Parcial 1 - Motor
Lógico "FinVes"  Estudiante: Leon Vargas, Alejandra Calificación Final: 5.0 / 5.0  Comentarios del Profesor: Tu desempeño en este primer examen parcial ha sido
excelente. Has logrado plasmar la lógica de negocio solicitada en un código
limpio, estructurado y completamente funcional, demostrando que los conceptos
fundamentales del primer corte están consolidados.  Puntos a destacar (Lo excelente): 
 Autogestión
     Evidenciada: El pseudocódigo entregado en la celda de Markdown es
     claro, secuencial y refleja exactamente la estructura que luego
     programaste en Python. Este paso de planeación es vital y lo has ejecutado
     a la perfección. 
 Manejo
     de Estructuras de Datos: Utilizaste el diccionario (perfil_usuario),
     la tupla (activos_disponibles) y la lista (portafolio) de manera precisa.
     La forma en que inicializaste el diccionario vacío y luego le asignaste
     las llaves dinámicamente con los input() demuestra una comprensión
     profunda de la mutabilidad de esta estructura. 
 Procesamiento
     y Matemáticas: El ciclo for para recorrer el portafolio y la
     aplicación de las fórmulas financieras (cálculo del ingreso pasivo mensual
     y el porcentaje de avance) son exactos. No hay errores de casting
     ni de lógica aritmética. 
 Presentación
     (UX): El uso de f-strings con el formato :,.2f para mostrar el dinero
     y los porcentajes le da un toque muy profesional a la salida en consola.  Oportunidad de Mejora (El Siguiente Nivel): 
El código cumple con el 100% de los requerimientos base. Para alcanzar el nivel
de excelencia absoluta (y obtener el bono de +1.0), faltó implementar el bloque
de seguridad try-except al momento de solicitar los datos numéricos (monto y
tasa). En el mundo real, los usuarios cometen errores de digitación, y un
sistema financiero no puede permitirse colapsar (ValueError) por un texto
ingresado accidentalmente. Te invito a incorporar esta validación en tus
futuros proyectos.  Motivación: 
Tienes una base técnica muy sólida y una capacidad analítica destacable. Si
mantienes este nivel de organización y rigor en tu código, los retos de
análisis de datos que vienen en los próximos cortes serán muy fáciles de
dominar. ¡Felicitaciones por este gran resultado!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if/else. 
  1.0 
  1.0 
  4. Procesamiento 
  Recorrido correcto con for, cálculos matemáticos precisos
  de ingresos pasivos y porcentajes. 
  1.0 
  1.0 
  5. Presentación (UX) 
  Uso de f-strings con separadores de miles, código
  documentado y mensajes claros. 
  0.5 
  0.5 
  Bono de Seguridad 
  No se implementó el bloque try-except para validación de
  errores. 
  + 1.0 
  + 0.0 
  TOTAL 
  5.0 
  5.0 
 Diego Mauricio Zuluaga Rodríguez 
Profesor - Departamento de Economía 
Universidad de La Sabana</t>
  </si>
  <si>
    <t>Alessandro Di Mauro Bonilla Correa</t>
  </si>
  <si>
    <t>Alessandro Di Mauro</t>
  </si>
  <si>
    <t>Bonilla Correa</t>
  </si>
  <si>
    <t>alessandroboco@unisabana.edu.co</t>
  </si>
  <si>
    <t>Retroalimentación de la Entrega: Examen Parcial 1 - Motor
Lógico "FinVes"  Estudiante: Alessandro Bonilla Calificación Final: 4.5 / 5.0  Comentarios del Profesor: Alessandro, tu examen demuestra un nivel de pensamiento
lógico y estructurado excepcional. La forma en que desglosaste el problema en
el pseudocódigo y el diagrama de flujo es exactamente lo que se espera de un
analista que domina la autogestión.  Puntos a destacar (Lo excelente): 
 Autogestión
     y Diseño: Tu pseudocódigo no es solo una lista de pasos, es una
     narración técnica del flujo del programa. Junto con el diagrama de flujo,
     demuestras una comprensión profunda del problema antes de escribir una
     sola línea de código. Este es el pilar de un buen desarrollador. 
 Lógica
     de Programación: Tu código es limpio, sigue todos los requerimientos y
     la lógica es impecable. El uso combinado de diccionarios, tuplas y listas
     es perfecto. Mención especial a la validación if activo_seleccionado not
     in activos_disponibles:, una iniciativa que añade robustez al programa y
     demuestra que piensas en los posibles errores del usuario.  Oportunidad de Mejora (El punto crítico): 
 Funcionalidad
     y Entorno: El único factor que impidió una calificación perfecta fue
     que el código no es ejecutable. El error ipykernel package que se muestra
     en la salida indica que el entorno de tu Jupyter Notebook no estaba
     correctamente configurado para correr el código. En el mundo profesional,
     un código que no corre, sin importar cuán perfecto sea en teoría, no es un
     entregable funcional. Es una lección crucial: un programador de élite no
     solo escribe código correcto, sino que se asegura de que sea ejecutable
     y reproducible. 
 Bono
     de Seguridad: No implementaste el bloque try-except, por lo que no
     aplicas al bono de +1.0 unidad. Si lo hubieras hecho, tu programa habría
     sido aún más robusto.  Motivación: 
La buena noticia es que tu error no fue de lógica, sino de configuración de
entorno, algo que se aprende y se corrige con la práctica. Tu capacidad para
diseñar y estructurar soluciones es de primer nivel. Si a esa habilidad le
sumas la disciplina de probar y asegurar que tus entregables funcionen siempre,
estarás más que preparado para cualquier reto técnico en tu carrera. ¡Sigue
trabajando en esa lógica brillante!  Rúbrica de Calificación 
  Criterio de Evaluación 
  Descripción Técnica 
  Puntaje Máximo 
  Puntaje Obtenido 
  1. Autogestión y Lógica 
  Pseudocódigo y Diagrama de Flujo detallados y
  perfectamente alineados con el código. 
  1.0 
  1.0 
  2. Estructuras de Datos 
  Implementación y manipulación impecable de Lista, Tupla y
  Diccionario. 
  1.5 
  1.5 
  3. Control de Flujo 
  La lógica del menú while y las decisiones if/elif/else es
  perfecta, pero el programa no es funcional (error de ipykernel). 
  1.0 
  0.5 
  4. Procesamiento 
  El ciclo for y los cálculos matemáticos son lógicamente
  correctos. 
  1.0 
  1.0 
  5. Presentación (UX) 
  Uso de f-strings, código documentado y mensajes claros
  para el usuario. 
  0.5 
  0.5 
  Bono de Seguridad 
  No se implementó el bloque try-except. 
  + 1.0 
  + 0.0 
  TOTAL 
  5.0 
  4.5 
 Diego Mauricio Zuluaga Rodríguez 
Profesor - Departamento de Economía 
Universidad de La Sabana</t>
  </si>
  <si>
    <t>Arianne Mariana Amorocho Quiroga</t>
  </si>
  <si>
    <t>Arianne Mariana</t>
  </si>
  <si>
    <t>Amorocho Quiroga</t>
  </si>
  <si>
    <t>arianneamqu@unisabana.edu.co</t>
  </si>
  <si>
    <t>Retroalimentación de la Entrega: Examen Parcial 1 - Motor
Lógico "FinVes"  Estudiante: AMOROCHO QUIROGA, ARIANNE MARIANA Calificación Final: 5.0 / 5.0 (+1.0 Unidad de Bono por uso de try-except)  Comentarios del Profesor: Arianne, has entregado un examen parcial impecable.
Demostraste un dominio absoluto de todos los temas vistos durante el primer
corte y, lo más importante, probaste que tienes la lógica estructurada de una
verdadera analista y desarrolladora.  Puntos a destacar (Lo excelente): 
 Autogestión
     y Sanity Check: Tu pseudocódigo en la celda de Markdown es detallado,
     claro y coincide paso a paso con la ejecución de tu código en Python.
     Cumpliste a la perfección la regla de "pensar antes de
     programar". 
 Robustez
     del Código (Bono +1.0): Implementaste bloques try-except tanto en la
     configuración inicial del perfil como en el registro de inversiones. Esto
     demuestra que te pones en los zapatos del usuario y previenes que la
     aplicación colapse por un error de digitación. Excelente iniciativa. 
 Estructuras
     de Datos: Manejaste a la perfección la combinación de Diccionarios
     (para el perfil y las inversiones individuales), Tuplas (para los activos
     fijos) y Listas (para el portafolio dinámico). 
 Presentación
     (UX): El uso de f-strings con el formato :,.2f hace que tu aplicación
     se vea como un software financiero real. Además, los menús y mensajes en
     consola son muy limpios e intuitivos (noté en el registro de salida que
     hiciste pruebas exhaustivas, incluso usando "Matias" como
     usuario de prueba, lo cual es una excelente práctica de testeo).  Motivación: 
Tienes una base técnica y lógica sumamente sólida. Si mantienes esta
disciplina, rigurosidad y atención al detalle, no solo te irá excelente en lo
que resta del semestre, sino que tendrás las herramientas necesarias para
liderar proyectos tecnológicos reales en tu vida profesional. ¡Felicitaciones
por este gran resultado!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con separadores de miles, código
  documentado y mensajes claros. 
  0.5 
  0.5 
  Bono de Seguridad 
  Implementación de try-except para evitar cierres abruptos
  por errores de formato (ValueError). 
  + 1.0 
  + 1.0 
  TOTAL 
  5.0 
  6.0 
 Diego Mauricio Zuluaga Rodríguez 
Profesor - Departamento de Economía 
Universidad de La Sabana</t>
  </si>
  <si>
    <t>Maria Juliana Herrera Pulido</t>
  </si>
  <si>
    <t>Herrera Pulido</t>
  </si>
  <si>
    <t>mariahepu@unisabana.edu.co</t>
  </si>
  <si>
    <t>Simon Gustavo Restrepo Alvarez</t>
  </si>
  <si>
    <t>Simon Gustavo</t>
  </si>
  <si>
    <t>Restrepo Alvarez</t>
  </si>
  <si>
    <t>simonreal@unisabana.edu.co</t>
  </si>
  <si>
    <t>Retroalimentación de la Entrega: Examen Parcial 1 - Motor
Lógico "FinVes"  Estudiante: Restrepo Alvarez, Simon Gustavo Calificación Final: 4.8 / 5.0  Comentarios del Profesor: Has entregado un examen con una lógica de programación muy
sólida. Es grato ver que fuiste un paso más allá de lo enseñado en este primer
corte al implementar funciones (def) para modularizar tu código. Esto demuestra
curiosidad intelectual y una excelente capacidad de abstracción.  Puntos a destacar (Lo excelente): 
 Autogestión
     (Pseudocódigo): Tu paso a paso en la celda de Markdown es claro,
     estructurado y refleja fielmente lo que programaste después. Cumpliste
     perfectamente con la regla de planear antes de codificar. 
 Modularidad
     Avanzada: Separar la lógica en registrar_inversion() y mostrar_reporte()
     hace que tu menú principal (while True) quede sumamente limpio y fácil de
     leer. Esta es una práctica profesional excelente. 
 Estructuras
     de Datos y Matemáticas: Implementaste correctamente el diccionario, la
     tupla y la lista. Además, los cálculos del ingreso pasivo mensual y el
     porcentaje de avance son matemáticamente exactos y están bien aplicados
     dentro del ciclo for.  Oportunidades de Mejora (Atención al Detalle): 
El motivo por el cual no alcanzas la nota máxima (y el bono) se debe a detalles
específicos de la rúbrica en cuanto a presentación y seguridad: 
 Documentación
     del Código: La rúbrica exigía explícitamente "código documentado
     con # explicando cada bloque". Tu script en Python carece de
     comentarios internos. En el entorno profesional, documentar el código es
     vital para que otros desarrolladores entiendan tu lógica. 
 Formato
     de Moneda (UX): Utilizaste :.2f para los decimales, lo cual está bien,
     pero la rúbrica pedía :,.2f para incluir los separadores de miles. En
     finanzas, leer $1000000.00 es mucho más difícil que leer $1,000,000.00. 
 Bono
     de Seguridad: No implementaste el bloque try-except para capturar
     errores de digitación (por ejemplo, si el usuario escribe "diez"
     en lugar de "10" en el monto). Por este motivo, no aplicas para
     la unidad extra del parcial.  Motivación: 
Tienes una intuición natural para la programación y la estructuración de
software. El uso de funciones demuestra que estás listo para temas más
avanzados. Si ajustas tu atención a los detalles de los requerimientos del
cliente (la rúbrica) y te acostumbras a documentar tu código, tus próximos
proyectos serán de nivel "Senior". ¡Excelente trabajo!  Rúbrica de Calificación 
  Criterio de Evaluación 
  Descripción Técnica 
  Puntaje Máximo 
  Puntaje Obtenido 
  1. Autogestión y Lógica 
  Pseudocódigo detallado en Markdown que refleja la
  planeación exacta del sistema. 
  1.0 
  1.0 
  2. Estructuras de Datos 
  Implementación y manipulación correcta de Lista, Tupla y
  Diccionario. 
  1.5 
  1.5 
  3. Control de Flujo 
  Menú while funcional, uso innovador de funciones (def) y
  decisiones lógicas precisas. 
  1.0 
  1.0 
  4. Procesamiento 
  Recorrido correcto con for, cálculos matemáticos precisos
  de ingresos pasivos y porcentajes. 
  1.0 
  1.0 
  5. Presentación (UX) 
  Ausencia de comentarios (#) en el código y falta del
  separador de miles (,) en los f-strings. 
  0.5 
  0.3 
  Bono de Seguridad 
  No se implementó try-except para evitar cierres abruptos. 
  + 1.0 
  + 0.0 
  TOTAL 
  5.0 
  4.8 
 Diego Mauricio Zuluaga Rodríguez 
Profesor - Departamento de Economía 
Universidad de La Sabana</t>
  </si>
  <si>
    <t>Daniel Felipe Camacho Pedraza</t>
  </si>
  <si>
    <t>Daniel Felipe</t>
  </si>
  <si>
    <t>Camacho Pedraza</t>
  </si>
  <si>
    <t>danielcampe@unisabana.edu.co</t>
  </si>
  <si>
    <t>Retroalimentación de la Entrega: Examen Parcial 1 - Motor
Lógico "FinVes"  Estudiante: Camacho Pedraza, Daniel Felipe Calificación Final: 4.5 / 5.0 (Incluye +1.0 de Bono por uso de try-except)  Comentarios del Profesor: Tu desempeño técnico en este parcial es sobresaliente.
El código que has escrito no solo es funcional, sino que demuestra un nivel de
habilidad y atención al detalle en la presentación (UX) que va más allá de lo
esperado para este primer corte.  Puntos a destacar (Lo excelente): 
 Robustez
     del Código (Bono +1.0): Implementaste try-except de manera impecable
     para validar las entradas numéricas, evitando que la aplicación colapse.
     Además, la validación if activo_elegido not in activos_disponibles es una
     muestra de pensamiento lógico defensivo de alto nivel. 
 Presentación
     Profesional (UX): El uso de f-strings con alineación (:&amp;lt;20, :&amp;gt;14)
     y el cálculo de la cantidad faltante para la meta financiera son detalles
     que transforman un script funcional en una herramienta útil y profesional. 
 Lógica
     de Programación: El control de flujo con el menú while, el
     procesamiento con el ciclo for y las decisiones con if/else son perfectos.  Oportunidades de Mejora (Atención al Detalle y
Autogestión): 
El motivo por el cual la nota no es superior a 5.0, a pesar de tu brillantez
técnica, se debe a dos fallos críticos en el seguimiento de instrucciones, que
es un pilar de la competencia de Autogestión: 
 Ausencia
     del Pseudocódigo: La regla #3 del examen era explícita: "DEBEN
     escribir el Pseudocódigo" en una celda de Markdown antes del
     código. Omitir este paso, que valida el proceso de "pensar antes de
     programar", anula por completo el puntaje del primer criterio de la
     rúbrica. 
 Precisión
     en los Datos: La tupla activos_disponibles debía contener 4 mercados,
     pero omitiste "S&amp;amp;P500". En el mundo financiero y de
     negocios, si un cliente te pide un reporte con 4 KPIs, entregar 3 es un
     error crítico. 
 Bug
     Menor: Hubo un error de variable (NameError) en la creación del
     diccionario perfil_usuario al usar meta en lugar de meta_str, lo que
     indica que faltó una revisión final.  Motivación: 
Tienes un talento natural para la programación y la lógica. Tu código es de los
mejores del curso. El siguiente paso en tu desarrollo profesional es combinar
ese talento técnico con una disciplina férrea para seguir los requerimientos de
un proyecto al pie de la letra. Si logras eso, tu potencial es ilimitado.  Rúbrica de Calificación 
  Criterio de Evaluación 
  Descripción Técnica 
  Puntaje Máximo 
  Puntaje Obtenido 
  1. Autogestión y Lógica 
  El pseudocódigo no fue entregado en la celda de Markdown. 
  1.0 
  1.0 
  2. Estructuras de Datos 
  Implementación correcta de Lista y Diccionario. La Tupla
  está incompleta. 
  1.5 
  1.0 
  3. Control de Flujo 
  Menú while y decisiones if/else implementados de forma
  impecable. 
  1.0 
  1.0 
  4. Procesamiento 
  Recorrido con for y cálculos matemáticos correctos. 
  1.0 
  1.0 
  5. Presentación (UX) 
  Uso de f-strings y comentarios excelente. Supera las
  expectativas. 
  0.5 
  0.5 
  Bono de Seguridad 
  Implementación de try-except para evitar ValueError. 
  + 1.0 
  + 1.0 
  TOTAL 
  5.0 
  5.5 
 Diego Mauricio Zuluaga Rodríguez 
Profesor - Departamento de Economía 
Universidad de La Sabana</t>
  </si>
  <si>
    <t>Mateo Perez Daza</t>
  </si>
  <si>
    <t>Mateo</t>
  </si>
  <si>
    <t>Perez Daza</t>
  </si>
  <si>
    <t>mateopeda@unisabana.edu.co</t>
  </si>
  <si>
    <t>Retroalimentación de la Entrega: Examen Parcial 1 - Motor
Lógico "FinVes"  Estudiante: Perez Daza, Mateo Calificación Final: 4.8 / 5.0  Comentarios del Profesor: Has entregado un examen con una lógica de programación muy
sólida. Es grato ver que fuiste un paso más allá de lo enseñado en este primer
corte al implementar funciones (def) para modularizar tu código. Esto demuestra
curiosidad intelectual y una excelente capacidad de abstracción.  Puntos a destacar (Lo excelente): 
 Autogestión
     (Pseudocódigo): Tu paso a paso en la celda de Markdown es claro,
     estructurado y refleja fielmente lo que programaste después. Cumpliste
     perfectamente con la regla de planear antes de codificar. 
 Modularidad
     Avanzada: Separar la lógica en registrar_inversion() y mostrar_reporte()
     hace que tu menú principal (while True) quede sumamente limpio y fácil de
     leer. Esta es una práctica profesional excelente. 
 Estructuras
     de Datos y Matemáticas: Implementaste correctamente el diccionario, la
     tupla y la lista. Además, los cálculos del ingreso pasivo mensual y el
     porcentaje de avance son matemáticamente exactos y están bien aplicados
     dentro del ciclo for.  Oportunidades de Mejora (Atención al Detalle): 
El motivo por el cual no alcanzas la nota máxima (y el bono) se debe a detalles
específicos de la rúbrica en cuanto a presentación y seguridad: 
 Documentación
     del Código: La rúbrica exigía explícitamente "código documentado
     con # explicando cada bloque". Tu script en Python carece de
     comentarios internos. En el entorno profesional, documentar el código es
     vital para que otros desarrolladores entiendan tu lógica. 
 Formato
     de Moneda (UX): Utilizaste :.2f para los decimales, lo cual está bien,
     pero la rúbrica pedía :,.2f para incluir los separadores de miles. En
     finanzas, leer $1000000.00 es mucho más difícil que leer $1,000,000.00. 
 Bono
     de Seguridad: No implementaste el bloque try-except para capturar
     errores de digitación (por ejemplo, si el usuario escribe "diez"
     en lugar de "10" en el monto). Por este motivo, no aplicas para
     la unidad extra del parcial.  Motivación: 
Tienes una intuición natural para la programación y la estructuración de
software. El uso de funciones demuestra que estás listo para temas más
avanzados. Si ajustas tu atención a los detalles de los requerimientos del
cliente (la rúbrica) y te acostumbras a documentar tu código, tus próximos
proyectos serán de nivel "Senior". ¡Excelente trabajo!  Rúbrica de Calificación 
  Criterio de Evaluación 
  Descripción Técnica 
  Puntaje Máximo 
  Puntaje Obtenido 
  1. Autogestión y Lógica 
  Pseudocódigo detallado en Markdown que refleja la
  planeación exacta del sistema. 
  1.0 
  1.0 
  2. Estructuras de Datos 
  Implementación y manipulación correcta de Lista, Tupla y
  Diccionario. 
  1.5 
  1.5 
  3. Control de Flujo 
  Menú while funcional, uso innovador de funciones (def) y
  decisiones lógicas precisas. 
  1.0 
  1.0 
  4. Procesamiento 
  Recorrido correcto con for, cálculos matemáticos precisos
  de ingresos pasivos y porcentajes. 
  1.0 
  1.0 
  5. Presentación (UX) 
  Ausencia de comentarios (#) en el código y falta del
  separador de miles (,) en los f-strings. 
  0.5 
  0.3 
  Bono de Seguridad 
  No se implementó try-except para evitar cierres abruptos. 
  + 1.0 
  + 0.0 
  TOTAL 
  5.0 
  4.8 
 Diego Mauricio Zuluaga Rodríguez 
Profesor - Departamento de Economía 
Universidad de La Sabana</t>
  </si>
  <si>
    <t>Matias Mondragon Osorio</t>
  </si>
  <si>
    <t>Matias</t>
  </si>
  <si>
    <t>Mondragon Osorio</t>
  </si>
  <si>
    <t>matiasmoos@unisabana.edu.co</t>
  </si>
  <si>
    <t>Retroalimentación de la Entrega: Examen Parcial 1 - Motor
Lógico "FinVes"  Estudiante: MONDRAGON OSORIO, MATIAS Calificación Final: 5.0 / 5.0 (+1.0 Unidad de Bono por uso de try-except)  Comentarios del Profesor: Has entregado un examen parcial impecable.
Demostraste un dominio absoluto de todos los temas vistos durante el primer
corte y, lo más importante, probaste que tienes la lógica estructurada de una
verdadera analista y desarrolladora.  Puntos a destacar (Lo excelente): 
 Autogestión
     y Sanity Check: Tu pseudocódigo en la celda de Markdown es detallado,
     claro y coincide paso a paso con la ejecución de tu código en Python.
     Cumpliste a la perfección la regla de "pensar antes de
     programar". 
 Robustez
     del Código (Bono +1.0): Implementaste bloques try-except tanto en la
     configuración inicial del perfil como en el registro de inversiones. Esto
     demuestra que te pones en los zapatos del usuario y previenes que la
     aplicación colapse por un error de digitación. Excelente iniciativa. 
 Estructuras
     de Datos: Manejaste a la perfección la combinación de Diccionarios
     (para el perfil y las inversiones individuales), Tuplas (para los activos
     fijos) y Listas (para el portafolio dinámico). 
 Presentación
     (UX): El uso de f-strings con el formato :,.2f hace que tu aplicación
     se vea como un software financiero real. Además, los menús y mensajes en
     consola son muy limpios e intuitivos (noté en el registro de salida que
     hiciste pruebas exhaustivas, incluso usando "Matias" como
     usuario de prueba, lo cual es una excelente práctica de testeo).  Motivación: 
Tienes una base técnica y lógica sumamente sólida. Si mantienes esta
disciplina, rigurosidad y atención al detalle, no solo te irá excelente en lo
que resta del semestre, sino que tendrás las herramientas necesarias para
liderar proyectos tecnológicos reales en tu vida profesional. ¡Felicitaciones
por este gran resultado!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con separadores de miles, código
  documentado y mensajes claros. 
  0.5 
  0.5 
  Bono de Seguridad 
  Implementación de try-except para evitar cierres abruptos
  por errores de formato (ValueError). 
  + 1.0 
  + 1.0 
  TOTAL 
  5.0 
  6.0 
 Diego Mauricio Zuluaga Rodríguez 
Profesor - Departamento de Economía 
Universidad de La Sabana</t>
  </si>
  <si>
    <t>Juan David Neuta Medina</t>
  </si>
  <si>
    <t>Juan David</t>
  </si>
  <si>
    <t>Neuta Medina</t>
  </si>
  <si>
    <t>juanneme@unisabana.edu.co</t>
  </si>
  <si>
    <t>Retroalimentación de la Entrega: Examen Parcial 1 - Motor
Lógico "FinVes"  Estudiante: Neuta Medina, Juan David Calificación Final: 5.0 / 5.0  Comentarios del Profesor: Tu examen es un ejemplo de excelencia técnica y
metodológica. Has demostrado un dominio completo de todos los conceptos del
primer corte y, lo que es más importante, una capacidad de autogestión y
pensamiento estructurado que es precisamente lo que buscamos en los
profesionales de la EICEA.  Puntos a destacar (Lo excelente): 
 Autogestión
     y Lógica Impecable: Tu pseudocódigo en la celda de Markdown es de
     altísima calidad. Es detallado, sigue una estructura lógica profesional y
     se refleja perfectamente en tu código final. Cumpliste a cabalidad la
     regla de "pensar antes de programar". 
 Programación
     Defensiva: La validación if activo not in activos_disponibles: es una
     muestra de pensamiento computacional avanzado. No solo hiciste que el
     programa funcionara, sino que lo hiciste robusto, anticipándote a los
     errores del usuario. 
 Presentación
     y UX Profesional: El uso de emojis, mensajes claros y una interfaz de
     consola bien organizada demuestra que piensas en el usuario final. Esto
     transforma un simple script en una aplicación amigable.  Oportunidad de Mejora (El Siguiente Nivel): 
Tu código es funcionalmente perfecto. El único paso que te faltó para obtener
el bono de seguridad fue implementar el bloque try-except para manejar los ValueError
(cuando un usuario ingresa texto en lugar de un número). Si hubieras añadido
esa capa de protección, tu programa sería "a prueba de balas". Este
será uno de los temas que reforzaremos en el segundo corte.  Motivación: 
Has demostrado que no solo sabes programar, sino que sabes cómo construir una
solución completa y bien pensada. Esta habilidad para pasar de un problema de
negocio a un prototipo funcional es extremadamente valiosa en el mercado.
¡Felicitaciones por un trabajo impecable!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código documentado y mensajes claros. 
  0.5 
  0.5 
  Bono de Seguridad 
  No implementado. 
  + 1.0 
  + 0.0 
  TOTAL 
  5.0 
  5.0 
 Diego Mauricio Zuluaga Rodríguez 
Profesor - Departamento de Economía 
Universidad de La Sabana</t>
  </si>
  <si>
    <t>Laura Fernanda Lopez Parra</t>
  </si>
  <si>
    <t>Laura Fernanda</t>
  </si>
  <si>
    <t>Lopez Parra</t>
  </si>
  <si>
    <t>lauraloppa@unisabana.edu.co</t>
  </si>
  <si>
    <t>Retroalimentación de la Entrega: Examen Parcial 1 - Motor
Lógico "FinVes"  Estudiante: Lopez Parra, Laura Fernanda Calificación Final: 5.0 / 5.0  Comentarios del Profesor: Tu examen es un ejemplo de excelencia técnica y
metodológica. Has demostrado un dominio completo de todos los conceptos del
primer corte y, lo que es más importante, una capacidad de autogestión y
pensamiento estructurado que es precisamente lo que buscamos en los
profesionales de la EICEA.  Puntos a destacar (Lo excelente): 
 Autogestión
     y Lógica Impecable: Tu pseudocódigo en la celda de Markdown es de
     altísima calidad. Es detallado, sigue una estructura lógica profesional y
     se refleja perfectamente en tu código final. Cumpliste a cabalidad la
     regla de "pensar antes de programar". 
 Programación
     Defensiva: La validación if activo not in activos_disponibles: es una
     muestra de pensamiento computacional avanzado. No solo hiciste que el
     programa funcionara, sino que lo hiciste robusto, anticipándote a los
     errores del usuario. 
 Presentación
     y UX Profesional: El uso de emojis, mensajes claros y una interfaz de
     consola bien organizada demuestra que piensas en el usuario final. Esto
     transforma un simple script en una aplicación amigable.  Oportunidad de Mejora (El Siguiente Nivel): 
Tu código es funcionalmente perfecto. El único paso que te faltó para obtener
el bono de seguridad fue implementar el bloque try-except para manejar los ValueError
(cuando un usuario ingresa texto en lugar de un número). Si hubieras añadido
esa capa de protección, tu programa sería "a prueba de balas". Este
será uno de los temas que reforzaremos en el segundo corte.  Motivación: 
Has demostrado que no solo sabes programar, sino que sabes cómo construir una
solución completa y bien pensada. Esta habilidad para pasar de un problema de
negocio a un prototipo funcional es extremadamente valiosa en el mercado.
¡Felicitaciones por un trabajo impecable!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código documentado y mensajes claros. 
  0.5 
  0.5 
  Bono de Seguridad 
  No implementado. 
  + 1.0 
  + 0.0 
  TOTAL 
  5.0 
  5.0 
 Diego Mauricio Zuluaga Rodríguez 
Profesor - Departamento de Economía 
Universidad de La Sabana</t>
  </si>
  <si>
    <t>Lukas Blanco Llanes</t>
  </si>
  <si>
    <t>Lukas</t>
  </si>
  <si>
    <t>Blanco Llanes</t>
  </si>
  <si>
    <t>lukasblll@unisabana.edu.co</t>
  </si>
  <si>
    <t>Retroalimentación del Examen Parcial - Corte 1: App
"FinVes"  Estudiante: Lukas Blanco Llanes Calificación Final: 55.0 / 50.0 (Nota registrada: 5.0 +
Bono acumulable).  Comentarios del Profesor: Lukas, has entregado un examen parcial excepcional. No solo
cumpliste con todos los requerimientos técnicos de la rúbrica, sino que fuiste
más allá, implementando lógica avanzada de limpieza de datos que demuestra un
nivel de seniority poco común en un primer corte.  Aspectos Sobresalientes (Excelencia Técnica): 
 Ingeniería
     de Datos (Función leer_numero): Me impresionó gratamente tu función
     personalizada para limpiar la entrada de números. Manejar formatos
     complejos como 1.000.000,50 o 1,000,000.50 y convertirlos correctamente a float
     es un problema real en la industria financiera que resolviste con
     elegancia. Esto supera las expectativas del curso. 
 Autogestión
     Impecable: Tu pseudocódigo en Markdown es detallado, estructurado y
     coincide al 100% con la lógica final. Es evidente que planeaste antes de
     ejecutar. 
 Sanity
     Checks: Las validaciones de monto &amp;lt;= 0, tasa &amp;lt; 0 y la
     verificación de activos not in activos_disponibles blindan tu aplicación
     contra errores humanos. 
 UX
     Financiera: El reporte final con el desglose por inversión y el
     cálculo de avance porcentual es claro y profesional.  Bono de GitHub: 
Al haber entregado tu parcial mediante un repositorio de GitHub, sumas +5.0
puntos adicionales a tu nota (o al acumulado del corte), demostrando
competencia en gestión de versiones.  Conclusión: 
Tienes un talento natural para la lógica de programación aplicada a negocios.
Esa capacidad para anticipar cómo un usuario puede escribir mal un número (1.000.000
vs 1000000) es lo que diferencia a un programador promedio de uno excelente.
¡Sigue así!  Rúbrica de Calificación Detallada 
  Criterio de Evaluación 
  Descripción Técnica 
  Puntaje Máximo 
  Puntaje Obtenido 
  1. Autogestión y Lógica 
  Pseudocódigo detallado en Markdown que coincide con el
  código. 
  10.0 
  10.0 
  2. Estructuras de Datos 
  Implementación correcta de perfil_usuario (dict), activos_disponibles
  (tuple) y portafolio (list). 
  15.0 
  15.0 
  3. Control de Flujo 
  Menú while robusto, validaciones if/else y manejo de
  opciones inválidas. 
  10.0 
  10.0 
  4. Procesamiento 
  Cálculo preciso de ingresos pasivos, recorridos con for y
  lógica financiera correcta. 
  10.0 
  10.0 
  5. Presentación (UX) 
  Uso avanzado de f-strings y función propia para limpieza
  de formatos numéricos. 
  5.0 
  5.0 
  Bono GitHub 
  Entrega mediante repositorio de control de versiones. 
  + 5.0 
  + 5.0 
  TOTAL 
  50.0 
  65.0 
 Diego Mauricio Zuluaga Rodríguez 
Profesor - Departamento de Economía 
Universidad de La Sabana</t>
  </si>
  <si>
    <t>Juan Sebastian Salas Hinojosa</t>
  </si>
  <si>
    <t>Juan Sebastian</t>
  </si>
  <si>
    <t>Salas Hinojosa</t>
  </si>
  <si>
    <t>juansahi@unisabana.edu.co</t>
  </si>
  <si>
    <t>Retroalimentación de la Entrega: Examen Parcial 1 - Motor
Lógico "FinVes"  Estudiante: SALAS HINOJOSA, JUAN SEBASTIAN Calificación Final: 6.0 / 5.0 (5.0 Base + 1.0 Bono por excelencia
técnica)  Comentarios del Profesor: Tu examen no solo es correcto, es excepcional. Has ido
más allá de los requerimientos del parcial y has entregado una solución que
demuestra la mentalidad de un desarrollador senior: no solo resuelves el
problema, lo anticipas.  Puntos a destacar (Lo sobresaliente): 
 Autogestión
     y Diseño Lógico: Tu pseudocódigo es una obra de arte. Es tan detallado
     que incluso incluye una sección de "Criterios de cumplimiento de la
     rúbrica". Esto demuestra un nivel de autogestión y planeación que
     excede por completo las expectativas del curso. 
 Ingeniería
     de Software (Función leer_numero): La creación de la función leer_numero
     es la marca de un programador que piensa en la reutilización y la
     robustez. Esta función no solo usa try-except (lo que te otorga el bono de
     +1.0), sino que resuelve un problema real y complejo del contexto
     colombiano: la ambigüedad entre el punto y la coma como separadores
     decimales y de miles. Esto es pensamiento de ingeniería aplicado a un
     problema de negocio. 
 Dominio
     Técnico Integral: Has implementado a la perfección todas las
     estructuras de datos (Listas, Tuplas, Diccionarios) y de control (while, for,
     if/else). La forma en que guardas cada inversión como un diccionario
     dentro de la lista portafolio es la práctica estándar en la industria. 
 Experiencia
     de Usuario (UX): Tu programa es "a prueba de balas". Valida
     que la meta sea positiva, que el activo exista en la tupla, que los montos
     no sean negativos y que el usuario no pueda romper el programa con
     entradas inválidas.  Motivación: 
Este es el tipo de trabajo que se presenta en un portafolio para conseguir un
rol en una FinTech. Tienes una base lógica y técnica extremadamente sólida. Si
continúas con esta disciplina y curiosidad por resolver problemas de forma
elegante y robusta, tienes un futuro muy prometedor en el mundo de la
tecnología y los datos. ¡Felicitaciones por un desempeño extraordinario!  Rúbrica de Calificación 
  Criterio de Evaluación 
  Descripción Técnica 
  Puntaje Máximo 
  Puntaje Obtenido 
  1. Autogestión y Lógica 
  Pseudocódigo de nivel superior, detallado y perfectamente
  alineado con el código. 
  1.0 
  1.0 
  2. Estructuras de Datos 
  Implementación y manipulación impecable de Lista, Tupla y
  Diccionario. 
  1.5 
  1.5 
  3. Control de Flujo 
  Menú while robusto, con validaciones de entrada y
  decisiones if/else precisas. 
  1.0 
  1.0 
  4. Procesamiento 
  Recorrido con for, cálculos matemáticos correctos y
  casting manejado de forma avanzada. 
  1.0 
  1.0 
  5. Presentación (UX) 
  Uso de f-strings con formato, código limpio y mensajes
  claros. 
  0.5 
  0.5 
  Bono de Excelencia 
  Creación de función reutilizable (leer_numero) con try-except
  y lógica avanzada de validación. 
  + 1.0 
  + 1.0 
  TOTAL 
  5.0 
  6.0 
 Diego Mauricio Zuluaga Rodríguez 
Profesor - Departamento de Economía 
Universidad de La Sabana</t>
  </si>
  <si>
    <t>Avril Avril Ariza Quitian</t>
  </si>
  <si>
    <t>Avril Avril</t>
  </si>
  <si>
    <t>Ariza Quitian</t>
  </si>
  <si>
    <t>avrilarqu@unisabana.edu.co</t>
  </si>
  <si>
    <t>Retroalimentación de la Entrega: Examen Parcial 1 - Motor
Lógico "FinVes"  Estudiante: ARIZA QUITIAN, AVRIL Calificación Final: 5.0 / 5.0 (Nota Base: 4.5/5.0 + 1.0 Unidad de Bono por uso avanzado de try-except. La
nota máxima del sistema es 5.0).  Comentarios del Profesor: Avril, has entregado un examen parcial con un nivel técnico
sobresaliente. Has demostrado un dominio muy sólido de las estructuras de
control y de la prevención de errores, lo cual es vital para cualquier
aplicación financiera real.  Puntos a destacar (Lo excelente): 
 Robustez
     y Seguridad (Bono +1.0): Tu implementación de los bloques try-except
     fue excepcional. No solo validaste la entrada de la meta financiera, sino
     que creaste un sistema de selección de activos por índice numérico (enumerate)
     validando que el usuario no ingresara opciones fuera de rango. Esto es
     pensar como una verdadera desarrolladora. 
 Autogestión:
     El pseudocódigo está perfectamente estructurado y refleja paso a paso lo
     que programaste después. Cumpliste la regla de oro: pensar antes de
     codificar. 
 Estructuras
     de Datos: Manipulaste correctamente el Diccionario para el perfil, la
     Tupla para los activos y la Lista de diccionarios para el portafolio. 
 Presentación
     (UX): El uso de f-strings con separadores de miles (:,.2f) y la
     limpieza de los menús hacen que tu código sea muy agradable para el
     usuario final.  Oportunidad de Mejora (Atención al Detalle /
Requerimientos del Cliente): 
 El
     Cálculo del Avance: En el Paso 4, el requerimiento exigía
     explícitamente calcular el porcentaje de avance (Ingreso Pasivo /
     Meta) * 100 e imprimir el mensaje "Te falta un camino por
     recorrer. Tu avance es del X.XX%.". En tu código, calculaste el valor
     faltante absoluto (la resta). 
 Lección
     de Negocios: Aunque tu cálculo matemático es correcto y útil, en el
     mundo real, si un cliente o gerente te pide un KPI en porcentaje, entregar
     un valor absoluto se considera un fallo en el levantamiento de requisitos.
     Por este detalle tu nota base fue de 4.5, pero gracias a tu excelente
     trabajo extra con las validaciones (try-except), recuperaste el puntaje y
     lograste el 5.0 perfecto.  Motivación: 
Tienes una lógica de programación excelente y construyes código muy seguro.
Sigue cultivando esa atención a la prevención de errores, ajustando un poco más
la lectura estricta de los requerimientos, y serás una profesional imparable en
el análisis de datos y la tecnología. ¡Felicitaciones!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y cálculo de ingresos pasivos. (Penalización
  de -0.5 por no calcular el porcentaje de avance solicitado). 
  1.0 
  0.5 
  5. Presentación (UX) 
  Uso de f-strings con separadores de miles, código
  documentado y mensajes claros. 
  0.5 
  0.5 
  Bono de Seguridad 
  Implementación avanzada de try-except para evitar cierres
  abruptos en múltiples inputs. 
  + 1.0 
  + 1.0 
  TOTAL 
  5.0 
  5.5 
 Diego Mauricio Zuluaga Rodríguez 
Profesor - Departamento de Economía 
Universidad de La Sabana</t>
  </si>
  <si>
    <t>Samuel David Simancas Contreras</t>
  </si>
  <si>
    <t>Simancas Contreras</t>
  </si>
  <si>
    <t>samuelsico@unisabana.edu.co</t>
  </si>
  <si>
    <t>Retroalimentación de la Entrega: Examen Parcial 1 - Motor
Lógico "FinVes"  Estudiante: Simancas Contreras, Samuel David Calificación Final: 4.5 / 5.0 (Incluye +1.0 de Bono por uso de try-except)  Comentarios del Profesor: Tu desempeño técnico en este parcial es sobresaliente.
El código que has escrito no solo es funcional, sino que demuestra un nivel de
habilidad y atención al detalle en la presentación (UX) que va más allá de lo
esperado para este primer corte.  Puntos a destacar (Lo excelente): 
 Robustez
     del Código (Bono +1.0): Implementaste try-except de manera impecable
     para validar las entradas numéricas, evitando que la aplicación colapse.
     Además, la validación if activo_elegido not in activos_disponibles es una
     muestra de pensamiento lógico defensivo de alto nivel. 
 Presentación
     Profesional (UX): El uso de f-strings con alineación (:&amp;lt;20, :&amp;gt;14)
     y el cálculo de la cantidad faltante para la meta financiera son detalles
     que transforman un script funcional en una herramienta útil y profesional. 
 Lógica
     de Programación: El control de flujo con el menú while, el
     procesamiento con el ciclo for y las decisiones con if/else son perfectos.  Oportunidades de Mejora (Atención al Detalle y
Autogestión): 
El motivo por el cual la nota no es superior a 5.0, a pesar de tu brillantez
técnica, se debe a dos fallos críticos en el seguimiento de instrucciones, que
es un pilar de la competencia de Autogestión: 
 Ausencia
     del Pseudocódigo: La regla #3 del examen era explícita: "DEBEN
     escribir el Pseudocódigo" en una celda de Markdown antes del
     código. Omitir este paso, que valida el proceso de "pensar antes de
     programar", anula por completo el puntaje del primer criterio de la
     rúbrica. 
 Precisión
     en los Datos: La tupla activos_disponibles debía contener 4 mercados,
     pero omitiste "S&amp;amp;P500". En el mundo financiero y de
     negocios, si un cliente te pide un reporte con 4 KPIs, entregar 3 es un
     error crítico. 
 Bug
     Menor: Hubo un error de variable (NameError) en la creación del
     diccionario perfil_usuario al usar meta en lugar de meta_str, lo que
     indica que faltó una revisión final.  Motivación: 
Tienes un talento natural para la programación y la lógica. Tu código es de los
mejores del curso. El siguiente paso en tu desarrollo profesional es combinar
ese talento técnico con una disciplina férrea para seguir los requerimientos de
un proyecto al pie de la letra. Si logras eso, tu potencial es ilimitado.  Rúbrica de Calificación 
  Criterio de Evaluación 
  Descripción Técnica 
  Puntaje Máximo 
  Puntaje Obtenido 
  1. Autogestión y Lógica 
  El pseudocódigo no fue entregado en la celda de Markdown. 
  1.0 
  1.0 
  2. Estructuras de Datos 
  Implementación correcta de Lista y Diccionario. La Tupla
  está incompleta. 
  1.5 
  1.0 
  3. Control de Flujo 
  Menú while y decisiones if/else implementados de forma
  impecable. 
  1.0 
  1.0 
  4. Procesamiento 
  Recorrido con for y cálculos matemáticos correctos. 
  1.0 
  1.0 
  5. Presentación (UX) 
  Uso de f-strings y comentarios excelente. Supera las
  expectativas. 
  0.5 
  0.5 
  Bono de Seguridad 
  Implementación de try-except para evitar ValueError. 
  + 1.0 
  + 1.0 
  TOTAL 
  5.0 
  5.5 
 Diego Mauricio Zuluaga Rodríguez 
Profesor - Departamento de Economía 
Universidad de La Sabana</t>
  </si>
  <si>
    <t>Derek Sebastian Quintero Espindola</t>
  </si>
  <si>
    <t>Derek Sebastian</t>
  </si>
  <si>
    <t>Quintero Espindola</t>
  </si>
  <si>
    <t>derekques@unisabana.edu.co</t>
  </si>
  <si>
    <t>Maria Jose Huertas Osorio</t>
  </si>
  <si>
    <t>Huertas Osorio</t>
  </si>
  <si>
    <t>mariahueos@unisabana.edu.co</t>
  </si>
  <si>
    <t>Juan Camilo Leyton Lancheros</t>
  </si>
  <si>
    <t>Juan Camilo</t>
  </si>
  <si>
    <t>Leyton Lancheros</t>
  </si>
  <si>
    <t>juanleyla@unisabana.edu.co</t>
  </si>
  <si>
    <t>Retroalimentación de la Entrega: Examen Parcial 1 - Motor
Lógico "FinVes"  Estudiante: LEYTON LANCHEROS, JUAN CAMILO Calificación Final: 5.0 / 5.0 (Nota Desglosada: 4.0 Base + 1.0 Bono por Robustez Técnica. La ausencia del
Pseudocódigo anuló el punto de Lógica, pero el Bono compensó la nota final).  Comentarios del Profesor: Técnicamente has entregado uno de los códigos más
robustos de la clase. Tu implementación en Python demuestra un dominio sólido
de la sintaxis y una excelente capacidad para validar datos (evitando que el
programa colapse). Sin embargo, hay un punto crítico de Autogestión que
omitiste y que casi te cuesta la nota perfecta.  Puntos a destacar (Lo excelente): 
 Robustez
     y Seguridad (Bono +1.0): Implementaste bloques try-except y
     validaciones while True para asegurar que los datos ingresados (meta,
     monto, tasa) sean correctos. Esto protege al sistema de errores de usuario
     (ValueError) y cumple con el criterio para el bono extra. ¡Excelente
     trabajo blindando el código! 
 Lógica
     de Negocio: La fórmula de libertad financiera y el cálculo de ingresos
     pasivos son matemáticamente correctos. 
 Presentación:
     El uso de f-strings con separadores de miles (:,.2f) facilita la lectura
     de los datos financieros.  Oportunidad de Mejora (Atención a la Autogestión): 
 Ausencia
     de Pseudocódigo: El enunciado era explícito: "Antes de
     escribir una sola línea de código... DEBEN escribir el Pseudocódigo".
     Tu celda de Markdown solo tiene tu nombre. En este parcial, el Bono de
     Seguridad salvó tu nota, cubriendo el punto perdido por Lógica y
     Diseño. En futuros entregables, la planeación escrita es obligatoria y no
     negociable. 
 Tip
     Técnico: Usaste portafolio = portafolio + [inversion]. Aunque funciona
     (concatenación de listas), la forma estándar y más eficiente en memoria en
     Python es usar el método .append(inversion).  Motivación: 
Tienes una habilidad técnica muy fuerte. Si logras combinar esa capacidad de
programación con la disciplina de documentar tu lógica previamente
(Pseudocódigo), serás un desarrollador/analista excepcional. ¡Sigue así, pero
no descuides las instrucciones de autogestión!  Rúbrica de Calificación 
  Criterio de Evaluación 
  Descripción Técnica 
  Puntaje Máximo 
  Puntaje Obtenido 
  1. Autogestión y Lógica 
  Pseudocódigo faltante. No se presentó la planeación
  lógica en Markdown requerida. 
  1.0 
  0.0 
  2. Estructuras de Datos 
  Uso correcto de Diccionarios, Tuplas y Listas anidadas. 
  1.5 
  1.5 
  3. Control de Flujo 
  Menú interactivo funcional con opciones de salida y
  validación correcta. 
  1.0 
  1.0 
  4. Procesamiento 
  Cálculos matemáticos precisos e iteración correcta de la
  lista. 
  1.0 
  1.0 
  5. Presentación (UX) 
  Formato de moneda legible y mensajes claros al usuario. 
  0.5 
  0.5 
  Bono de Seguridad 
  Implementación efectiva de try-except y validaciones de
  entrada. 
  + 1.0 
  + 1.0 
  TOTAL 
  5.0 
  5.0 
 Diego Mauricio Zuluaga Rodríguez 
Profesor - Departamento de Economía 
Universidad de La Sabana</t>
  </si>
  <si>
    <t>Samuel Mathias Gonzalez Bernal</t>
  </si>
  <si>
    <t>Samuel Mathias</t>
  </si>
  <si>
    <t>Gonzalez Bernal</t>
  </si>
  <si>
    <t>samuelgonbe@unisabana.edu.co</t>
  </si>
  <si>
    <t>Retroalimentación de la Entrega: Examen Parcial 1 - Motor
Lógico "FinVes"  Estudiante: Samuel Mathias González Bernal Calificación Final: 4.3 / 5.0  Comentarios del Profesor: Has entregado un parcial con una estructura muy interesante
y con destellos de programación avanzada. Se nota que comprendes la sintaxis de
Python y te sientes cómodo explorando formas eficientes de resolver problemas.  Puntos a destacar (Lo excelente): 
 Autogestión
     (Pseudocódigo): Cumpliste a la perfección con la regla de escribir el
     pseudocódigo antes de programar. Tu paso a paso es lógico, estructurado y
     fácil de leer. 
 Estructuras
     de Datos: Implementaste correctamente el diccionario, la tupla y la
     lista. Validar si el activo ingresado existe dentro de la tupla (if activo
     in activos_disponibles:) es una excelente práctica de validación de datos. 
 Código
     Avanzado ("Pythónico"): El uso de la función sum() combinada
     con un generador en una sola línea (sum(inversion["monto"] * ...
     for inversion in portafolio)) para calcular el rendimiento total demuestra
     un nivel de abstracción superior al promedio. ¡Muy bien hecho! 
 Presentación
     Visual (UX): El uso de f-strings con separadores de miles y decimales
     (:,.2f) hace que la salida en consola sea muy profesional y fácil de leer
     para un usuario financiero.  Oportunidades de Mejora (Atención al Detalle): 
El motivo por el cual no alcanzas la nota máxima se debe a tres detalles
específicos en el seguimiento de instrucciones y la lógica de procesamiento: 
 Bug
     Lógico (Duplicidad de Datos): En la Opción 1, estás agregando la misma
     inversión dos veces a la lista portafolio. Primero haces un .append()
     parcial, luego le agregas la tasa, y unas líneas más abajo creas el
     diccionario datos_inversion y le haces .append() de nuevo. Si revisas tu
     propia consola de salida, verás que "Bonos del Estado" aparece
     duplicado y el ingreso pasivo se calcula por el doble del valor real. 
 Requerimiento
     Omitido (Porcentaje): La rúbrica exigía explícitamente calcular el
     porcentaje de avance (Ingreso Pasivo / Meta) * 100 e imprimir el mensaje "Te
     falta un camino por recorrer. Tu avance es del X.XX%.". Omitiste
     este cálculo matemático y el mensaje solicitado. 
 Documentación
     del Código: La rúbrica pedía "código documentado con # explicando
     cada bloque". Tu script carece por completo de comentarios internos.
     En el entorno profesional, documentar el código es vital para el trabajo
     en equipo. 
 Bono
     de Seguridad: No implementaste el bloque try-except para capturar
     errores de digitación (ValueError), por lo que no aplicas para la unidad
     extra.  Motivación: 
Tienes una lógica de programación muy ágil y utilizas herramientas avanzadas de
Python de forma natural. Tu reto ahora es la auditoría de tu propio código
(Sanity Check). Revisa siempre las salidas de tu consola para detectar bugs
(como la duplicidad) y lee los requerimientos del cliente línea por línea. Si
ajustas ese nivel de atención al detalle, tus próximos proyectos serán
perfectos. ¡Sigue adelante!  Rúbrica de Calificación 
  Criterio de Evaluación 
  Descripción Técnica 
  Puntaje Máximo 
  Puntaje Obtenido 
  1. Autogestión y Lógica 
  Pseudocódigo detallado en Markdown que refleja la
  planeación del sistema. 
  1.0 
  1.0 
  2. Estructuras de Datos 
  Implementación y manipulación correcta de Lista, Tupla y
  Diccionario. 
  1.5 
  1.5 
  3. Control de Flujo 
  Menú while funcional y decisiones lógicas precisas con if/elif/else. 
  1.0 
  1.0 
  4. Procesamiento 
  Penalización por duplicidad de datos en el .append() y por
  omitir el cálculo del porcentaje de avance exigido. 
  1.0 
  0.5 
  5. Presentación (UX) 
  Excelente uso de f-strings, pero ausencia total de
  comentarios (#) en el código. 
  0.5 
  0.3 
  Bono de Seguridad 
  No se implementó try-except para evitar cierres abruptos. 
  + 1.0 
  + 0.0 
  TOTAL 
  5.0 
  4.3 
 Diego Mauricio Zuluaga Rodríguez 
Profesor - Departamento de Economía 
Universidad de La Sabana</t>
  </si>
  <si>
    <t>Valeria Morales</t>
  </si>
  <si>
    <t>Valeria</t>
  </si>
  <si>
    <t>Morales</t>
  </si>
  <si>
    <t>valeriamor@unisabana.edu.co</t>
  </si>
  <si>
    <t>Retroalimentación de la Entrega: Examen Parcial 1 - Motor
Lógico "FinVes"  Estudiante: MORALES , VALERIA Calificación Final: 5.0 / 5.0  Comentarios del Profesor: Excelente trabajo. Has entregado un examen parcial
muy sólido y estructurado. Demostraste un dominio claro de los fundamentos de
Python y cumpliste a cabalidad con los requerimientos lógicos del caso de
negocio "FinVes".  Puntos a destacar (Lo excelente): 
 Autogestión
     y Lógica: Tu pseudocódigo es uno de los más ordenados que he revisado.
     El sistema de numeración (1.0, 1.1, 2.0...) refleja una mente analítica y
     estructurada. Lo más importante: el código en Python es un espejo exacto
     de tu planeación. 
 Estructuras
     de Datos: Declaraste e implementaste a la perfección el Diccionario
     para el perfil, la Tupla para los activos fijos y la Lista para el
     portafolio dinámico. 
 Procesamiento
     Matemático: El cálculo del ingreso pasivo mensual (inv["monto"]
     * (inv["tasa"] / 100)) / 12 y el acumulador dentro del ciclo for
     están impecables. Entendiste perfectamente la lógica financiera detrás del
     algoritmo.  Oportunidades de Mejora (Sanity Check y UX): 
 Manejo
     de Errores (El Bono perdido): El parcial ofrecía hasta +1.0 unidad
     extra por implementar bloques try-except. En tu código, si el usuario
     digita la letra "A" cuando pides la opción del menú (int(input(...)))
     o el monto a invertir, el programa colapsará inmediatamente con un ValueError.
     En el mundo real, los usuarios cometen errores de digitación; siempre
     debemos blindar nuestras aplicaciones. 
 Experiencia
     de Usuario (UX): Aunque calculaste el ingreso_pasivo_total
     correctamente y mostraste el porcentaje de avance con formato :,2f,
     omitiste imprimirle al usuario cuánto dinero exacto está generando
     mensualmente. En una App financiera, ver el monto en pesos es el mayor
     incentivo para el cliente.  Motivación: 
Tienes una excelente capacidad de abstracción y lógica de programación. Posees
las bases técnicas necesarias para modelar problemas complejos del mundo de los
negocios. Sigue cultivando este nivel de orden y disciplina en los próximos
cortes. ¡Felicitaciones por este gran resultado!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cálculos matemáticos precisos
  de ingresos pasivos y porcentajes. 
  1.0 
  1.0 
  5. Presentación (UX) 
  Uso de f-strings con separadores de miles, código
  documentado y mensajes claros. 
  0.5 
  0.5 
  Bono de Seguridad 
  Implementación de try-except para evitar cierres abruptos
  por errores de formato (ValueError). 
  + 1.0 
  + 0.0 
  TOTAL 
  5.0 
  5.0 
 Diego Mauricio Zuluaga Rodríguez 
Profesor - Departamento de Economía 
Universidad de La Sabana</t>
  </si>
  <si>
    <t>Samantha Vanegas Russi</t>
  </si>
  <si>
    <t>Samantha</t>
  </si>
  <si>
    <t>Vanegas Russi</t>
  </si>
  <si>
    <t>samanthavaru@unisabana.edu.co</t>
  </si>
  <si>
    <t>Retroalimentación de la Entrega: Examen Parcial 1 - Motor
Lógico "FinVes"  Estudiante: VANEGAS RUSSI, SAMANTHA Calificación Final: 5.0 / 5.0 (Nota Base: 4.5/5.0 + 1.0 Unidad de Bono por uso avanzado de try-except. La
nota máxima del sistema es 5.0).  Comentarios del Profesor: Has entregado un examen parcial con un nivel técnico
sobresaliente. Has demostrado un dominio muy sólido de las estructuras de
control y de la prevención de errores, lo cual es vital para cualquier
aplicación financiera real.  Puntos a destacar (Lo excelente): 
 Robustez
     y Seguridad (Bono +1.0): Tu implementación de los bloques try-except
     fue excepcional. No solo validaste la entrada de la meta financiera, sino
     que creaste un sistema de selección de activos por índice numérico (enumerate)
     validando que el usuario no ingresara opciones fuera de rango. Esto es
     pensar como una verdadera desarrolladora. 
 Autogestión:
     El pseudocódigo está perfectamente estructurado y refleja paso a paso lo
     que programaste después. Cumpliste la regla de oro: pensar antes de
     codificar. 
 Estructuras
     de Datos: Manipulaste correctamente el Diccionario para el perfil, la
     Tupla para los activos y la Lista de diccionarios para el portafolio. 
 Presentación
     (UX): El uso de f-strings con separadores de miles (:,.2f) y la
     limpieza de los menús hacen que tu código sea muy agradable para el
     usuario final.  Oportunidad de Mejora (Atención al Detalle /
Requerimientos del Cliente): 
 El
     Cálculo del Avance: En el Paso 4, el requerimiento exigía
     explícitamente calcular el porcentaje de avance (Ingreso Pasivo /
     Meta) * 100 e imprimir el mensaje "Te falta un camino por
     recorrer. Tu avance es del X.XX%.". En tu código, calculaste el valor
     faltante absoluto (la resta). 
 Lección
     de Negocios: Aunque tu cálculo matemático es correcto y útil, en el
     mundo real, si un cliente o gerente te pide un KPI en porcentaje, entregar
     un valor absoluto se considera un fallo en el levantamiento de requisitos.
     Por este detalle tu nota base fue de 4.5, pero gracias a tu excelente
     trabajo extra con las validaciones (try-except), recuperaste el puntaje y
     lograste el 5.0 perfecto.  Motivación: 
Tienes una lógica de programación excelente y construyes código muy seguro.
Sigue cultivando esa atención a la prevención de errores, ajustando un poco más
la lectura estricta de los requerimientos, y serás una profesional imparable en
el análisis de datos y la tecnología. ¡Felicitaciones!  Rúbrica de Calificación 
  Criterio de Evaluación 
  Descripción Técnica 
  Puntaje Máximo 
  Puntaje Obtenido 
  1. Autogestión y Lógica 
  Pseudocódigo detallado en Markdown que coincide
  exactamente con la lógica programada. 
  1.0 
  1.0 
  2. Estructuras de Datos 
  Implementación y manipulación correcta de Lista (portafolio),
  Tupla (activos) y Diccionario (perfil). 
  1.5 
  1.5 
  3. Control de Flujo 
  Menú while funcional, sin bucles infinitos y decisiones
  lógicas precisas con if/elif/else. 
  1.0 
  1.0 
  4. Procesamiento 
  Recorrido correcto con for y cálculo de ingresos pasivos. (Penalización
  de -0.5 por no calcular el porcentaje de avance solicitado). 
  1.0 
  0.5 
  5. Presentación (UX) 
  Uso de f-strings con separadores de miles, código
  documentado y mensajes claros. 
  0.5 
  0.5 
  Bono de Seguridad 
  Implementación avanzada de try-except para evitar cierres
  abruptos en múltiples inputs. 
  + 1.0 
  + 1.0 
  TOTAL 
  5.0 
  5.5 
 Diego Mauricio Zuluaga Rodríguez 
Profesor - Departamento de Economía 
Universidad de La Sabana</t>
  </si>
  <si>
    <t>Cristobal Robayo Jimenez</t>
  </si>
  <si>
    <t>Cristobal</t>
  </si>
  <si>
    <t>Robayo Jimenez</t>
  </si>
  <si>
    <t>cristobalroji@unisabana.edu.co</t>
  </si>
  <si>
    <t>Juan Jose Caballero Mantilla</t>
  </si>
  <si>
    <t>Juan Jose</t>
  </si>
  <si>
    <t>Caballero Mantilla</t>
  </si>
  <si>
    <t>juancabma@unisabana.edu.co</t>
  </si>
  <si>
    <t>Retroalimentación de la Entrega: Examen Parcial 1 - Motor
Lógico "FinVes"  Estudiante: Juan José Caballero Mantilla Calificación Final: 5.0 / 5.0 (+1.0 Unidad de Bono por uso de try-except)  Comentarios del Profesor: Has entregado un examen excelente. Demuestras una sólida
comprensión de todos los conceptos del primer corte y la capacidad de
integrarlos en una solución funcional y bien estructurada.  Puntos a destacar (Lo excelente): 
 Autogestión
     y Lógica: Tu pseudocódigo, aunque conciso, sigue la secuencia lógica
     correcta y se refleja fielmente en tu código Python. Cumpliste con el
     requerimiento de planificar antes de ejecutar. 
 Robustez
     del Código (Bono +1.0): La implementación del bloque try-except en el
     registro de la inversión es un acierto técnico muy importante. Demuestra
     que piensas en la experiencia del usuario y en cómo prevenir que el
     programa falle por entradas incorrectas. Por esta iniciativa, te has
     ganado la unidad de bono completa. 
 Dominio
     de Estructuras: Utilizaste correctamente la Lista, la Tupla y el
     Diccionario, cada uno para el propósito que fue diseñado en el enunciado,
     lo cual es clave para la eficiencia del código. 
 Presentación
     de Datos: El uso de f-strings con formato de moneda (:,.2f) es una
     práctica profesional que mejora enormemente la legibilidad de los reportes
     financieros.  Oportunidades de Mejora (Para llegar al siguiente nivel): 
 Documentación
     del Código: Tu código funciona perfectamente, pero para que sea aún
     más profesional, te sugiero añadir más comentarios (#) que expliquen el porqué
     de ciertos bloques. Por ejemplo, un comentario como # Acumulador para
     sumar los ingresos de todas las inversiones antes de ingreso_total = 0. 
 Validación
     de Entradas: Un siguiente paso en la robustez de tu app sería validar
     que el activo que el usuario ingresa esté realmente dentro de la tupla activos_disponibles.
     Esto se logra con un simple if activo in activos_disponibles:.  Motivación: 
Demuestras una gran capacidad para traducir un problema de negocio en una
solución técnica funcional. Tienes una base muy sólida para enfrentar los retos
más complejos que veremos en el segundo corte. Sigue puliendo estos detalles y
te convertirás en un excelente programador orientado a soluciones.
¡Felicitaciones!  Rúbrica de Calificación 
  Criterio de Evaluación 
  Descripción Técnica 
  Puntaje Máximo 
  Puntaje Obtenido 
  1. Autogestión y Lógica 
  Pseudocódigo en Markdown que coincide con la lógica
  programada. 
  1.0 
  1.0 
  2. Estructuras de Datos 
  Implementación y manipulación correcta de Lista, Tupla y
  Diccionario. 
  1.5 
  1.5 
  3. Control de Flujo 
  Menú while funcional, sin errores, y decisiones lógicas
  precisas con if/elif/else. 
  1.0 
  1.0 
  4. Procesamiento 
  Recorrido correcto con for, cálculos matemáticos precisos
  y sin errores de Casting. 
  1.0 
  1.0 
  5. Presentación (UX) 
  Uso de f-strings con formato profesional y mensajes
  claros. 
  0.5 
  0.5 
  Bono de Seguridad 
  Implementación de try-except para evitar cierres abruptos
  por errores de formato. 
  + 1.0 
  + 1.0 
  TOTAL 
  5.0 
  6.0 
 Diego Mauricio Zuluaga Rodríguez 
Profesor - Departamento de Economía 
Universidad de La Sabana</t>
  </si>
  <si>
    <t>Daniel Camilo Lopez Piraquive</t>
  </si>
  <si>
    <t>Daniel Camilo</t>
  </si>
  <si>
    <t>Lopez Piraquive</t>
  </si>
  <si>
    <t>danielloppi@unisabana.edu.co</t>
  </si>
  <si>
    <t>Retroalimentación de la Entrega: Examen Parcial 1 - Motor
Lógico "FinVes"  Estudiante: Lopez Piraquive, Daniel Camilo Calificación Final: 5.0 / 5.0 (+1.0 Unidad de Bono por uso de try-except)  Comentarios del Profesor: Has entregado un examen excelente. Demuestras una sólida
comprensión de todos los conceptos del primer corte y la capacidad de
integrarlos en una solución funcional y bien estructurada.  Puntos a destacar (Lo excelente): 
 Autogestión
     y Lógica: Tu pseudocódigo, aunque conciso, sigue la secuencia lógica
     correcta y se refleja fielmente en tu código Python. Cumpliste con el
     requerimiento de planificar antes de ejecutar. 
 Robustez
     del Código (Bono +1.0): La implementación del bloque try-except en el
     registro de la inversión es un acierto técnico muy importante. Demuestra
     que piensas en la experiencia del usuario y en cómo prevenir que el
     programa falle por entradas incorrectas. Por esta iniciativa, te has
     ganado la unidad de bono completa. 
 Dominio
     de Estructuras: Utilizaste correctamente la Lista, la Tupla y el
     Diccionario, cada uno para el propósito que fue diseñado en el enunciado,
     lo cual es clave para la eficiencia del código. 
 Presentación
     de Datos: El uso de f-strings con formato de moneda (:,.2f) es una
     práctica profesional que mejora enormemente la legibilidad de los reportes
     financieros.  Oportunidades de Mejora (Para llegar al siguiente nivel): 
 Documentación
     del Código: Tu código funciona perfectamente, pero para que sea aún
     más profesional, te sugiero añadir más comentarios (#) que expliquen el porqué
     de ciertos bloques. Por ejemplo, un comentario como # Acumulador para
     sumar los ingresos de todas las inversiones antes de ingreso_total = 0. 
 Validación
     de Entradas: Un siguiente paso en la robustez de tu app sería validar
     que el activo que el usuario ingresa esté realmente dentro de la tupla activos_disponibles.
     Esto se logra con un simple if activo in activos_disponibles:.  Motivación: 
Demuestras una gran capacidad para traducir un problema de negocio en una
solución técnica funcional. Tienes una base muy sólida para enfrentar los retos
más complejos que veremos en el segundo corte. Sigue puliendo estos detalles y
te convertirás en un excelente programador orientado a soluciones.
¡Felicitaciones!  Rúbrica de Calificación 
  Criterio de Evaluación 
  Descripción Técnica 
  Puntaje Máximo 
  Puntaje Obtenido 
  1. Autogestión y Lógica 
  Pseudocódigo en Markdown que coincide con la lógica
  programada. 
  1.0 
  1.0 
  2. Estructuras de Datos 
  Implementación y manipulación correcta de Lista, Tupla y
  Diccionario. 
  1.5 
  1.5 
  3. Control de Flujo 
  Menú while funcional, sin errores, y decisiones lógicas
  precisas con if/elif/else. 
  1.0 
  1.0 
  4. Procesamiento 
  Recorrido correcto con for, cálculos matemáticos precisos
  y sin errores de Casting. 
  1.0 
  1.0 
  5. Presentación (UX) 
  Uso de f-strings con formato profesional y mensajes
  claros. 
  0.5 
  0.5 
  Bono de Seguridad 
  Implementación de try-except para evitar cierres abruptos
  por errores de formato. 
  + 1.0 
  + 1.0 
  TOTAL 
  5.0 
  6.0 
 Diego Mauricio Zuluaga Rodríguez 
Profesor - Departamento de Economía 
Universidad de La Sabana</t>
  </si>
  <si>
    <t>Gabriela Ruiz Perez</t>
  </si>
  <si>
    <t>Gabriela</t>
  </si>
  <si>
    <t>Ruiz Perez</t>
  </si>
  <si>
    <t>gabrielarupe@unisabana.edu.co</t>
  </si>
  <si>
    <t>Juan Sebastian Perdomo Herrera</t>
  </si>
  <si>
    <t>Perdomo Herrera</t>
  </si>
  <si>
    <t>juanperhe@unisabana.edu.co</t>
  </si>
  <si>
    <t>Retroalimentación de la Entrega: Examen Parcial 1 - Motor
Lógico "FinVes"  Estudiante: Perdomo Herrera, Juan Sebastian Calificación Final: 4.5 / 5.0 (Incluye +1.0 de Bono por uso de try-except)  Comentarios del Profesor: Tu desempeño técnico en este parcial es sobresaliente.
El código que has escrito no solo es funcional, sino que demuestra un nivel de
habilidad y atención al detalle en la presentación (UX) que va más allá de lo
esperado para este primer corte.  Puntos a destacar (Lo excelente): 
 Robustez
     del Código (Bono +1.0): Implementaste try-except de manera impecable
     para validar las entradas numéricas, evitando que la aplicación colapse.
     Además, la validación if activo_elegido not in activos_disponibles es una
     muestra de pensamiento lógico defensivo de alto nivel. 
 Presentación
     Profesional (UX): El uso de f-strings con alineación (:&amp;lt;20, :&amp;gt;14)
     y el cálculo de la cantidad faltante para la meta financiera son detalles
     que transforman un script funcional en una herramienta útil y profesional. 
 Lógica
     de Programación: El control de flujo con el menú while, el
     procesamiento con el ciclo for y las decisiones con if/else son perfectos.  Oportunidades de Mejora (Atención al Detalle y
Autogestión): 
El motivo por el cual la nota no es superior a 5.0, a pesar de tu brillantez
técnica, se debe a dos fallos críticos en el seguimiento de instrucciones, que
es un pilar de la competencia de Autogestión: 
 Ausencia
     del Pseudocódigo: La regla #3 del examen era explícita: "DEBEN
     escribir el Pseudocódigo" en una celda de Markdown antes del
     código. Omitir este paso, que valida el proceso de "pensar antes de
     programar", anula por completo el puntaje del primer criterio de la
     rúbrica. 
 Precisión
     en los Datos: La tupla activos_disponibles debía contener 4 mercados,
     pero omitiste "S&amp;amp;P500". En el mundo financiero y de
     negocios, si un cliente te pide un reporte con 4 KPIs, entregar 3 es un
     error crítico. 
 Bug
     Menor: Hubo un error de variable (NameError) en la creación del
     diccionario perfil_usuario al usar meta en lugar de meta_str, lo que
     indica que faltó una revisión final.  Motivación: 
Tienes un talento natural para la programación y la lógica. Tu código es de los
mejores del curso. El siguiente paso en tu desarrollo profesional es combinar
ese talento técnico con una disciplina férrea para seguir los requerimientos de
un proyecto al pie de la letra. Si logras eso, tu potencial es ilimitado.  Rúbrica de Calificación 
  Criterio de Evaluación 
  Descripción Técnica 
  Puntaje Máximo 
  Puntaje Obtenido 
  1. Autogestión y Lógica 
  El pseudocódigo no fue entregado en la celda de Markdown. 
  1.0 
  1.0 
  2. Estructuras de Datos 
  Implementación correcta de Lista y Diccionario. La Tupla
  está incompleta. 
  1.5 
  1.0 
  3. Control de Flujo 
  Menú while y decisiones if/else implementados de forma
  impecable. 
  1.0 
  1.0 
  4. Procesamiento 
  Recorrido con for y cálculos matemáticos correctos. 
  1.0 
  1.0 
  5. Presentación (UX) 
  Uso de f-strings y comentarios excelente. Supera las
  expectativas. 
  0.5 
  0.5 
  Bono de Seguridad 
  Implementación de try-except para evitar ValueError. 
  + 1.0 
  + 1.0 
  TOTAL 
  5.0 
  5.5 
 Diego Mauricio Zuluaga Rodríguez 
Profesor - Departamento de Economía 
Universidad de La Sabana</t>
  </si>
  <si>
    <t>Martin Martin Trujillo Rodriguez</t>
  </si>
  <si>
    <t>Martin Martin</t>
  </si>
  <si>
    <t>Trujillo Rodriguez</t>
  </si>
  <si>
    <t>martintrro@unisabana.edu.co</t>
  </si>
  <si>
    <t>Retroalimentación de la Entrega: Examen Parcial 1 - Motor
Lógico "FinVes"  Estudiante: Trujillo Rodriguez, Martin Martin Calificación Final: 5.0 / 5.0 (+1.0 Unidad de Bono por uso de try-except)  Comentarios del Profesor: Has entregado un examen excelente. Demuestras una sólida
comprensión de todos los conceptos del primer corte y la capacidad de
integrarlos en una solución funcional y bien estructurada.  Puntos a destacar (Lo excelente): 
 Autogestión
     y Lógica: Tu pseudocódigo, aunque conciso, sigue la secuencia lógica
     correcta y se refleja fielmente en tu código Python. Cumpliste con el
     requerimiento de planificar antes de ejecutar. 
 Robustez
     del Código (Bono +1.0): La implementación del bloque try-except en el
     registro de la inversión es un acierto técnico muy importante. Demuestra
     que piensas en la experiencia del usuario y en cómo prevenir que el
     programa falle por entradas incorrectas. Por esta iniciativa, te has
     ganado la unidad de bono completa. 
 Dominio
     de Estructuras: Utilizaste correctamente la Lista, la Tupla y el
     Diccionario, cada uno para el propósito que fue diseñado en el enunciado,
     lo cual es clave para la eficiencia del código. 
 Presentación
     de Datos: El uso de f-strings con formato de moneda (:,.2f) es una
     práctica profesional que mejora enormemente la legibilidad de los reportes
     financieros.  Oportunidades de Mejora (Para llegar al siguiente nivel): 
 Documentación
     del Código: Tu código funciona perfectamente, pero para que sea aún
     más profesional, te sugiero añadir más comentarios (#) que expliquen el porqué
     de ciertos bloques. Por ejemplo, un comentario como # Acumulador para
     sumar los ingresos de todas las inversiones antes de ingreso_total = 0. 
 Validación
     de Entradas: Un siguiente paso en la robustez de tu app sería validar
     que el activo que el usuario ingresa esté realmente dentro de la tupla activos_disponibles.
     Esto se logra con un simple if activo in activos_disponibles:.  Motivación: 
Demuestras una gran capacidad para traducir un problema de negocio en una
solución técnica funcional. Tienes una base muy sólida para enfrentar los retos
más complejos que veremos en el segundo corte. Sigue puliendo estos detalles y
te convertirás en un excelente programador orientado a soluciones.
¡Felicitaciones!  Rúbrica de Calificación 
  Criterio de Evaluación 
  Descripción Técnica 
  Puntaje Máximo 
  Puntaje Obtenido 
  1. Autogestión y Lógica 
  Pseudocódigo en Markdown que coincide con la lógica
  programada. 
  1.0 
  1.0 
  2. Estructuras de Datos 
  Implementación y manipulación correcta de Lista, Tupla y
  Diccionario. 
  1.5 
  1.5 
  3. Control de Flujo 
  Menú while funcional, sin errores, y decisiones lógicas
  precisas con if/elif/else. 
  1.0 
  1.0 
  4. Procesamiento 
  Recorrido correcto con for, cálculos matemáticos precisos
  y sin errores de Casting. 
  1.0 
  1.0 
  5. Presentación (UX) 
  Uso de f-strings con formato profesional y mensajes
  claros. 
  0.5 
  0.5 
  Bono de Seguridad 
  Implementación de try-except para evitar cierres abruptos
  por errores de formato. 
  + 1.0 
  + 1.0 
  TOTAL 
  5.0 
  6.0 
 Diego Mauricio Zuluaga Rodríguez 
Profesor - Departamento de Economía 
Universidad de La Sabana</t>
  </si>
  <si>
    <t>Alan David Rossoff Vanegas</t>
  </si>
  <si>
    <t>Alan David</t>
  </si>
  <si>
    <t>Rossoff Vanegas</t>
  </si>
  <si>
    <t>alanrova@unisabana.edu.co</t>
  </si>
  <si>
    <t>Retroalimentación de la Entrega: Examen Parcial 1 - Motor
Lógico "FinVes"  Estudiante: Alan Rossoff Calificación Final: 6.0 / 5.0 (5.0 Base + 1.0 Bono por excelencia
técnica)  Comentarios del Profesor: Alan, tu examen no solo es correcto, es excepcional. Has ido
más allá de los requerimientos del parcial y has entregado una solución que
demuestra la mentalidad de un desarrollador senior: no solo resuelves el
problema, lo anticipas.  Puntos a destacar (Lo sobresaliente): 
 Autogestión
     y Diseño Lógico: Tu pseudocódigo es una obra de arte. Es tan detallado
     que incluso incluye una sección de "Criterios de cumplimiento de la
     rúbrica". Esto demuestra un nivel de autogestión y planeación que
     excede por completo las expectativas del curso. 
 Ingeniería
     de Software (Función leer_numero): La creación de la función leer_numero
     es la marca de un programador que piensa en la reutilización y la
     robustez. Esta función no solo usa try-except (lo que te otorga el bono de
     +1.0), sino que resuelve un problema real y complejo del contexto
     colombiano: la ambigüedad entre el punto y la coma como separadores
     decimales y de miles. Esto es pensamiento de ingeniería aplicado a un
     problema de negocio. 
 Dominio
     Técnico Integral: Has implementado a la perfección todas las
     estructuras de datos (Listas, Tuplas, Diccionarios) y de control (while, for,
     if/else). La forma en que guardas cada inversión como un diccionario
     dentro de la lista portafolio es la práctica estándar en la industria. 
 Experiencia
     de Usuario (UX): Tu programa es "a prueba de balas". Valida
     que la meta sea positiva, que el activo exista en la tupla, que los montos
     no sean negativos y que el usuario no pueda romper el programa con
     entradas inválidas.  Motivación: 
Este es el tipo de trabajo que se presenta en un portafolio para conseguir un
rol en una FinTech. Tienes una base lógica y técnica extremadamente sólida. Si
continúas con esta disciplina y curiosidad por resolver problemas de forma
elegante y robusta, tienes un futuro muy prometedor en el mundo de la
tecnología y los datos. ¡Felicitaciones por un desempeño extraordinario!  Rúbrica de Calificación 
  Criterio de Evaluación 
  Descripción Técnica 
  Puntaje Máximo 
  Puntaje Obtenido 
  1. Autogestión y Lógica 
  Pseudocódigo de nivel superior, detallado y perfectamente
  alineado con el código. 
  1.0 
  1.0 
  2. Estructuras de Datos 
  Implementación y manipulación impecable de Lista, Tupla y
  Diccionario. 
  1.5 
  1.5 
  3. Control de Flujo 
  Menú while robusto, con validaciones de entrada y
  decisiones if/else precisas. 
  1.0 
  1.0 
  4. Procesamiento 
  Recorrido con for, cálculos matemáticos correctos y
  casting manejado de forma avanzada. 
  1.0 
  1.0 
  5. Presentación (UX) 
  Uso de f-strings con formato, código limpio y mensajes
  claros. 
  0.5 
  0.5 
  Bono de Excelencia 
  Creación de función reutilizable (leer_numero) con try-except
  y lógica avanzada de validación. 
  + 1.0 
  + 1.0 
  TOTAL 
  5.0 
  6.0 
 Diego Mauricio Zuluaga Rodríguez 
Profesor - Departamento de Economía 
Universidad de La Sabana</t>
  </si>
  <si>
    <t>Diego Alejandro Hermida Limas</t>
  </si>
  <si>
    <t>Diego Alejandro</t>
  </si>
  <si>
    <t>Hermida Limas</t>
  </si>
  <si>
    <t>diegoherli@unisabana.edu.co</t>
  </si>
  <si>
    <t>Retroalimentación de la Entrega: Examen Parcial 1 - Motor
Lógico "FinVes"  Estudiante: Hermida Limas, Diego Alejandro Calificación Final: 4.8 / 5.0  Comentarios del Profesor: Has entregado un examen con una lógica de programación muy
sólida. Es grato ver que fuiste un paso más allá de lo enseñado en este primer
corte al implementar funciones (def) para modularizar tu código. Esto demuestra
curiosidad intelectual y una excelente capacidad de abstracción.  Puntos a destacar (Lo excelente): 
 Autogestión
     (Pseudocódigo): Tu paso a paso en la celda de Markdown es claro,
     estructurado y refleja fielmente lo que programaste después. Cumpliste
     perfectamente con la regla de planear antes de codificar. 
 Modularidad
     Avanzada: Separar la lógica en registrar_inversion() y mostrar_reporte()
     hace que tu menú principal (while True) quede sumamente limpio y fácil de
     leer. Esta es una práctica profesional excelente. 
 Estructuras
     de Datos y Matemáticas: Implementaste correctamente el diccionario, la
     tupla y la lista. Además, los cálculos del ingreso pasivo mensual y el
     porcentaje de avance son matemáticamente exactos y están bien aplicados
     dentro del ciclo for.  Oportunidades de Mejora (Atención al Detalle): 
El motivo por el cual no alcanzas la nota máxima (y el bono) se debe a detalles
específicos de la rúbrica en cuanto a presentación y seguridad: 
 Documentación
     del Código: La rúbrica exigía explícitamente "código documentado
     con # explicando cada bloque". Tu script en Python carece de
     comentarios internos. En el entorno profesional, documentar el código es
     vital para que otros desarrolladores entiendan tu lógica. 
 Formato
     de Moneda (UX): Utilizaste :.2f para los decimales, lo cual está bien,
     pero la rúbrica pedía :,.2f para incluir los separadores de miles. En
     finanzas, leer $1000000.00 es mucho más difícil que leer $1,000,000.00. 
 Bono
     de Seguridad: No implementaste el bloque try-except para capturar
     errores de digitación (por ejemplo, si el usuario escribe "diez"
     en lugar de "10" en el monto). Por este motivo, no aplicas para
     la unidad extra del parcial.  Motivación: 
Tienes una intuición natural para la programación y la estructuración de
software. El uso de funciones demuestra que estás listo para temas más
avanzados. Si ajustas tu atención a los detalles de los requerimientos del
cliente (la rúbrica) y te acostumbras a documentar tu código, tus próximos
proyectos serán de nivel "Senior". ¡Excelente trabajo!  Rúbrica de Calificación 
  Criterio de Evaluación 
  Descripción Técnica 
  Puntaje Máximo 
  Puntaje Obtenido 
  1. Autogestión y Lógica 
  Pseudocódigo detallado en Markdown que refleja la
  planeación exacta del sistema. 
  1.0 
  1.0 
  2. Estructuras de Datos 
  Implementación y manipulación correcta de Lista, Tupla y
  Diccionario. 
  1.5 
  1.5 
  3. Control de Flujo 
  Menú while funcional, uso innovador de funciones (def) y
  decisiones lógicas precisas. 
  1.0 
  1.0 
  4. Procesamiento 
  Recorrido correcto con for, cálculos matemáticos precisos
  de ingresos pasivos y porcentajes. 
  1.0 
  1.0 
  5. Presentación (UX) 
  Ausencia de comentarios (#) en el código y falta del
  separador de miles (,) en los f-strings. 
  0.5 
  0.3 
  Bono de Seguridad 
  No se implementó try-except para evitar cierres abruptos. 
  + 1.0 
  + 0.0 
  TOTAL 
  5.0 
  4.8 
 Diego Mauricio Zuluaga Rodríguez 
Profesor - Departamento de Economía 
Universidad de La Sabana</t>
  </si>
  <si>
    <t>Puntos extra - Corte 1</t>
  </si>
  <si>
    <t>Retroalimentación de la Entrega: El Organizador de Precios (Bono)Calificación Final: 50/50 Incentivo Académico: Se otorgan +0.5 unidades para el Primer Parcial del 25 de febrero.Comentarios del Profesor: Excelente
 trabajo, equipo. Han seguido las instrucciones al pie de la letra y han
 demostrado un dominio sólido de las estructuras de datos y ciclos.Puntos Destacados:Atención al Detalle: Utilizaron exactamente los datos solicitados en el enunciado, lo cual es vital para la precisión financiera.Presentación de Resultados: El uso de un segundo bucle for con f-strings (:.2f)
 para imprimir los precios finales con formato de moneda es un valor 
agregado excelente. Esto mejora significativamente la legibilidad para 
el usuario final.Estructura: El archivo está perfectamente organizado, separando la lógica de negocio de la presentación de los datos.Motivación: Están
 aplicando muy bien el concepto de "Clean Code". Mantengan este nivel de
 orden y precisión en el parcial presencial. El manejo de listas y el 
formato de salida son temas clave que ya tienen dominados. ¡Muchos 
éxitos!Rúbrica de CalificaciónCriterio de EvaluaciónRequisito TécnicoPuntaje MáximoPuntaje ObtenidoOrdenamientoUso correcto del método .sort() para organizar la lista.15.015.0Automatización (For)Implementación correcta del bucle para recorrer la lista.15.015.0Creación de ListasUso efectivo de .append() para generar la nueva lista con IVA.10.010.0Resultados y FormatoImpresión clara y uso de formato numérico (:.2f).10.010.0TOTAL50.050.0Diego Mauricio Zuluaga Rodríguez Profesor - Departamento de Economía Universidad de La Sabana</t>
  </si>
  <si>
    <t>Retroalimentación de la Entrega: El Organizador de PreciosCalificación Final: 10/50 (Equivalente a 1.0 / 5.0) Incentivo Académico: No aplica (Se pierde el beneficio de +0.5 por entrega extemporánea).Comentarios del Profesor: Sofia, técnicamente el ejercicio es impecable. El uso de round(precio_final, 2) demuestra una atención al detalle superior y el flujo lógico es exactamente el solicitado.Sin embargo, la Autogestión
 es un pilar fundamental de este curso y del Departamento de Economía. 
Entregar la tarea 7 horas después del plazo límite invalida el propósito
 del bono de preparación. Como se estableció en el contrato pedagógico: 
el Syllabus y las fechas son ley. La puntualidad es un requisito mínimo 
para la excelencia profesional.Puntos Técnicos Logrados:Uso correcto de .sort() para modificar la lista original.Implementación perfecta del ciclo for y el método .append().Presentación de resultados limpia y profesional.Rúbrica de CalificaciónCriterio de EvaluaciónRequisito TécnicoPuntaje BasePuntaje ObtenidoOrdenamientoUso correcto del método .sort().15.015.0Automatización (For)Implementación correcta del bucle.15.015.0Creación de ListasUso efectivo de .append().10.010.0ResultadosImpresión clara de ambas listas.10.010.0PenalizaciónEntrega extemporánea (7 horas tarde)-40.0-40.0TOTAL50.010.0Diego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</si>
  <si>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Excelente
 trabajo, equipo. Han seguido las instrucciones al pie de la letra, 
demostrando un dominio sólido de la manipulación de listas y la lógica 
de automatización.Puntos Destacados:Precisión en los Datos: Utilizaron la lista exacta solicitada en el reto, lo cual demuestra atención al detalle y rigurosidad.Uso de Métodos: Aplicaron correctamente el método .sort() para modificar la lista original y el método .append() para construir la nueva colección.Claridad y Formato: El uso de f-strings para la impresión final hace que los resultados sean fáciles de leer y profesionales.Documentación:
 El código está muy bien comentado, explicando no solo qué hace la 
línea, sino el porqué de la estructura (ej. la mención al "menú 
interactivo").Motivación: Esta
 entrega refleja una excelente preparación para los temas del primer 
corte. Han comprendido la diferencia crítica entre la mutabilidad de una
 lista y la creación de nuevos objetos de datos. Mantengan este nivel de
 orden y claridad en sus exámenes presenciales. ¡Felicitaciones!Rúbrica de CalificaciónCriterio de EvaluaciónRequisito TécnicoPuntaje MáximoPuntaje ObtenidoOrdenamientoUso correcto del método .sort() sobre la lista original.15.015.0Automatización (For)Implementación efectiva del bucle para procesar los datos.15.015.0Manejo de ListasCreación de lista nueva y uso correcto de .append().10.010.0Claridad y FormatoImpresión de resultados con f-strings y documentación clara.10.010.0TOTAL50.050.0Diego Mauricio Zuluaga Rodríguez Profesor - Departamento de Economía Universidad de La Sabana</t>
  </si>
  <si>
    <t>Retroalimentación de la Entrega: El Organizador de PreciosCalificación Final: 42/50 Incentivo Académico: Se otorgan +0.4 unidades para el Primer Parcial (Penalización de 0.1 por omisión de instrucciones técnicas y de autogestión).Comentarios del Profesor: El código es funcional y demuestra un conocimiento avanzado de Python al utilizar List Comprehension.
 Sin embargo, como analistas, deben seguir estrictamente los 
requerimientos del cliente/docente para asegurar la estandarización de 
los procesos.Observaciones Técnicas:Uso de List Comprehension: Aunque es una técnica eficiente, el enunciado solicitaba explícitamente el uso de un bucle for (tradicional) para practicar la estructura de acumulación (.append()).Precisión de Flotantes: El resultado muestra errores de precisión decimal (ej. 11.899999999999999). En finanzas, esto debe controlarse con la función round() o formato de f-strings para evitar confusiones en el usuario final.Falla en Autogestión:Documentación Ausente: El código no contiene ni una sola línea de comentario (#). La autogestión implica hacer visible su proceso de pensamiento y facilitar la auditoría del código por parte de terceros.Instrucciones: Se solicitó el uso de .sort() y lo aplicaron correctamente, pero omitieron la estructura de bucle solicitada.Motivación: Tienen un buen nivel técnico, pero en este curso la rigurosidad en el seguimiento de instrucciones y la documentación
 son tan importantes como el resultado. En el parcial, asegúrense de 
usar las estructuras solicitadas y comentar su código para obtener el 
puntaje completo.Rúbrica de CalificaciónCriterio de EvaluaciónRequisito TécnicoPuntaje MáximoPuntaje ObtenidoOrdenamientoUso correcto del método .sort().15.015.0AutomatizaciónImplementación de bucle for y .append() (Se usó List Comprehension).15.010.0Claridad de SalidaImpresión de ambas listas (Faltó formato de decimales).10.010.0AutogestiónCódigo debidamente documentado y comentado.10.07.0TOTAL50.042.0Diego Mauricio Zuluaga Rodríguez Profesor - Departamento de Economía Universidad de La Sabana</t>
  </si>
  <si>
    <t>No hay archivo adjunto.</t>
  </si>
  <si>
    <t>Retroalimentación de la Entrega: El Organizador de Precios (Bono)Calificación Final: 50/50 Incentivo Académico: Se otorgan +0.5 unidades para el Primer Parcial del 25 de febrero.Comentarios del Profesor: Equipo,
 el ejercicio está técnicamente correcto y demuestra que han comprendido
 la manipulación de listas. La lógica del patrón acumulador (crear lista
 vacía -&amp;gt; iterar -&amp;gt; llenar) está perfectamente implementada.Puntos Destacados:Lógica de Mutabilidad: Entendieron perfectamente que .sort() modifica la lista original y no requiere una reasignación.Procesamiento: El ciclo for con el cálculo del IVA y el uso de .append() es impecable.Documentación: Los comentarios en el código explican claramente el "porqué" de cada paso, lo cual es excelente para su estudio personal.Observación de Autogestión (Atención al Detalle):Aunque la lógica es perfecta, noté que cambiaron los datos de entrada. La imagen del reto solicitaba usar la lista [100, 20, 50, 80, 10], y ustedes usaron valores en miles (12000, etc.).En este bono no afecta la nota porque el objetivo era practicar la lógica, pero tengan cuidado en el Parcial:
 si el enunciado les da datos específicos, deben usar esos datos 
exactos. En la vida real, si un cliente les da una base de datos, no 
podemos cambiar los valores arbitrariamente.Motivación: Tienen
 la técnica dominada. Si aplican esta misma estructura lógica y orden en
 el parcial (respetando los datos del enunciado), les irá muy bien. 
¡Buen trabajo!Rúbrica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IVA.10.010.0ResultadosImpresión clara de la lista original y la procesada.10.010.0TOTAL50.050.0Diego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</si>
  <si>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Excelente
 trabajo, equipo. Han seguido las instrucciones al pie de la letra y han
 demostrado un dominio sólido de la lógica de colecciones y bucles.Puntos Destacados:Precisión Técnica: El uso de .sort() para ordenar la lista original antes del procesamiento es correcto.Valor Agregado: El uso de la función round(..., 2)
 para limitar los decimales en el cálculo del IVA demuestra una 
excelente atención al detalle y un enfoque orientado al usuario final 
(Sanity Check).Estructura de Código: La separación en celdas y la documentación mediante comentarios facilitan la trazabilidad y el estudio del código.Observación de Autogestión: Han respetado los datos exactos del enunciado ([100, 20, 50, 80, 10]), lo cual es vital en procesos de auditoría de datos.Motivación: Este
 nivel de orden y claridad es el que se espera en el parcial presencial.
 Han comprendido la diferencia entre modificar una lista (.sort()) y generar una nueva (.append()), que es un concepto central de este corte. ¡Sigan así!Rúbrica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 y ClaridadImpresión clara de resultados y uso de comentarios.10.010.0TOTAL50.050.0Diego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</si>
  <si>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Excelente
 trabajo, equipo. Han seguido las instrucciones de la imagen con total 
precisión, utilizando los datos exactos solicitados y aplicando la 
lógica de programación de forma impecable.Puntos Destacados:Atención al Detalle: A diferencia de otros grupos, ustedes mantuvieron los datos originales del ejercicio ([100, 20, 50, 80, 10]), lo cual demuestra una lectura rigurosa de los requerimientos.Proactividad Técnica: El uso de la función round(precios_con_iva, 2)
 es un excelente aporte. En el mundo financiero y contable, el manejo de
 decimales es crítico, y redondear a dos cifras es la práctica estándar.Estructura Limpia: El código es minimalista, efectivo y está bien comentado.Observación de Mejora:En
 el último comentario del código escribieron "Inspiramos" en lugar de 
"Imprimimos". Es un detalle menor de redacción, pero en la documentación
 técnica la precisión en el lenguaje también suma profesionalismo.Motivación: Están
 listos para el parcial. Han demostrado que entienden cómo transformar 
una lista y cómo generar una nueva sin destruir la información previa. 
Mantengan esa rigurosidad con los datos el próximo miércoles. ¡Buen 
trabajo!Rúbrica de CalificaciónCriterio de EvaluaciónRequisito TécnicoPuntaje MáximoPuntaje ObtenidoOrdenamientoUso correcto del método .sort() para organizar la lista original.15.015.0Automatización (For)Implementación correcta del bucle para procesar cada precio.15.015.0Creación de ListasUso efectivo de .append() y creación de lista independiente.10.010.0Resultados y FormatoImpresión clara y uso de round() para precisión financiera.10.010.0TOTAL50.050.0Diego Mauricio Zuluaga Rodríguez Profesor - Departamento de Economía Universidad de La Sabana</t>
  </si>
  <si>
    <t>Retroalimentación de la Entrega: El Organizador de Precios (Bono)Calificación Final: 45/50 Incentivo Académico: Se otorgan +0.5 unidades para el Primer Parcial del 25 de febrero.Comentarios del Profesor: Equipo,
 la lógica técnica del ejercicio es impecable. Han utilizado los datos 
exactos solicitados en el reto y el flujo de control (ordenamiento -&amp;gt;
 iteración -&amp;gt; acumulación) funciona perfectamente.Puntos Destacados:Precisión de Datos: A diferencia de otros grupos, ustedes mantuvieron los valores originales del enunciado, lo cual demuestra atención al detalle.Eficacia: El código es minimalista y cumple con la función de transformar los datos mediante el bucle for.Oportunidad de Mejora (Rigurosidad y Autogestión):Falta de Documentación: Las instrucciones de autogestión solicitaban explícitamente que el código estuviera "debidamente documentado". Su entrega no contiene un solo comentario (#) ni celdas de Markdown explicando la lógica.En
 este curso, el "qué" (resultado) es tan importante como el "cómo" 
(explicación). La falta de comentarios penaliza la nota de esta entrega,
 ya que no se evidencia el seguimiento completo de las instrucciones.Motivación: Tienen una excelente base lógica. Para el parcial del miércoles, recuerden que documentar es obligatorio.
 Un código sin explicar es difícil de auditar en un entorno profesional.
 Mantengan la precisión técnica y sumen la rigurosidad en la 
documentación. ¡Van por buen camino!Rúbrica de CalificaciónCriterio de EvaluaciónRequisito TécnicoPuntaje MáximoPuntaje ObtenidoOrdenamientoUso correcto del método .sort().15.015.0Automatización (For)Implementación correcta del bucle para recorrer la lista.15.015.0Creación de ListasUso efectivo de .append() para generar la nueva lista.10.010.0DocumentaciónCódigo debidamente documentado con comentarios y Markdown.10.05.0TOTAL50.045.0Diego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</si>
  <si>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Excelente
 trabajo, Alejandra. Tu código es limpio, eficiente y cumple 
estrictamente con cada uno de los requerimientos solicitados en el reto.Puntos Destacados:Atención al Detalle: A diferencia de otros casos, utilizaste exactamente la lista de precios solicitada en el enunciado [100, 20, 50, 80, 10]. Esto demuestra una lectura cuidadosa de los requerimientos.Uso de round(): Implementaste la función round(precio_con_iva, 2).
 Este es un valor agregado excelente, ya que en el área de 
administración y economía, el manejo de decimales debe ser preciso y 
estético.Lógica de Programación: El uso de .sort() para modificar la lista original y el bucle for para llenar la nueva lista con .append() es impecable.Documentación: Los comentarios son breves y precisos, facilitando la comprensión del flujo de datos.Motivación: Dominas
 las bases de las estructuras de datos y ciclos. Esta disciplina en la 
validación de datos y el formato de salida te servirá mucho en el 
parcial presencial. ¡Sigue así!Rúbrica de CalificaciónCriterio de EvaluaciónRequisito TécnicoPuntaje MáximoPuntaje ObtenidoOrdenamientoUso correcto del método .sort() sobre la lista original.15.015.0Automatización (For)Implementación efectiva del bucle para procesar los datos.15.015.0Manejo de ListasCreación de nueva lista y uso correcto de .append().10.010.0Documentación y DatosUso de los datos del enunciado y comentarios claros.10.010.0TOTAL50.050.0Diego Mauricio Zuluaga Rodríguez Profesor - Departamento de Economía Universidad de La Sabana</t>
  </si>
  <si>
    <t>Retroalimentación de la Entrega: El Organizador de Precios (Bono)Calificación Final: 50/50 Incentivo Académico: Se otorgan +0.5 unidades para el Primer Parcial (Corte 1).Comentarios del Profesor: Excelente
 trabajo, equipo. Han seguido las instrucciones al pie de la letra y han
 demostrado un dominio sólido de las listas y los ciclos, que son temas 
fundamentales para el examen de mañana.Puntos Destacados:Precisión Técnica: El uso del método .sort() fue correcto (modificación in-place) y el ciclo for para generar la nueva lista con IVA cumple con el patrón acumulador esperado.Documentación: El código está muy bien comentado, explicando cada paso del proceso, lo cual facilita la trazabilidad y el estudio.Uso de F-strings: La presentación de los resultados finales es clara y profesional.Observación de Autogestión:En el encabezado del Notebook, Alessandro mencionó que el punto es para el "Parcial 2". Aclaro: Este bono corresponde al Parcial 1 (Corte 1)
 que se realiza este miércoles 25 de febrero. Es importante estar 
atentos a los cortes académicos para una correcta autogestión de sus 
notas.Motivación: Están
 listos para el parcial. Han demostrado que saben diferenciar entre 
modificar una estructura existente y crear una nueva a partir de 
cálculos. Sigan con este nivel de atención al detalle. ¡Muchos éxitos 
mañana!Rúbrica de CalificaciónCriterio de EvaluaciónRequisito TécnicoPuntaje MáximoPuntaje ObtenidoOrdenamientoUso correcto del método .sort() con los datos exactos del reto.15.015.0Automatización (For)Implementación correcta del bucle para recorrer la lista de precios.15.015.0Creación de ListasUso efectivo de .append() para llenar la lista precios_con_iva.10.010.0Resultados y FormatoImpresión clara con f-strings y documentación del código.10.010.0TOTAL50.050.0Diego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</si>
  <si>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Excelente
 trabajo, equipo. Han seguido las instrucciones con una precisión 
impecable, demostrando un dominio sólido de las estructuras de datos 
básicas de Python.Puntos Destacados:Fidelidad a los Datos: A diferencia de otros grupos, ustedes utilizaron exactamente la lista de precios solicitada en la imagen [100, 20, 50, 80, 10]. Esta atención al detalle es vital en el análisis de datos profesional.Uso de Métodos: El uso de .sort() para ordenar la lista original y .append() para construir la nueva colección es técnicamente correcto y eficiente.Lógica de Programación: La estructura del código es limpia y fácil de leer, cumpliendo con el estándar de "Clean Code".Sugerencia de Mejora (Hacia el Parcial):Aunque el código es claro, para el parcial les sugiero usar f-strings en los print para darle un formato más profesional a los resultados (ej. agregar el símbolo de pesos $ y limitar los decimales a dos con :.2f).Motivación: Están
 listas para el parcial. Han demostrado que entienden cómo transformar 
datos de manera secuencial y organizada. Mantengan esa rigurosidad en la
 evaluación presencial y obtendrán un resultado sobresaliente. 
¡Felicitaciones!Rúbrica de CalificaciónCriterio de EvaluaciónRequisito TécnicoPuntaje MáximoPuntaje ObtenidoOrdenamientoUso correcto del método .sort() sobre la lista original.15.015.0Automatización (For)Implementación efectiva del bucle para procesar cada precio.15.015.0Manejo de ListasCreación de lista nueva y uso correcto de .append().10.010.0Seguimiento de InstruccionesUso de los datos exactos del enunciado y claridad en salida.10.010.0TOTAL50.050.0Diego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</si>
  <si>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Equipo,
 han ejecutado el ejercicio con total precisión técnica. A diferencia de
 otros grupos, ustedes mantuvieron los datos exactos solicitados en el 
enunciado, lo cual demuestra una lectura rigurosa de los requerimientos.Puntos Destacados:Rigurosidad de Datos: El uso de la lista [100, 20, 50, 80, 10] es correcto.Uso de Métodos: Aplicaron .sort() de manera eficiente (in-place) y el método .append() dentro del ciclo para construir la nueva colección.Lógica Aritmética: El cálculo del IVA desglosado (precio * 0.19 y luego la suma) es claro y fácil de auditar.Observación de Vigilancia (Autogestión):Mateo Perez Daza y Simon Restrepo figuran en la lista oficial. Sin embargo, Diego Limas no aparece en el listado de 41 estudiantes inscritos
 en el curso "Programación y Decisiones". Por favor, verifiquen si hay 
un error en el nombre o si el estudiante debe regularizar su situación 
académica.Motivación: El
 código es limpio y funcional. Están demostrando el dominio necesario 
sobre las colecciones de datos para enfrentar el parcial de este 
miércoles. Mantengan esa atención al detalle.Rúbrica de CalificaciónCriterio de EvaluaciónRequisito TécnicoPuntaje MáximoPuntaje ObtenidoOrdenamientoUso correcto del método .sort() sobre la lista original.15.015.0Automatización (For)Implementación correcta del bucle para procesar los datos.15.015.0Creación de ListasUso efectivo de .append() para la nueva lista precios_con_IVA.10.010.0ResultadosImpresión clara y correcta de ambas listas (original y final).10.010.0TOTAL50.050.0Diego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</si>
  <si>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Excelente
 trabajo, equipo. Han seguido las instrucciones al pie de la letra, 
utilizando los datos exactos proporcionados en el reto. El código es 
limpio, eficiente y demuestra una comprensión sólida de la manipulación 
de listas.Puntos Destacados:Precisión de Datos: A diferencia de otros grupos, ustedes mantuvieron la lista original solicitada [100, 20, 50, 80, 10], lo cual demuestra una lectura rigurosa del enunciado.Atención al Detalle: El uso de la función round(precio_iva, 2)
 es un valor agregado excelente. En finanzas y economía, el manejo de 
decimales es crítico y redondear a dos cifras es la práctica estándar.Lógica de Mutabilidad: Aplicaron correctamente el método .sort() de forma directa sobre la lista original.Sugerencia Técnica:
 La documentación es clara y numerada según los pasos del reto, lo cual 
facilita la revisión. Sigan manteniendo este orden en sus entregas 
futuras.Motivación: Están demostrando una excelente capacidad de autogestión.
 Llegar al parcial con estos conceptos claros y con el bono de +0.5 les 
da una ventaja competitiva importante. ¡Continúen con ese nivel de 
detalle!Rúbrica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 y FormatoImpresión clara y uso de redondeo para precisión financiera.10.010.0TOTAL50.050.0Diego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</si>
  <si>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Excelente
 trabajo, Samantha y Avril. Han seguido las instrucciones con precisión 
quirúrgica, utilizando exactamente los datos solicitados en el 
enunciado.Puntos Destacados:Fidelidad a los Datos: A diferencia de otros grupos, ustedes utilizaron la lista exacta del reto [100, 20, 50, 80, 10]. Esto demuestra una lectura cuidadosa de los requerimientos.Dominio Técnico: El uso del método .sort() para ordenar la lista original y la implementación del bucle for con .append() para la nueva lista es impecable.Sanity Check: Los comentarios en el código son breves pero efectivos, facilitando la comprensión del flujo lógico.Observación Técnica (Para el futuro):En la salida de consola, notarán que Python muestra muchos decimales (ej. 11.899999999999999).
 Esto es normal por la forma en que los computadores procesan números 
flotantes. Para un reporte financiero profesional, más adelante 
aprenderemos a usar round() o f-strings (:.2f) para mostrar solo dos decimales.Motivación: Han
 demostrado que dominan las bases de las colecciones y los ciclos. Esta 
estructura lógica es la que necesitan para resolver problemas complejos 
en los próximos cortes. ¡Sigan con ese nivel de atención al detalle!Rúbrica de CalificaciónCriterio de EvaluaciónRequisito TécnicoPuntaje MáximoPuntaje ObtenidoOrdenamientoUso correcto del método .sort() sobre la lista original.15.015.0Automatización (For)Implementación correcta del bucle para procesar los datos.15.015.0Manejo de ListasCreación de lista vacía y uso de .append() para resultados.10.010.0Claridad y FormatoImpresión de resultados y uso de los datos del enunciado.10.010.0TOTAL50.050.0Diego Mauricio Zuluaga Rodríguez Profesor - Departamento de Economía Universidad de La Sabana</t>
  </si>
  <si>
    <t>Retroalimentación de la Entrega: El Organizador de Precios (Bono)Calificación Final: 50/50 Incentivo Académico: Se otorgan +0.5 unidades para el Primer Parcial del 25 de febrero.Comentarios del Profesor: Excelente
 trabajo, equipo. El código es limpio, está muy bien estructurado y 
cumple con todos los requisitos técnicos solicitados en el reto.Puntos Destacados:Documentación Profesional:
 El encabezado con autor y descripción, sumado a los comentarios 
numerados, facilita enormemente la lectura y el mantenimiento del 
código. Es una excelente práctica de "Clean Code".Dominio de Listas: El uso de .sort() para ordenar y .append() para construir la nueva lista demuestra que tienen claros los conceptos de mutabilidad y persistencia de datos.Lógica de Negocio: El cálculo del IVA y la presentación de resultados son precisos.Observación de Autogestión (Importante para el Parcial):Al igual que otros grupos, noté que no utilizaron los datos exactos de la imagen ([100, 20, 50, 80, 10]), sino valores en miles.Advertencia:
 Para el parcial de este miércoles, la rigurosidad con los datos del 
enunciado es obligatoria. Si el examen pide procesar una lista 
específica, deben usar esa y no otra, ya que en un entorno financiero 
real, cambiar los datos de entrada invalidaría el reporte.Motivación: Están
 demostrando una estructura mental muy organizada para programar. Sigan 
así y aseguren esa misma atención al detalle en el parcial presencial. 
¡Muchos éxitos!Rúbrica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IVA.10.010.0Documentación y FormatoCódigo comentado y uso correcto de celdas en el Notebook.10.010.0TOTAL50.050.0Diego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</si>
  <si>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febrero.Comentarios del Profesor: Excelente
 trabajo, Valeria y Paula. Han presentado una solución limpia, bien 
estructurada y que cumple rigurosamente con todos los parámetros 
técnicos solicitados.Puntos Destacados:Documentación Profesional: La celda de Markdown inicial es ejemplar; describe el problema, los objetivos y los integrantes de forma impecable.Lógica de Control: El uso del ciclo while y la sentencia break es preciso. El programa se detiene exactamente cuando debe, optimizando el flujo de ejecución.Manejo de Estados: La validación de restantes &amp;gt; 0
 dentro del bloque de fallo permite una comunicación clara con el 
usuario, diferenciando entre un error común y el bloqueo final de la 
cuenta.Sugerencia Técnica: El código es sólido. Como buena práctica adicional, podrían explorar el uso de f-strings para los mensajes de salida, por ejemplo: print(f"Intentos restantes: {restantes}"), para mantener la consistencia con lo visto en las últimas sesiones.Motivación: Han
 demostrado que comprenden cómo aplicar la lógica de programación a un 
caso de uso real de seguridad bancaria. Esta capacidad de estructurar el
 pensamiento antes de codificar es lo que evaluaré con mayor rigor en el
 parcial presencial. ¡Sigan 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</si>
  <si>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(Bono)Estudiante: Sofia Giraldo Pico Calificación Final: 1.0 / 5.0 (10/50 puntos) Incentivo Académico: Se otorgan +0.1 unidades (proporcional a la nota) para el Primer Parcial.Comentarios del Profesor: Sofía, a nivel técnico tu código es impecable. La lógica del ciclo while, el uso del break
 y el cálculo de los intentos restantes están perfectamente 
estructurados. Demuestras un dominio claro de las estructuras de 
control.El motivo de la calificación:
 Como establecimos en nuestro contrato pedagógico (Reglas de Oro) y en 
las metas del Departamento de Economía, la competencia de Autogestión y el cumplimiento estricto de los cronogramas son innegociables. Tu entrega se registró con 8 horas de retraso.Motivación: En
 el mundo de los negocios y las finanzas, entregar un modelo perfecto 
fuera de tiempo puede significar perder una ventana de inversión. Tienes
 un talento evidente para la programación y la lógica; ahora el reto es 
acompañar esa habilidad técnica con una gestión del tiempo impecable. 
¡Ajusta tus cronogramas y sigue adelante, que el potencial lo tienes!Rúbrica de CalificaciónCriterio de EvaluaciónRequisito TécnicoPuntaje BaseSeguridadDefinición de variable contrasena_correcta.5.0Control de IntentosImplementación de while limitado a 3 intentos.10.0InteracciónUso correcto de input() para capturar la clave.5.0Lógica de ÉxitoUso de if, print("Bienvenido") y break.10.0Lógica de FalloCálculo y muestra de intentos restantes.10.0BloqueoMensaje "Cuenta Bloqueada" al agotar intentos.10.0Subtotal TécnicoEl código cumple con todos los requisitos.50.0PENALIDAD AUTOGESTIÓNRetraso de 8 horas en la entrega en plataforma.- 40.0TOTAL OBTENIDO10.0 / 50.0 (1.0)Diego Mauricio Zuluaga Rodríguez Profesor - Departamento de Economía Universidad de La Sabana</t>
  </si>
  <si>
    <t>Retroalimentación de la Entrega: Sistema de Login Seguro (Bono)Calificación Final: 50/50 Incentivo Académico: Se otorgan +0.5 unidades para el Primer Parcial del 25 de febrero.Comentarios del Profesor: Excelente
 trabajo, María José. El código cumple con rigor técnico cada uno de los
 requisitos solicitados en el reto. La lógica de control de intentos 
está bien estructurada y el uso de herramientas de interrupción de flujo
 es el adecuado.Valery tiene 2 puntos menos por entregar 1 hora tarde.  Puntos Destacados:Estructura de Control: El uso del ciclo while con la condición de parada basada en el contador de intentos es correcto.Uso de break:
 Implementaste correctamente la salida anticipada del bucle al validar 
la contraseña, lo cual es una práctica de eficiencia en programación.Cálculo de Intentos: La lógica para informar al usuario cuántas oportunidades le quedan es precisa y mejora la experiencia de usuario (UX).Presentación: El archivo .ipynb está bien organizado, con celdas de Markdown que identifican claramente a las autoras.Motivación: Han
 demostrado que dominan la lógica de condicionales anidados dentro de 
bucles. Esta es la base para los retos más complejos que enfrentaremos 
en el segundo corte. Sigan con este nivel de compromiso y preparación 
para asegurar la excelencia en el parcial presencial.Rúbrica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</si>
  <si>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 a cada integrante del grupo.Comentarios del Profesor: Excelente
 trabajo, equipo. Han implementado una solución robusta que cumple con 
todos los requerimientos técnicos y de seguridad lógica solicitados.Puntos Destacados:Lógica de Control: El uso del bucle while junto con el contador de intentos es impecable.Eficiencia: La implementación del break garantiza que el programa no siga consumiendo recursos una vez que el usuario se ha autenticado correctamente.Experiencia de Usuario (UX): El mensaje dinámico que informa los intentos restantes es una excelente práctica en el desarrollo de aplicaciones financieras.Documentación: El código está bien comentado, lo que facilita la trazabilidad y el mantenimiento del script.Motivación: Han
 demostrado que dominan las estructuras de control básicas. Esta base 
lógica es fundamental para el parcial presencial. Sigan trabajando con 
esa rigurosidad técnica; los espero el miércoles listos para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</si>
  <si>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febrero.Comentarios del Profesor: Excelente ejecución, Arianne. Has demostrado un dominio claro de la estructura de control while y el uso de condicionales anidados para gestionar la seguridad de una aplicación.Puntos Destacados:Control de Flujo: El uso del break es correcto y eficiente; permite que el programa finalice inmediatamente al acertar, sin desperdiciar ciclos de procesamiento.Lógica Matemática: Calculaste correctamente los intentos_restantes restando el acumulador del máximo permitido, lo cual es vital para la experiencia del usuario (UX).Autogestión: El archivo está bien estructurado, con una celda de Markdown clara y comentarios que explican cada requerimiento del script.Sugerencia Técnica: Has incrementado el contador intentos += 1
 al inicio del bloque. Esto es válido, pero recuerda que el orden de los
 factores altera el resultado de la resta si no se tiene cuidado. En tu 
caso, la lógica es impecable.Motivación: Este
 ejercicio es un excelente simulacro para el parcial. Si mantienes esta 
atención al detalle y esta capacidad para estructurar soluciones paso a 
paso, obtendrás un gran resultado en la evaluación presencial. ¡Sigue 
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</si>
  <si>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(Bono)Grupo: Isabella Carranza Tapiero Calificación Final: 35/50 Incentivo Académico: Se otorgan +0.35 unidades (proporcional a la calificación) para el Primer Parcial.Comentarios del Profesor: Equipo,
 han demostrado tener clara la lógica de negocio para un sistema de 
validación, pero han fallado en el seguimiento estricto de las 
instrucciones técnicas (competencia de Autogestión).Puntos Fuertes:La lógica matemática para descontar los intentos (intentos -= 1) y las validaciones de éxito/fallo (if/else) son correctas.El uso del break está bien implementado para detener el proceso al encontrar la contraseña correcta.Oportunidades de Mejora (Por qué perdieron puntos):No usaron el ciclo while: La instrucción exigía explícitamente el uso de while. Ustedes utilizaron un ciclo for iterando sobre una lista predefinida.No usaron input(): El sistema debía ser interactivo. Al "quemar" (hardcodear) las respuestas en la lista entradas =["24ss3", "3232", "1234"], eliminaron la interacción con el usuario. Entiendo que en algunos entornos de Jupyter el input()
 puede ser problemático si no se ejecuta bien, pero en el entorno de 
clase es un requisito obligatorio para simular software real.Motivación: El
 pensamiento computacional está ahí y funciona. Para el parcial, 
recuerden que leer y aplicar los requerimientos técnicos al pie de la 
letra es tan importante como que el código corra sin errores. Ajusten 
este detalle de atención a las instrucciones y les irá muy bien.Rúbrica de CalificaciónCriterio de EvaluaciónRequisito TécnicoPuntaje MáximoPuntaje ObtenidoSeguridadDefinición de variable contraseña_correcta.5.05.0Control de IntentosImplementación de while limitado a 3 intentos.10.00.0 (Usaron for)InteracciónUso correcto de input() para capturar la clave.5.00.0 (Usaron lista fija)Lógica de ÉxitoUso de if, print("Bienvenido") y break.10.010.0Lógica de FalloCálculo y muestra de intentos restantes.10.010.0BloqueoMensaje "Cuenta Bloqueada" al agotar intentos.10.010.0TOTAL50.035.0Diego Mauricio Zuluaga Rodríguez Profesor - Departamento de Economía Universidad de La Sabana</t>
  </si>
  <si>
    <t>Retroalimentación de la Entrega: Sistema de Login Seguro (Bono)Calificación Final: 50/50 Incentivo Académico: Se otorgan +0.5 unidades para el Primer Parcial del 25 de febrero a cada integrante.Comentarios del Profesor: Buen
 trabajo, equipo. Han implementado una lógica inversa interesante al 
inicializar los intentos en 3 y restar en lugar de sumar, lo cual es muy
 eficiente para este tipo de algoritmos de seguridad.Puntos Destacados:Eficiencia: El uso de while intentos_restantes &amp;gt; 0 es una forma muy limpia de controlar el flujo.Claridad: El código está bien estructurado y los mensajes al usuario son informativos.Uso de f-strings: Correcta implementación para mostrar los intentos restantes de forma dinámica.Observaciones Técnicas (Oportunidades de Mejora):Compatibilidad: Han usado la letra "ñ" en la variable contraseña_correcta.
 Aunque Python 3 lo permite, la buena práctica internacional en 
programación sugiere usar solo caracteres del alfabeto inglés (ej. contrasena_correcta) para evitar errores en diferentes sistemas operativos o servidores.Ortografía: Tienen un pequeño error de digitación en el mensaje de entrada ("inrese" en lugar de "ingrese"). Recuerden que la interfaz es lo que ve el cliente final.Motivación: Han
 demostrado que comprenden cómo romper un ciclo y cómo gestionar 
estados. Esta lógica de validación es la base de sistemas mucho más 
complejos. Mantengan este nivel de atención para el parcial presencial. 
¡Felicitaciones por el bono!Rúbrica de CalificaciónCriterio de EvaluaciónRequisito TécnicoPuntaje MáximoPuntaje ObtenidoSeguridadDefinición de variable contraseña_correcta.5.05.0Control de IntentosImplementación de while con lógica de decremento.10.010.0InteracciónUso de input() con información dinámica.5.05.0Lógica de ÉxitoUso de if, print("Bienvenido") y break.10.010.0Lógica de FalloResta de intentos y muestra de saldo restante.10.010.0BloqueoMensaje "Cuenta Bloqueada" al llegar a 0.10.010.0TOTAL50.050.0Diego Mauricio Zuluaga Rodríguez Profesor - Departamento de Economía Universidad de La Sabana</t>
  </si>
  <si>
    <t>Retroalimentación de la Entrega: Sistema de Login Seguro (Bono)Calificación Final: 50/50 Incentivo Académico: Se otorgan +0.5 unidades a cada integrante, las cuales se aplicarán a su nota del Primer Parcial presentado este 25 de febrero.Comentarios del Profesor: Buen
 trabajo, equipo. Han logrado implementar una solución funcional y 
robusta que cumple con los requisitos de seguridad solicitados.Puntos Destacados:Buenas Prácticas (UX/Seguridad): El uso del método .strip() en el input es un excelente detalle de programación defensiva. Evita que un espacio en blanco accidental genere un error de contraseña.Control de Flujo: El uso del break para el caso de éxito está perfectamente implementado.Interacción con el Usuario: Los mensajes personalizados como "¡Cuidado! Solo te queda un intento" demuestran que pensaron en la experiencia del usuario final.Oportunidades de Mejora (Sanity Check):En la línea 14, utilizaron un continue después de comprobar que los intentos llegaron a 3. Aunque no genera un error, es redundante. Como la variable intentos ya vale 3, al volver al inicio del while (intentos &amp;lt; 3), el ciclo se romperá naturalmente.El requerimiento pedía imprimir exactamente "Cuenta Bloqueada", y ustedes usaron "Acceso denegado".
 En el mundo laboral, si el cliente pide un texto específico para la 
interfaz, debemos respetarlo al pie de la letra. Sin embargo, la lógica 
es correcta y tienen la nota completa.Motivación: El
 código demuestra que entienden la lógica de los ciclos y las 
condiciones. Esta es la base para construir sistemas más complejos en el
 segundo corte. ¡Sigan trabajando con este nivel de detalle en equipo!Rúbrica de CalificaciónCriterio de EvaluaciónRequisito TécnicoPuntaje MáximoPuntaje ObtenidoSeguridadDefinición de variable contraseña_correcta.5.05.0Control de IntentosImplementación de while limitado a 3 intentos.10.010.0InteracciónUso correcto de input() (con excelente adición de .strip()).5.05.0Lógica de ÉxitoUso de if, mensaje de bienvenida y break.10.010.0Lógica de FalloCálculo y muestra de intentos realizados/restantes.10.010.0BloqueoMensaje de denegación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</si>
  <si>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febrero.Comentarios del Profesor: Excelente
 trabajo, María José. El código cumple con rigor técnico cada uno de los
 requisitos solicitados en el reto. La lógica de control de intentos 
está bien estructurada y el uso de herramientas de interrupción de flujo
 es el adecuado.Puntos Destacados:Estructura de Control: El uso del ciclo while con la condición de parada basada en el contador de intentos es correcto.Uso de break:
 Implementaste correctamente la salida anticipada del bucle al validar 
la contraseña, lo cual es una práctica de eficiencia en programación.Cálculo de Intentos: La lógica para informar al usuario cuántas oportunidades le quedan es precisa y mejora la experiencia de usuario (UX).Presentación: El archivo .ipynb está bien organizado, con celdas de Markdown que identifican claramente a las autoras.Motivación: Han
 demostrado que dominan la lógica de condicionales anidados dentro de 
bucles. Esta es la base para los retos más complejos que enfrentaremos 
en el segundo corte. Sigan con este nivel de compromiso y preparación 
para asegurar la excelencia en el parcial presencial.Rúbrica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</si>
  <si>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a las tres integrantes del grupo.Comentarios del Profesor: El código cumple a cabalidad con todos los requerimientos técnicos solicitados. Han estructurado correctamente el ciclo while y la lógica de validación con if/else.Puntos Destacados:Funcionalidad: El sistema de bloqueo y el conteo de intentos restantes operan de manera exacta. El uso del break está correctamente posicionado.Autogestión: El código está bien comentado, lo que facilita la lectura de la lógica de negocio.⚠️ ADVERTENCIA DE CONTROL DE CALIDAD (Sanity Check): Como
 su profesor, es mi deber ser proactivo y vigilante. He notado que la 
estructura lógica de su código, la ubicación exacta de los incrementos (intentos += 1) y los nombres específicos de las variables (intento_usuario, intentos_restantes) son idénticos a la entrega de otra compañera (Arianne Amorocho), cambiando únicamente el string de la contraseña.Al ser una tarea de bono y un algoritmo corto, la calificación se mantiene en 50/50. Sin embargo, les recuerdo enfáticamente la Regla de Oro para el Parcial: Cualquier similitud exacta en la estructura lógica o nombres de variables entre parciales será considerado fraude (0.0).
 Las invito a que en las evaluaciones construyan la lógica desde cero 
para garantizar el desarrollo real de su pensamiento computacional.Motivación: Tienen
 la capacidad técnica para dominar Python. Confíen en su propio análisis
 y sigan practicando. Si aplican esta misma funcionalidad y atención al 
detalle en sus propios desarrollos, les irá excelente en las próximas 
evaluaciones.Rúbrica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</si>
  <si>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10/50 (1.0) Incentivo Académico: No se otorgan unidades extra para el parcial debido a entrega extemporánea.Comentarios del Profesor: Alejandra, el código desarrollado es funcional y cumple con la lógica técnica solicitada (uso de while, break y validación de intentos). No obstante, la calificación se ve afectada por los siguientes puntos de Autogestión:Puntualidad: La tarea fue entregada con 2 horas de retraso.
 Según las reglas establecidas en el Syllabus y el contrato pedagógico, 
la puntualidad es un requisito innegociable para la validez de los 
entregables, especialmente en actividades que otorgan beneficios sobre 
el parcial.Formato: No incluiste la celda de Markdown inicial con tus datos y la descripción del problema, lo cual es un estándar obligatorio de presentación en este curso.Motivación: Técnicamente
 vas por buen camino; el script demuestra que entiendes la lógica de 
control. Te invito a mejorar tu organización del tiempo para futuras 
entregas. La excelencia no solo está en el código, sino en el 
cumplimiento de los compromisos profesionales.Rúbrica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intentos.10.010.0Puntualidad y FormatoEntrega a tiempo y uso de Markdown.Penalización-40.0TOTAL50.010.0Diego Mauricio Zuluaga Rodríguez Profesor - Departamento de Economía Universidad de La Sabana</t>
  </si>
  <si>
    <t>Retroalimentación de la Entrega: Sistema de Login Seguro (Bono)Calificación Final: 50/50 Incentivo Académico: Se otorgan +0.5 unidades para el Primer Parcial del 25 de febrero a los integrantes: Alessandro Bonilla, Gabriela Ruiz y Maria Jose Huertas.Comentarios del Profesor: Excelente
 trabajo de grupo. Han implementado una solución robusta que cumple con 
todos los requisitos de seguridad y control de flujo solicitados.Puntos Destacados:Lógica de Control: El uso del bucle while con la condición intentos &amp;lt; max_intentos es la forma más limpia de gestionar este tipo de procesos.Uso del break: Es impecable. Al colocar el break
 inmediatamente después del acierto, garantizan que el programa no siga 
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
 es fundamental para los retos que vienen en el segundo corte. Han 
demostrado estar listos para aplicar lógica de programación en problemas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</si>
  <si>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 a cada integrante.Comentarios del Profesor: Excelente trabajo grupal. El código es limpio, funcional y cumple rigurosamente con todos los requisitos técnicos solicitados.Puntos Destacados:Lógica de Control: El uso del ciclo while con la condición intentos &amp;lt; 3 es preciso.Manejo de Flujo: Implementaron correctamente el break para finalizar el proceso tras un acierto, evitando ejecuciones innecesarias.Documentación:
 Es notable el esfuerzo por comentar cada línea de código. Esto 
demuestra que comprenden no solo qué hace el programa, sino por qué lo 
hace (Autogestión).Experiencia de Usuario (UX): El uso de emojis y mensajes claros facilita la interacción con el sistema bancario simulado.Motivación: Han
 demostrado una base sólida en estructuras de control. Sigan practicando
 la lógica de condicionales anidados, ya que será un componente 
fundamental en el parcial presencial. ¡Muy bien hecho!Rúbrica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</si>
  <si>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22/50 Incentivo Académico:
 No se otorgan las unidades extra (+0.5) debido a que el script no es 
funcional en el escenario de fallo (crea un bucle infinito).Comentarios del Profesor: Equipo, su código tiene un error lógico crítico causado por la indentación (los espacios a la izquierda). En Python, la indentación define qué bloque de código pertenece a qué estructura.El Error (Bucle Infinito): Su bloque else: está alineado con el while, no con el if. Esto crea una estructura while-else (válida en Python, pero incorrecta para este caso).Consecuencia: Si el usuario ingresa una contraseña incorrecta, el programa vuelve al inicio del while. Como la variable intentos nunca se incrementó dentro del ciclo, la condición 0 &amp;lt; 3 siempre será Verdadera. El programa pedirá la contraseña infinitamente y nunca ejecutará la lógica de fallo ni el bloqueo de cuenta.Autogestión y Sanity Check:
 Este error demuestra que no probaron el "camino de fallo" antes de 
entregar. Un programador y analista siempre debe probar qué pasa cuando 
el usuario se equivoca.Motivación: El código para el caso de éxito (contraseña correcta) funciona perfectamente con su respectivo break.
 El objetivo de estos ejercicios es precisamente cometer estos errores 
ahora y no en un entorno laboral real. Revisen la indentación de su else:, córranlo en su VS Code ingresando claves erróneas y observen la diferencia. ¡Ajusten el detalle y sigan practicando!Rúbrica de CalificaciónCriterio de EvaluaciónRequisito TécnicoPuntaje MáximoPuntaje ObtenidoSeguridadDefinición de variable contraseña_correcta.5.05.0Control de IntentosImplementación de while limitado a 3 intentos.10.02.0 (Falla por bucle infinito al no actualizar el contador dentro del ciclo)InteracciónUso correcto de input() para capturar la clave.5.05.0Lógica de ÉxitoUso de if, print("Bienvenido") y break.10.010.0Lógica de FalloCálculo y muestra de intentos restantes.10.00.0 (Nunca se ejecuta durante los intentos fallidos por error de indentación)BloqueoMensaje "Cuenta Bloqueada" al agotar intentos.10.00.0 (Inalcanzable debido al bucle infinito)TOTAL50.022.0Diego Mauricio Zuluaga Rodríguez Profesor - Departamento de Economía Universidad de La Sabana</t>
  </si>
  <si>
    <t>Retroalimentación de la Entrega: Sistema de Login Seguro (Bono)Calificación Final: 50/50 Incentivo Académico: Se otorgan +0.5 unidades para el Primer Parcial del 25 de febrero a cada integrante.Comentarios del Profesor: Excelente
 trabajo, equipo. Han cumplido con todos los requerimientos técnicos y 
han ido un paso más allá en la calidad del código.Puntos Destacados:Limpieza de Datos (Data Cleaning): Es muy valioso que hayan implementado el método .replace(".", "").replace(",", ""). Esto demuestra una mentalidad de analistas de datos, anticipándose a errores comunes del usuario al ingresar números.Lógica de Control: El uso del ciclo while y la estructura if/else anidada para diferenciar entre "intentos restantes" y "bloqueo" es impecable.Eficiencia: El uso de break asegura que el programa no siga consumiendo recursos una vez se alcanza el éxito.Observación de Autogestión: Para futuras entregas, asegúrense de incluir los nombres de los integrantes en una celda de Markdown dentro del mismo archivo .ipynb, tal como se solicita en los estándares del curso, para facilitar la trazabilidad del archivo.Motivación: La
 proactividad de limpiar la entrada del usuario es lo que separa a un 
programador básico de un profesional. Están demostrando un gran nivel 
para el parcial de este miércoles. ¡Mantengan ese estándar!Rúbrica de CalificaciónCriterio de EvaluaciónRequisito TécnicoPuntaje MáximoPuntaje ObtenidoSeguridadDefinición de variable contrasena_correcta.5.05.0Control de IntentosImplementación de while limitado a 3 intentos.10.010.0InteracciónUso de input() y limpieza de datos (replace).5.05.0Lógica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</si>
  <si>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 a cada integrante del grupo.Comentarios del Profesor: Excelente
 trabajo, Samantha y Avril. Han desarrollado un script robusto que 
cumple con todos los requerimientos técnicos y de seguridad solicitados.Avril tiene 1 punto menos por entregar 13 minutos tarde.  Puntos Destacados:Lógica de Control: El uso del bucle while con la condición de parada y el comando break es impecable. Esto asegura que el programa sea eficiente y no siga pidiendo datos una vez se ha validado el acceso.Gestión de Intentos: El cálculo de intentos_restantes es lógico y proporciona una retroalimentación clara al usuario, lo cual es una buena práctica de experiencia de usuario (UX).Documentación:
 El código está debidamente comentado, explicando la función de cada 
bloque. Esto facilita la trazabilidad y el mantenimiento del software.Evidencia de Ejecución:
 Se aprecia en las celdas de salida que probaron tanto el escenario de 
éxito como el de bloqueo, lo cual demuestra un proceso de pruebas 
riguroso.Motivación: Han
 demostrado que dominan las estructuras de control básicas. Este nivel 
de preparación es el que se requiere para afrontar con éxito el parcial 
presencial. Sigan trabajando con esa atención al detalle. ¡Muchos éxitos
 en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</si>
  <si>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 a los integrantes: Alessandro Bonilla, Gabriela Ruiz y Maria Jose Huertas.Maria Jose Huertas tiene 1 punto menos por entregar 26 minutos tarde.  Comentarios del Profesor: Excelente
 trabajo de grupo. Han implementado una solución robusta que cumple con 
todos los requisitos de seguridad y control de flujo solicitados.Puntos Destacados:Lógica de Control: El uso del bucle while con la condición intentos &amp;lt; max_intentos es la forma más limpia de gestionar este tipo de procesos.Uso del break: Es impecable. Al colocar el break
 inmediatamente después del acierto, garantizan que el programa no siga 
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
 es fundamental para los retos que vienen en el segundo corte. Han 
demostrado estar listos para aplicar lógica de programación en problemas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</si>
  <si>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 a cada integrante del grupo.Comentarios del Profesor: Excelente
 trabajo, Samantha y Avril. Han desarrollado un script robusto que 
cumple con todos los requerimientos técnicos y de seguridad solicitados.Puntos Destacados:Lógica de Control: El uso del bucle while con la condición de parada y el comando break es impecable. Esto asegura que el programa sea eficiente y no siga pidiendo datos una vez se ha validado el acceso.Gestión de Intentos: El cálculo de intentos_restantes es lógico y proporciona una retroalimentación clara al usuario, lo cual es una buena práctica de experiencia de usuario (UX).Documentación:
 El código está debidamente comentado, explicando la función de cada 
bloque. Esto facilita la trazabilidad y el mantenimiento del software.Evidencia de Ejecución:
 Se aprecia en las celdas de salida que probaron tanto el escenario de 
éxito como el de bloqueo, lo cual demuestra un proceso de pruebas 
riguroso.Motivación: Han
 demostrado que dominan las estructuras de control básicas. Este nivel 
de preparación es el que se requiere para afrontar con éxito el parcial 
presencial. Sigan trabajando con esa atención al detalle. ¡Muchos éxitos
 en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</si>
  <si>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 a cada integrante.Comentarios del Profesor: Excelente
 trabajo, equipo. El código es limpio, eficiente y cumple rigurosamente 
con la lógica de seguridad solicitada. Han demostrado un buen manejo de 
la estructura try-except implícita en la lógica de control y una excelente organización de los bloques.Puntos Destacados:Lógica de Control: El uso del contador intentos dentro del bloque else es la forma más precisa de programar este sistema, ya que solo penaliza al usuario cuando falla.Experiencia de Usuario (UX): El uso de f-strings para informar los intentos restantes es un detalle de calidad que aporta claridad al programa.Documentación: El uso de emojis y títulos para separar las secciones del código facilita la lectura y el mantenimiento del script.Observación de Autogestión: Aunque el código es perfecto, recuerden que para futuros entregables la identificación de los integrantes debe ir dentro
 de una celda de Markdown al inicio del Notebook, no al final del 
archivo, para cumplir con los estándares de presentación profesional de 
la EICEA.Motivación: Tienen
 una base sólida en estructuras de control. Mantengan este nivel de 
atención al detalle para el parcial presencial. La capacidad de 
anticipar el error del usuario y gestionarlo es lo que define a un 
programador de alto nivel. ¡Felicitaciones!Rúbrica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</si>
  <si>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Retroalimentación de la Entrega: Sistema de Login Seguro (Bono)Calificación Final: 50/50 Incentivo Académico: Se otorgan +0.5 unidades para el Primer Parcial del 25 de febrero a los integrantes: Alessandro Bonilla, Gabriela Ruiz y Maria Jose Huertas. Gabriela Ruiz tiene 1 punto menos por entregar 20 minutos tarde.  Comentarios del Profesor: Excelente
 trabajo de grupo. Han implementado una solución robusta que cumple con 
todos los requisitos de seguridad y control de flujo solicitados.Puntos Destacados:Lógica de Control: El uso del bucle while con la condición intentos &amp;lt; max_intentos es la forma más limpia de gestionar este tipo de procesos.Uso del break: Es impecable. Al colocar el break
 inmediatamente después del acierto, garantizan que el programa no siga 
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
 es fundamental para los retos que vienen en el segundo corte. Han 
demostrado estar listos para aplicar lógica de programación en problemas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print("Bienvenido") y break.10.010.0Lógica de FalloCálculo y muestra de intentos restantes.10.010.0BloqueoMensaje "Cuenta Bloqueada" al agotar intentos.10.010.0TOTAL50.050.0Diego Mauricio Zuluaga Rodríguez Profesor - Departamento de Economía Universidad de La Sabana</t>
  </si>
  <si>
    <t>Asistencia</t>
  </si>
  <si>
    <t>TALLER CORTE 1</t>
  </si>
  <si>
    <t>Retroalimentación de la Entrega: Taller Corte 1 - MVP del
Emprendedor  Grupo: Paula Andrea Arciniegas Cárdenas, Valeria
Morales. Startup: LogicFlow  Calificación Final: 50/50 (Equivalente a 5.0) (Nota: El puntaje base obtenido fue de 46/50. Se aplicó el bono de +5 puntos
por la implementación exitosa de Git/GitHub, alcanzando el tope máximo de
50/50).  Comentarios del Profesor: Equipo LogicFlow, han presentado un proyecto muy sólido. Han
demostrado una excelente capacidad para resolver problemas lógicos y
estructurar un portafolio profesional que resalta sus perfiles como analistas y
desarrolladoras.  Puntos a destacar (Lo excelente): 
 Portafolio
     Profesional (GitHub): El archivo README.md es impecable. Definir el
     contexto de la Startup y explicar cómo cada reto aporta a la toma de
     decisiones en Colombia demuestra una gran visión de negocio. Además,
     lograron implementar Git y GitHub, obteniendo el bono de +5 puntos. 
 Nivel
     Avanzado en Reto 1: El uso de una lista de diccionarios (paquetes.append({"peso":
     peso...})) y la función lambda para ordenar con .sort(key=lambda x:
     x["peso"]) es código de nivel intermedio-avanzado. ¡Excelente
     investigación autónoma! 
 Manejo
     de Errores (UX): En el Reto 1, la implementación de try/except para
     evitar que el programa colapse si el usuario ingresa letras en lugar de
     números es una práctica de programación defensiva muy profesional.  Oportunidades de Mejora (Sanity Check y Autogestión): 
 Estructura
     General (Reto 3): La rúbrica exigía que todos los retos
     tuvieran un Menú Interactivo (while). El Reto 1 lo tiene perfecto, pero el
     Reto 3 se ejecuta de forma lineal y termina. En el mundo real, un usuario
     necesita poder realizar varios análisis sin tener que reiniciar la
     aplicación. 
 "Pythonic
     Way" (Reto 3): En el Reto 3 inicializaron la lista con ceros trm
     =[0,0,0,0,0,0,0] y luego reemplazaron los valores por índice trm[i] =
     trm_dia. Aunque funciona (lógica de lenguajes como C o Java), en Python la
     mejor práctica es iniciar una lista vacía trm =[] y usar el método .append(trm_dia). 
 Declaración
     de Tipos: En el Reto 3 escribieron valor_maximo = float. En Python,
     esto asigna el objeto tipo float a la variable, lo cual es
     innecesario porque en la siguiente línea lo sobrescriben con trm[0].
     Python es de tipado dinámico, no necesitan declarar el tipo de la variable
     antes de usarla.  Motivación: 
Tienen un pensamiento analítico muy fuerte y una excelente presentación de
resultados. Ajustando esos pequeños detalles de estructura y aprovechando al
máximo las herramientas nativas de Python, estarán listas para construir
modelos financieros y logísticos muy potentes. ¡Excelente preparación para el
parcial!  Rúbrica de Calificación 
  Criterio de Evaluación 
  Descripción Técnica 
  Puntaje Máximo 
  Puntaje Obtenido 
  Lógica y Diseño 
  Diagramas de flujo y pseudocódigo presentes y coherentes
  con la lógica implementada. 
  10.0 
  10.0 
  Funcionalidad Python 
  Reto 1 impecable. Penalización leve: El Reto 3
  carece del menú interactivo (while) exigido en la rúbrica general. 
  15.0 
  13.0 
  Manejo de Datos 
  Excelente uso de diccionarios y .sort() en Reto 1. Penalización
  leve: Uso poco convencional de listas en Reto 3 y ausencia de .sort(). 
  15.0 
  13.0 
  Git &amp;amp; GitHub 
  Repositorio público excelente y README.md con contexto de
  negocio real. 
  10.0 
  10.0 
  Bono Extra 
  Implementación exitosa de Git/GitHub (Tema de
  investigación autónoma). 
  + 5.0 
  + 5.0 
  TOTAL 
  (Tope máximo de 50 puntos) 
  50.0 
  50.0 
 Diego Mauricio Zuluaga Rodríguez 
Profesor - Departamento de Economía 
Universidad de La Sabana</t>
  </si>
  <si>
    <t>Retroalimentación de la Entrega: Taller Corte 1 - MVP del
Emprendedor  Estudiante: Sofia Giraldo Pico Proyectos Desarrollados: Reto 1 (Logística) y Reto 2 (Gastronomía)  Calificación Final: 35/50 (Equivalente a 3.5)  Comentarios del Profesor: Sofia, he revisado tu entrega técnica. Presentas un nivel de
programación superior al promedio, demostrando una comprensión profunda de
estructuras de datos avanzadas y manejo de errores. Sin embargo, la nota final
se ve afectada por el incumplimiento de los protocolos administrativos y
pedagógicos del curso.  Puntos a destacar (Excelencia Técnica): 
 Robustez
     del Código: Es el primer grupo/estudiante que implementa de forma
     autónoma bloques try-except para validar entradas. Esto evita que el
     programa colapse si el usuario digita texto en lugar de números. Es una
     práctica profesional excelente. 
 Estructuras
     de Datos: El uso de Listas de Diccionarios (paquetes.append({"destino":
     destino...})) es una forma muy eficiente de organizar información
     compleja. Superaste el requerimiento básico de listas simples. 
 Uso
     de Lambdas: Utilizar key=lambda p: p["peso"] para ordenar
     diccionarios demuestra que has profundizado en la documentación de Python.  Oportunidades de Mejora (Autogestión y Reglas): 
 Fase
     de Diseño (Crítico): No adjuntaste el Diagrama de Flujo ni el Pseudocódigo.
     En este curso, la planeación es tan importante como la ejecución. La
     rúbrica asigna 10 puntos a este ítem para fomentar que el estudiante
     piense la lógica antes de codificar. Al no entregarlo, pierdes este
     puntaje por completo. 
 Trabajo
     en Equipo: El taller estaba diseñado para ser realizado en grupos de 3
     para fomentar habilidades colaborativas (competencia clave en EICEA). Al
     trabajar de forma individual sin una autorización previa por fuerza mayor,
     se aplica la penalización de -5 puntos establecida. 
 Faltó
     el Menú Principal: Aunque los dos retos funcionan perfectamente por
     separado, el enunciado solicitaba un Menú Interactivo único (Ciclo while)
     que permitiera navegar entre ambos retos sin cerrar el programa.  Motivación: 
Sofia, técnicamente eres muy fuerte. Tienes una capacidad analítica envidiable
y tu código es limpio y profesional. Si logras alinear ese talento técnico con
el cumplimiento estricto de las instrucciones administrativas y de diseño
(planeación), tus resultados serán excepcionales. Te invito a no descuidar la
"forma" por enfocarte solo en el "fondo". ¡Cuentas con una
base técnica muy sólida para el resto del semestre!  RÚBRICA DE EVALUACIÓN - TALLER CORTE 1 (50 PUNTOS) 
  Criterio 
  Descripción Técnica 
  Puntaje Máximo 
  Puntaje Obtenido 
  Lógica y Diseño 
  No se entregó Diagrama de Flujo ni Pseudocódigo en carpeta
  design/. 
  10.0 
  0.0 
  Funcionalidad Python 
  Código excelente, incluye validación de errores (try-except).
  Faltó el menú while integrador. 
  15.0 
  12.0 
  Manejo de Datos 
  Uso avanzado de diccionarios, ciclos for, sum() y
  ordenamiento por lambda. 
  15.0 
  15.0 
  Git &amp;amp; GitHub 
  Se otorga el puntaje base según protocolo (No se baja por
  no usarlo). 
  10.0 
  10.0 
  Penalización 
  Trabajo Individual (Incumplimiento de conformación
  de grupos). 
  - 5.0 
  - 5.0 
  TOTAL 
  50.0 
  35.0 
 Diego Mauricio Zuluaga Rodríguez 
Profesor - Departamento de Economía 
Universidad de La Sabana</t>
  </si>
  <si>
    <t>Retroalimentación de la Entrega: Taller Corte 1 - MVP del
Emprendedor  Estudiante: María José Botero Galviz, Valery Linares
Hernandez.  Proyecto: Reto 1 (Logística) y Reto 2 (Gastronomía)  Calificación Final: 40/50 (Equivalente a 4.0 / 5.0) (Nota: Se aplicó un bono de +5 puntos por el uso de GitHub, pero hubo
penalizaciones por omisión de entregables críticos de autogestión).  Comentarios del Profesor: María José, he revisado tu código y técnicamente está en un
nivel muy avanzado. Demuestras un dominio de Python que va más allá de lo visto
en estas primeras clases, lo cual es excelente. Sin embargo, en el mundo de los
negocios y la tecnología, la excelencia técnica debe ir de la mano con el
cumplimiento estricto de los requerimientos del cliente (en este caso, la
rúbrica del taller).  Puntos a destacar (Lo excelente): 
 Nivel
     Técnico Avanzado: El uso de diccionarios dentro de listas, funciones lambda
     para el método .sort(), comprensiones de listas (sum(p["peso"]
     for p in paquetes)) y operadores ternarios demuestra una lógica de
     programación muy sólida. 
 Manejo
     de Errores (UX): Implementaste bloques try-except con ciclos while
     True para validar que el usuario ingrese números válidos y mayores a cero.
     Esto es una práctica profesional de alto nivel que blinda tu programa
     contra errores humanos. 
 Iniciativa:
     Subiste el proyecto a GitHub y compartiste el enlace, lo cual te otorga el
     bono de +5 puntos, demostrando proactividad.  Oportunidades de Mejora (Autogestión y Seguimiento de
Instrucciones): 
 Ausencia
     de Planeación (Diseño): No entregaste el diagrama de flujo ni el
     pseudocódigo (carpeta design/). Como CTO de tu emprendimiento, la
     planeación es tan importante como la ejecución. Programar sin documentar
     la lógica previa penaliza fuertemente el rubro de diseño. 
 Omisión
     del Menú Principal: La rúbrica exigía explícitamente un Menú
     Interactivo (Ciclo while) que integrara las opciones del sistema y no
     se cerrara hasta que el usuario lo decidiera. Tu código ejecuta el Reto 1
     y luego el Reto 2 de forma secuencial, omitiendo esta estructura central. 
 Falta
     de Portafolio (README.md): Aunque usaste GitHub, omitiste el archivo README.md.
     En el mercado laboral, un repositorio sin README es un proyecto
     "invisible" para los reclutadores, ya que no explica qué hace el
     código ni quién lo hizo.  Motivación: 
Tienes un talento técnico innegable y una lógica matemática muy bien
estructurada. El reto para ti en este curso será la Autogestión: leer
detenidamente los requerimientos y asegurar que tu producto cumpla exactamente
con lo que se pide, además de documentar tu proceso. Si logras alinear tu
excelente nivel de código con el rigor administrativo, serás una profesional
imparable.  Rúbrica de Calificación 
  Criterio de Evaluación 
  Descripción Técnica 
  Puntaje Máximo 
  Puntaje Obtenido 
  Lógica y Diseño 
  0.0: No se entregó la carpeta design/ con el
  pseudocódigo ni el diagrama de flujo. 
  10.0 
  0.0 
  Funcionalidad Python 
  10.0: Código robusto y sin errores (uso de try-except).
  Se descuentan 5 puntos por la ausencia del Menú Interactivo (while) exigido
  en la rúbrica. 
  15.0 
  10.0 
  Manejo de Datos 
  15.0: Uso perfecto y avanzado de listas de
  diccionarios, ciclos for y .sort(key=lambda). 
  15.0 
  15.0 
  Git &amp;amp; GitHub 
  5.0: Se otorgan los puntos base por la exención de
  clase 
  10.0 
  10.0 
  Bono Extra 
  +5.0: Implementación exitosa de GitHub y entrega
  del vínculo. 
  + 5.0 
  + 5.0 
  TOTAL 
  50.0 
  40.0 
 Diego Mauricio Zuluaga Rodríguez 
Profesor - Departamento de Economía 
Universidad de La Sabana</t>
  </si>
  <si>
    <t>Retroalimentación de la Entrega: Taller Corte 1 - MVP del
Emprendedor  Grupo: Cristian Bermúdez, Juan Camilo Leyton
Lancheros, Nicolás Torres Calderón. Proyectos: Ruta-Óptima (Reto 1) y Chef-Costos (Reto 2).  Calificación Final: 19/50 (Equivalente a 1.9)  Comentarios del Profesor: Equipo, he revisado su entrega. A nivel de lógica matemática
y sintaxis de Python, el código que escribieron funciona correctamente. Sin
embargo, esta entrega presenta fallas críticas en el seguimiento de
instrucciones y en la competencia de Autogestión, lo cual ha impactado
severamente su calificación.  Puntos a destacar (Lo técnico): 
 Lógica
     de Negocio: Las fórmulas matemáticas para calcular el costo de envío y
     el aumento porcentual de los ingredientes son correctas. 
 Estructuras
     Avanzadas: Noté que utilizaron diccionarios y la función sorted() con
     funciones lambda. Aunque esto demuestra que investigaron o tienen
     conocimientos previos, en este curso evaluamos el dominio de las
     herramientas vistas en clase (Listas y el método .sort()).  Oportunidades de Mejora Críticas (Autogestión y Sanity
Check): 
 Incumplimiento
     del Formato de Entrega (Git/GitHub): La instrucción era clara: debían
     crear un repositorio público en GitHub con un archivo README.md y subir el
     enlace a Teams. Ustedes adjuntaron únicamente el archivo .ipynb. En el
     mundo profesional, no usar el control de versiones solicitado por el
     cliente o el líder técnico es inaceptable. Esto les costó todos los puntos
     de esa sección. 
 Ausencia
     de Planeación (Diseño): No entregaron la carpeta design/ con el
     pseudocódigo ni el diagrama de flujo. Recuerden la regla de la clase: Primero
     pensamos, luego codificamos. La falta de esta evidencia penaliza
     fuertemente la nota. 
 Omisión
     de Requerimientos Obligatorios: La rúbrica exigía explícitamente un Menú
     Interactivo utilizando un ciclo while para que el programa no se
     cerrara solo y permitiera navegar entre los retos. Su código se ejecuta de
     forma lineal y termina, omitiendo por completo esta estructura de control
     fundamental.  Motivación: 
Ustedes tienen la capacidad técnica para escribir buen código, eso quedó
demostrado en la lógica de sus retos. Sin embargo, el éxito de un profesional
(y de un CTO en una startup) radica en seguir los requerimientos del cliente al
pie de la letra y gestionar sus entregables de forma organizada. Los invito a
ajustar su nivel de atención al detalle y autogestión para los próximos cortes.
Tienen el potencial para recuperarse.  Rúbrica de Calificación 
  Criterio de Evaluación 
  Descripción Técnica 
  Puntaje Máximo 
  Puntaje Obtenido 
  Lógica y Diseño 
  0.0: No se entregó pseudocódigo ni diagrama de
  flujo (Carpeta design/ ausente). 
  10.0 
  0.0 
  Funcionalidad Python 
  7.0: El código corre y usa if/else correctamente,
  pero omite por completo el ciclo while (Menú interactivo obligatorio). 
  15.0 
  8.0 
  Manejo de Datos 
  12.0: Uso correcto de ciclos for. Penalización:
  Se usó sorted() con lambda en lugar del método .sort() sobre listas anidadas,
  como se solicitó en la rúbrica. 
  15.0 
  12.0 
  Git &amp;amp; GitHub 
  0.0: NA. 
  10.0 
  10.0 
  TOTAL 
  50.0 
  30.0 
 Diego Mauricio Zuluaga Rodríguez 
Profesor - Departamento de Economía 
Universidad de La Sabana</t>
  </si>
  <si>
    <t>Retroalimentación de la Entrega: Taller Corte 1 - MVP del
Emprendedor  Calificación: 0.0 / 50  Retroalimentación: 
No se encontró registro de entrega en la plataforma Microsoft Teams ni el
vínculo al repositorio de GitHub solicitado. Según el cronograma oficial y las
instrucciones dadas, el plazo máximo de entrega venció el miércoles 25 de
febrero a las 16:00, previo al inicio del primer parcial. Al no existir
evidencia del trabajo, no es posible aplicar la rúbrica de evaluación.  Motivación: 
Este resultado impacta el 30% de tu nota del primer corte; sin embargo, el
semestre apenas comienza. Te invito a reflexionar sobre tu proceso de autogestión
y organización del tiempo. Quedan por delante el Corte 2 y el Corte 3 (70%
restante del semestre), donde tienes la oportunidad de demostrar tu compromiso
y habilidades técnicas. Asegúrate de cumplir con las fechas establecidas en el
Syllabus para evitar futuras penalizaciones. Diego Mauricio Zuluaga Rodríguez 
Profesor - Departamento de Economía 
Universidad de La Sabana</t>
  </si>
  <si>
    <t>Retroalimentación de la Entrega: Taller Corte 1 - MVP del
Emprendedor Grupo: Mariana Peña Rodríguez, Matías Mondragón
Osorio, Arianne Mariana Amorocho Quiroga. Proyecto: Ketoz - Sistema Central MVP Comentarios del Profesor: Equipo, han entregado un proyecto sobresaliente. Han logrado
conectar la teoría de la programación con un caso de negocio real y tangible
(Ketoz), lo cual es exactamente el objetivo del aprendizaje experiencial en la
EICEA. Puntos a destacar (Lo excelente): 
 Portafolio
     Profesional (GitHub): El archivo README.md es de nivel
     profesional. Explicar el contexto de la empresa (importación de repuestos)
     y el rol de cada uno le da un valor inmenso a su portafolio. Además,
     lograron implementar Git y GitHub por su cuenta, lo cual demuestra una
     excelente capacidad de investigación y les otorga el bono de +5 puntos. 
 Lógica
     y Diseño: El diagrama de flujo adjunto en la carpeta design/ es
     claro, estructurado y, lo más importante, coincide exactamente con la
     lógica del código final. Hicieron el trabajo de pensar antes de programar. 
 Estructuras
     Modernas: La implementación de match/case para el menú
     principal demuestra que están explorando características modernas de
     Python (3.10+), yendo más allá de lo básico. 
 Manejo
     de Datos: El uso de .sort() fue impecable. Entendieron
     perfectamente que al guardar los datos en las sublistas ([nombre, compra] y [peso,
     destino]), Python ordenaría automáticamente por el primer elemento
     (alfabético para mercadeo, numérico para logística). Oportunidad de Mejora (Sanity Check y Autogestión): 
 Manejo
     de Errores (UX): En la ejecución de su Notebook quedó registrado
     un error ValueError: could not convert string to float: ''. Esto
     ocurre cuando el usuario presiona "Enter" sin escribir un
     número. Para futuros proyectos, recuerden lo que vimos sobre el
     bloque try-except para blindar el programa y evitar que colapse
     por un error de digitación del usuario. 
 Puntualidad: El
     proyecto fue entregado 1 hora tarde. En el mundo de los negocios y la
     tecnología, los tiempos de despliegue son críticos. Por las reglas de
     autogestión del curso, esto genera una penalización de -5 puntos (0.5
     décimas). Afortunadamente, su proactividad con GitHub compensó esta
     pérdida, pero tengan mucho cuidado con los tiempos en el futuro. Motivación: 
Tienen madera para liderar proyectos tecnológicos en sus respectivas áreas
(Mercadeo, Logística y Gastronomía). Han demostrado que no solo saben escribir
código, sino que entienden para qué sirve ese código en el
mundo real. ¡Sigan con este nivel de excelencia! Rúbrica de Calificación 
  Criterio de Evaluación 
  Descripción Técnica 
  Puntaje Máximo 
  Puntaje Obtenido 
  Lógica y Diseño 
  Diagrama de flujo excelente. Refleja la planeación exacta
  del código (Menú, Ciclos y Decisiones). 
  10.0 
  10.0 
  Funcionalidad Python 
  Uso correcto de while True, match/case y
  condicionales lógicos para ambos retos. 
  15.0 
  15.0 
  Manejo de Datos 
  Implementación perfecta de listas anidadas, ciclos for y
  el método .sort(). 
  15.0 
  15.0 
  Git &amp;amp; GitHub 
  Repositorio público impecable y README.md con
  contexto de negocio real. 
  10.0 
  10.0 
  Bono Extra 
  Implementación exitosa de Git/GitHub (Tema de
  investigación autónoma). 
  + 5.0 
  + 5.0 
  Penalización 
  Entrega extemporánea (1 hora tarde). Reglas de
  Autogestión. 
  - 5.0 
  - 5.0 
  TOTAL 
  50.0 
  50.0 
 Diego Mauricio Zuluaga Rodríguez 
Profesor - Departamento de Economía 
Universidad de La Sabana</t>
  </si>
  <si>
    <t>Retroalimentación de la Entrega: Taller Corte 1 - MVP del
Emprendedor  Estudiante: Carranza Tapiero, Isabella. Estado: Trabajo Individual (Penalización aplicada).  Calificación Final: 10/50 (Equivalente a 1.0)  Comentarios del Profesor: Isabella, he revisado tu entrega y debo ser muy directo
contigo: el resultado es insuficiente para aprobar este corte.  Análisis de la Entrega: 
 Ausencia
     de Código (Falta Grave): No entregaste el archivo .ipynb ni el script .py.
     Esta asignatura es "Programación y Decisiones"; sin el código
     funcional en Python, no hay evidencia de que hayas adquirido las
     competencias técnicas del corte (Listas, Ciclos, Condicionales). El
     pseudocódigo por sí solo no es ejecutable. 
 Lógica
     Genérica: El pseudocódigo y el diagrama que subiste ("Sistema de
     Gestión de Datos") son estructuras genéricas. El taller solicitaba
     explícitamente resolver retos de negocio concretos (Logística,
     Gastronomía, Economía, etc.) con reglas de negocio específicas (cálculo de
     fletes, inflación, bonos). Tu algoritmo no resuelve ninguno de estos
     problemas; solo describe una lista genérica sin lógica de negocio. 
 Trabajo
     Individual: El taller exigía trabajo en grupos de 3 para fomentar la
     competencia de trabajo en equipo. Al trabajar sola, se aplica la
     penalización estipulada de -5 puntos.  Sobre el Parcial: 
Dado que ya realizamos el parcial, espero que hayas podido demostrar allí las
habilidades de codificación que no se evidenciaron en este taller.  Motivación: 
Una nota de 1.0 golpea fuerte el promedio, pero estamos iniciando el semestre.
Para el Corte 2 (Programación Orientada a Objetos), necesito ver un cambio
radical en tu autogestión. Debes entregar código funcional y cumplir con los
requerimientos específicos del cliente (el enunciado). No te desanimes, pero
toma esto como una alerta roja para ajustar el rumbo inmediatamente.  Rúbrica de Calificación 
  Criterio de Evaluación 
  Descripción Técnica 
  Puntaje Máximo 
  Puntaje Obtenido 
  Lógica y Diseño 
  Se entrega diagrama y pseudocódigo, pero son genéricos y
  no resuelven los retos planteados en el enunciado (No hay lógica de negocio). 
  10.0 
  5.0 
  Funcionalidad Python 
  No se entregó código. No hay evidencia de menús,
  ciclos o condicionales en Python. 
  15.0 
  0.0 
  Manejo de Datos 
  No se entregó código. No hay evidencia de
  manipulación de listas o métodos de ordenamiento. 
  15.0 
  0.0 
  Git &amp;amp; GitHub 
  Ajuste por Temario: Se otorgan los puntos base ya
  que el tema no se alcanzó a cubrir en clase presencial. 
  10.0 
  10.0 
  Penalización 
  Trabajo Individual (Debía ser grupal). 
  - 5.0 
  - 5.0 
  TOTAL 
  50.0 
  10.0 
 Diego Mauricio Zuluaga Rodríguez 
Profesor - Departamento de Economía 
Universidad de La Sabana</t>
  </si>
  <si>
    <t>Retroalimentación de la Entrega: Taller Corte 1 - MVP del
Emprendedor  Grupo: Samuel Gonzales, Samuel Lozano, Sebastián
Vanoy. Retos Seleccionados: Logística ("Ruta-Óptima") y Economía
("Dolar-Track").  Calificación Final: 50/50 (Equivalente a 5.0)  Comentarios del Profesor: Equipo, han realizado un trabajo sólido y funcional.
Lograron implementar la lógica requerida para ambos retos, demostrando un buen
entendimiento de las estructuras de control (while, if/elif/else) y el manejo
de listas.  Puntos a destacar (Lo bueno): 
 Lógica
     de Logística (Reto 1): La implementación de zip() para unir las listas
     (pesos, destinos, tipos, costos) antes de ordenar es una solución técnica
     muy inteligente y eficiente. Esto garantiza que al ordenar por peso, la
     información del destino y el costo no se "descuadre". ¡Excelente
     recurso! 
 Validaciones
     de Seguridad (Sanity Checks): Me gustó ver que incluyeron validaciones
     como if len(pesos) &amp;lt; 5: o if len(TRM_dias_anteriores) == 0:. Esto evita
     que el programa colapse si el usuario intenta calcular sin haber ingresado
     datos, lo cual demuestra madurez en su lógica de programación. 
 Diagramas
     de Flujo: Los diagramas adjuntos en PDF son claros y coinciden con la
     lógica implementada en el código, cumpliendo con el requisito de diseño
     previo.  Oportunidades de Mejora (Para el futuro): 
 Redundancia
     en el Reto 3 (Economía): Noté que en las opciones '2' y '3' repiten el
     bloque de código para calcular el promedio (sum / len). En programación,
     cuando vean que están copiando y pegando el mismo código varias veces, es
     una señal para optimizar (quizás calculando el promedio una sola vez al
     inicio o usando una función). 
 Experiencia
     de Usuario (UX): En el Reto 3, al seleccionar la opción 1, el programa
     pide los 7 datos y automáticamente los imprime ordenados. Sería
     mejor separar el "Ingreso" del "Reporte", tal como lo
     hicieron en el Reto 1, para darle más control al usuario.  Motivación: 
Tienen una base técnica muy fuerte. El uso de zip() demuestra que están
investigando y yendo más allá de lo básico. Sigan cultivando esa curiosidad
técnica, porque es lo que diferencia a un programador promedio de uno
excelente. ¡Buen trabajo!  Rúbrica de Calificación 
  Criterio de Evaluación 
  Descripción Técnica 
  Puntaje Máximo 
  Puntaje Obtenido 
  Lógica y Diseño 
  Diagramas de flujo claros y coherentes con el código
  entregado. 
  10.0 
  10.0 
  Funcionalidad Python 
  Código funcional, sin errores de sintaxis y con menús
  interactivos robustos. 
  15.0 
  15.0 
  Manejo de Datos 
  Uso avanzado de listas (incluyendo zip y clear) y ciclos for
  correctos. 
  15.0 
  15.0 
  Git &amp;amp; GitHub 
  (No evaluado por tiempos de clase - Se otorga el
  puntaje base). 
  10.0 
  10.0 
  TOTAL 
  50.0 
  50.0 
 Diego Mauricio Zuluaga Rodríguez 
Profesor - Departamento de Economía 
Universidad de La Sabana</t>
  </si>
  <si>
    <t>Retroalimentación de la Entrega: Taller Corte 1 - MVP del
Emprendedor  Grupo: José Daniel Escobar, Laura Fernanda López,
Juan David Neuta. Startup: FinData Analytics / Game Zone (Nota sobre consistencia abajo).  Calificación Final: 50/50 (Equivalente a 5.0) (Nota: Se aplicó un bono de +5 puntos por el uso de Git/GitHub).  Comentarios del Profesor: Equipo, han realizado un trabajo técnicamente sólido y muy
completo. Han demostrado dominio en la lógica de programación y en la
estructuración de soluciones.  Puntos a destacar (Lo excelente): 
 Doble
     Implementación: Me sorprendió gratamente ver que desarrollaron dos
     soluciones completas en el mismo repositorio: "Dolar-Track"
     (Finanzas) y "Game Zone" (Videojuegos). Ambos códigos son
     funcionales, robustos y cumplen con la rúbrica. Esto demuestra un esfuerzo
     superior al requerido. 
 Manejo
     de Errores (Try-Except): En el código de "Game Zone",
     implementaron bloques try-except para validar las entradas del usuario.
     Esto es vital para la experiencia de usuario (UX) y evita que el programa
     colapse si alguien escribe letras en lugar de números. ¡Excelente
     iniciativa! 
 Portafolio
     Profesional (GitHub): Su repositorio está bien estructurado, con
     carpetas separadas para diseño y código. El README.md es claro y
     profesional. Además, ganaron el bono de +5 puntos por investigar e
     implementar Git por su cuenta. 
 Lógica
     de Negocio: En "Dolar-Track", la lógica para calcular la
     volatilidad (max - min) y las alertas de compra/venta es correcta y útil
     para el perfil financiero.  Oportunidad de Mejora (Coherencia del Proyecto): 
 Identidad
     de la Startup: En el README.md se presentan como "FinData
     Analytics" (Fintech), pero en el código incluyen un sistema para una
     tienda de videojuegos ("Game Zone"). Aunque ambos códigos son
     excelentes, para futuras entregas asegúrense de que todo el repositorio
     gire en torno a una sola idea de negocio coherente. Si son una
     Fintech, el segundo reto podría haber sido el de
     "Nomina-Express" o "Chef-Costos" adaptado a costos
     financieros, para mantener la narrativa.  Motivación: 
Tienen un nivel técnico muy alto. La capacidad de implementar validaciones de
errores y manejar múltiples lógicas de negocio los pone en una posición de
ventaja. Sigan cultivando esa curiosidad técnica; es lo que diferencia a un
buen profesional de uno excelente.  Rúbrica de Calificación 
  Criterio de Evaluación 
  Descripción Técnica 
  Puntaje Máximo 
  Puntaje Obtenido 
  Lógica y Diseño 
  Diagramas y pseudocódigos claros para ambos retos en la
  carpeta design/. Coinciden con el código. 
  10.0 
  10.0 
  Funcionalidad Python 
  Código funcional, menús interactivos robustos y validación
  de errores (try-except). 
  15.0 
  15.0 
  Manejo de Datos 
  Uso correcto de listas, tuplas, ciclos for y métodos de
  ordenamiento (sorted y .sort). 
  15.0 
  15.0 
  Git &amp;amp; GitHub 
  Repositorio público bien configurado con README.md
  profesional. 
  10.0 
  10.0 
  Bono Extra 
  Implementación exitosa de Git/GitHub (Investigación
  autónoma). 
  + 5.0 
  + 5.0 
  TOTAL 
  50.0 
  55.0 
 Diego Mauricio Zuluaga Rodríguez 
Profesor - Departamento de Economía 
Universidad de La Sabana</t>
  </si>
  <si>
    <t>Retroalimentación de la Entrega: Taller Corte 1 -
SmartChef MVP  Grupo:  CARMONA ROMERO, MARIANA 
HERRERA PULIDO, MARIA JULIANA 
MEJIA QUINTERO, MARIA JULIANA.  Proyecto: SmartChef MVP (Reto Gastronomía)  Calificación Final: 50/50 (Equivalente a 5.0) (Nota: Se aplicó un bono de +5 puntos por el uso proactivo de Git/GitHub, lo
que asegura la nota máxima).  Comentarios del Profesor: Equipo, han realizado un trabajo sólido y funcional. Han
logrado traducir la lógica de un problema de negocio (control de costos en
gastronomía) a una solución técnica en Python.  Puntos a destacar (Lo excelente): 
 Lógica
     de Negocio Clara: El cálculo del aumento porcentual ((actual - base) /
     base) * 100 y la proyección del precio de venta con margen del 35% (total
     * 1.35) demuestran que entendieron perfectamente el requerimiento
     financiero del reto. 
 Uso
     Avanzado de Ordenamiento: Me impresionó gratamente el uso de sorted(zip(...),
     key=lambda...). Esta es una técnica avanzada para ordenar dos listas
     paralelas (nombres y precios) manteniéndolas sincronizadas. Aunque en
     clase vimos el método de "listas de listas" (ej: [[precio,
     nombre]]), su solución es válida, elegante y demuestra investigación
     autónoma. 
 Diagrama
     de Flujo Coherente: El diagrama en draw.io refleja fielmente la
     estructura del código, con las decisiones claras para cada opción del
     menú. Esto valida el proceso de diseño previo. 
 Bono
     de Autogestión (GitHub): Aunque no era obligatorio por tiempos de
     clase, el hecho de que hayan creado el repositorio, subido el código y el
     diagrama les otorga el bono de +5 puntos. Esto habla muy bien de su
     compromiso profesional.  Oportunidad de Mejora (Para el futuro): 
 Estructura
     de Datos: Si bien zip funciona, para proyectos más grandes es mejor
     usar una sola lista que contenga sub-listas (ej: ingredientes = [[nombre,
     precio_base, precio_actual]]). Esto evita tener que manejar 3 listas
     separadas (ingredientes, precios_base, precios_actuales) que podrían
     desincronizarse si el código crece. 
 Validación
     de Errores: Al igual que en la retroalimentación general, recuerden
     que el input() puede fallar si el usuario escribe letras en vez de
     números. Implementar try-except será el siguiente paso para blindar su
     aplicación.  Motivación: 
Han demostrado una gran capacidad técnica. El uso de funciones lambda para el
ordenamiento es un indicio de que pueden llegar muy lejos en programación si
siguen curiosas. ¡Excelente trabajo, futuras líderes!  Rúbrica de Calificación 
  Criterio de Evaluación 
  Descripción Técnica 
  Puntaje Máximo 
  Puntaje Obtenido 
  Lógica y Diseño 
  Diagrama de flujo claro en draw.io que coincide con la
  lógica del menú y procesos. 
  10.0 
  10.0 
  Funcionalidad Python 
  Código funcional. Menú while, cálculos financieros
  correctos y alertas de inflación. 
  15.0 
  15.0 
  Manejo de Datos 
  Uso correcto de listas y ciclos. Implementación avanzada
  de ordenamiento con lambda. 
  15.0 
  15.0 
  Git &amp;amp; GitHub 
  Repositorio creado correctamente (Bono aplicado por
  autogestión). 
  10.0 
  10.0 
  Bono Extra 
  Investigación autónoma (Uso de zip y lambda + GitHub). 
  + 5.0 
  + 5.0 
  TOTAL 
  50.0 
  55.0 
 Diego Mauricio Zuluaga Rodríguez 
Profesor - Departamento de Economía 
Universidad de La Sabana</t>
  </si>
  <si>
    <t>Retroalimentación de la Entrega: Taller Corte 1 - MVP del
Emprendedor  Grupo: Alessandro Di Mauro Bonilla Correa, Maria Jose
Huertas Osorio, Gabriela Ruiz Perez. Proyecto: No registrado.  Calificación Final: 0.0 / 50 (Equivalente a 0.0)  Comentarios del Profesor: Lamento informar que, al cierre del buzón el pasado miércoles
25 de febrero a las 16:00, no se encontró registro de su entrega en la
plataforma Microsoft Teams ni se recibió el vínculo de su repositorio en
GitHub.  Análisis de Autogestión: 
Uno de los pilares fundamentales de este curso y del Departamento de Economía
es la Autogestión. Esto implica la organización del tiempo y el
cumplimiento estricto de los cronogramas establecidos en el Syllabus. En un
entorno profesional y de emprendimiento, el incumplimiento de un deadline
para la entrega de un MVP (Producto Mínimo Viable) conlleva la pérdida de
credibilidad y de oportunidades de inversión.  Impacto Académico: 
Esta nota corresponde al 30% de la calificación del primer corte. La
ausencia de este entregable afecta significativamente su promedio actual.  Motivación y Próximos Pasos: 
El semestre apenas comienza. Los invito a reflexionar sobre los métodos de
estudio y organización que están utilizando como grupo. Tienen el Parcial
(50%) y las próximas actividades para demostrar su compromiso y nivel
técnico. No permitan que este resultado defina su desempeño en el resto del
semestre; utilícenlo como un motor para mejorar su planeación y asegurar que
todas las entregas futuras se realicen con antelación.  Rúbrica de Calificación 
  Criterio de Evaluación 
  Descripción Técnica 
  Puntaje Máximo 
  Puntaje Obtenido 
  Lógica y Diseño 
  No se entregó evidencia de planeación. 
  10.0 
  0.0 
  Funcionalidad Python 
  No se entregó código funcional. 
  15.0 
  0.0 
  Manejo de Datos 
  No se entregó evidencia de manejo de listas/ciclos. 
  15.0 
  0.0 
  Git &amp;amp; GitHub 
  No se registró repositorio profesional. 
  10.0 
  0.0 
  TOTAL 
  50.0 
  0.0 
 Diego Mauricio Zuluaga Rodríguez 
Profesor - Departamento de Economía 
Universidad de La Sabana</t>
  </si>
  <si>
    <t>Retroalimentación de la Entrega: Taller Corte 1 -
SmartFlow Solutions S.A.S.  Grupo: Mateo Pérez Daza, Simón Gustavo Restrepo
Álvarez, Diego Alejandro Hermida Limas. Proyecto: SmartFlow Solutions - Sistema de Logística y Fidelización  Calificación Final: 50/50 (Equivalente a 5.0) (Nota: Se otorga el bono de +5 puntos por la implementación proactiva de
Git/GitHub).  Comentarios del Profesor: Equipo, han presentado un trabajo de altísima calidad
técnica. Su enfoque en la estructura modular (usando funciones def dentro del
Notebook) demuestra un nivel de abstracción superior al promedio del curso.  Puntos a destacar (Lo excelente): 
 Estructura
     Modular: A diferencia de la mayoría que programó todo en un bloque
     lineal, ustedes encapsularon la lógica en funciones (ingresar_datos, ver_reporte).
     Esto hace que el código sea mantenible y escalable. ¡Excelente práctica de
     ingeniería de software! 
 Uso
     Avanzado de .sort(): La implementación de key=lambda x:
     x["peso"] demuestra que investigaron cómo ordenar diccionarios
     complejos. Esto es mucho más robusto que depender solo de la posición en
     una lista. 
 Manejo
     de Errores (try-except): Incluyeron bloques try-except para validar
     que el usuario ingrese números. Esto blinda su aplicación contra errores
     humanos (User Experience - UX), algo vital en un entorno empresarial real. 
 Portafolio
     Profesional: El README.md de SmartFlow Solutions es impecable. Venden
     la idea de la startup antes de mostrar el código, lo cual es clave para un
     perfil de negocios.  Oportunidad de Mejora (Sanity Check): 
 Lógica
     de Negocio (Reto 1): En la clasificación logística, su código dice: if peso &amp;lt; 1: tipo = "Documento" elif peso &amp;lt; 10: tipo = "Paquetería" else: tipo = "Carga" Pero luego calculan el costo fuera de esta estructura
(costo = peso * TARIFA_BASE). En la vida real, la "Carga" suele tener
una tarifa distinta a un "Documento". Aunque el enunciado pedía Tarifa
base x Kg, para un futuro MVP consideren tarifas diferenciadas.  Motivación: 
Ustedes ya están programando con mentalidad de desarrolladores (funciones,
lambdas, manejo de excepciones). Este nivel técnico les dará una ventaja
competitiva enorme en el mercado laboral. Sigan cultivando esa curiosidad
técnica.  Rúbrica de Calificación 
  Criterio de Evaluación 
  Descripción Técnica 
  Puntaje Máximo 
  Puntaje Obtenido 
  Lógica y Diseño 
  Diagrama de flujo claro y coherente con la estructura
  modular del código. 
  10.0 
  10.0 
  Funcionalidad Python 
  Código robusto con funciones, try-except y menús
  interactivos funcionales. 
  15.0 
  15.0 
  Manejo de Datos 
  Uso avanzado de diccionarios y ordenamiento con lambda. 
  15.0 
  15.0 
  Git &amp;amp; GitHub 
  Repositorio profesional con README.md de alta calidad
  (SmartFlow Solutions). 
  10.0 
  10.0 
  Bono Extra 
  Implementación exitosa de Git/GitHub (Investigación
  autónoma). 
  + 5.0 
  + 5.0 
  TOTAL 
  50.0 
  55.0 
 Diego Mauricio Zuluaga Rodríguez 
Profesor - Departamento de Economía 
Universidad de La Sabana</t>
  </si>
  <si>
    <t>Retroalimentación de la Entrega: Taller Corte 1 - MVP del
Emprendedor  Grupo: Daniel Felipe Camacho Pedraza, Juan Sebastian
Perdomo Herrera, Samuel David Simancas Contreras. Proyecto: MVP - Retos de Logística y Gastronomía.  Calificación Final: 38/50 (Equivalente a 3.8 / 5.0)  Comentarios del Profesor: Equipo, han entregado un código con destellos técnicos muy
avanzados, pero han descuidado una de las reglas de oro del curso y del
Departamento de Economía: la planeación y la autogestión.  Puntos a destacar (Lo excelente): 
 Investigación
     Autónoma: El uso de diccionarios dentro de listas y la implementación
     de funciones lambda para el ordenamiento (paquetes.sort(key=lambda x:
     x['peso'], reverse=True)) es de un nivel técnico superior al exigido.
     Demuestra que investigaron por su cuenta y buscaron la forma más eficiente
     de estructurar los datos. ¡Excelente trabajo en este aspecto! 
 Estructura
     de Menús: La implementación de los ciclos while True y el manejo de
     las opciones es limpio y funcional. 
 Cálculos
     Financieros: El cálculo del margen de ganancia (1.35) y el uso de
     f-strings con separadores de miles (:,) demuestran atención a la
     presentación de los datos.  Oportunidades de Mejora (Sanity Check y Reglas de
Negocio): 
 Ausencia
     de Planeación (Penalización Crítica): No adjuntaron el diagrama de
     flujo ni el pseudocódigo (Carpeta design/). Como se indicó en las
     instrucciones, programar sin planear es un riesgo inaceptable en el mundo
     real. Por esta razón, la nota en el criterio de "Lógica y
     Diseño" es 0.0. 
 Lógica
     de Negocio (Reto 2): En el reto de Gastronomía, definieron un PRECIO_BASE_REFERENCIA
     = 10000 global para todos los ingredientes. En la vida real, la sal no
     tiene el mismo precio base que el salmón. El sistema debió pedir el precio
     base individual de cada ingrediente ingresado para calcular su inflación
     real. 
 Detalle
     Técnico (Ejecución): En su archivo de Jupyter, encapsularon todo el
     código dentro de las funciones def reto_logistica(): y def
     reto_gastronomia():, pero nunca llamaron a las funciones al final
     de la celda. Si alguien ejecuta su código, no pasa absolutamente nada.
     Tengan cuidado con estos detalles de despliegue.  Motivación: 
Tienen una capacidad técnica innegable y un dominio de Python que destaca.
Sabiendo que el Primer Parcial ya se realizó, estoy seguro de que si
aplicaron este mismo nivel de código (y recordaron hacer el pseudocódigo
exigido en el examen), habrán obtenido un gran resultado. Para el próximo
corte, no olviden que un buen CTO no solo escribe código complejo, sino que
planea, documenta y audita la lógica de su negocio antes de teclear.  Rúbrica de Calificación 
  Criterio de Evaluación 
  Descripción Técnica 
  Puntaje Máximo 
  Puntaje Obtenido 
  Lógica y Diseño 
  (0.0) No se entregó el diagrama de flujo ni el
  pseudocódigo exigido en las instrucciones. 
  10.0 
  0.0 
  Funcionalidad Python 
  (13.0) Uso correcto de while e if/elif/else. Se
  descuentan 2 puntos porque las funciones fueron definidas pero no invocadas,
  y por la lógica del precio base global en el Reto 2. 
  15.0 
  13.0 
  Manejo de Datos 
  (15.0) Nivel avanzado. Excelente uso de
  diccionarios, listas, ciclos for y ordenamiento con lambda. 
  15.0 
  15.0 
  Git &amp;amp; GitHub 
  (10.0) Se otorga el puntaje completo por directriz
  de la clase (tema no evaluado en este corte). 
  10.0 
  10.0 
  TOTAL 
  50.0 
  38.0 
 Diego Mauricio Zuluaga Rodríguez 
Profesor - Departamento de Economía 
Universidad de La Sabana</t>
  </si>
  <si>
    <t>Retroalimentación de la Entrega: Taller Corte 1 - MVP del
Emprendedor  Grupo: Lukas Blanco Llanes, Alan David Rossoff
Vanegas, Juan Sebastian Salas Hinojosa. Proyectos: Dolar-Track (Reto 3) y Nomina-Express (Reto 5).  Calificación Final: 55/50 (Equivalente a 5.0 + 0.5 de
Bono) (Nota: Dado que el tema de Git/GitHub no se alcanzó a cubrir en clase, la
rúbrica base se califica sobre 10/10 automáticamente. Al haber investigado y
subido su proyecto a GitHub de forma proactiva, se les otorgan +5 puntos de
bono).  Comentarios del Profesor: Equipo, excelente trabajo. Han entregado un código robusto,
funcional y que demuestra un claro entendimiento de las estructuras de control
y el manejo de datos en Python. Actuaron como verdaderos CTOs al blindar su
aplicación contra errores de usuario.  Puntos a destacar (Lo excelente): 
 Validación
     de Datos (Sanity Check): La implementación de los bloques try-except
     junto con el while True para asegurar que el usuario ingrese números
     válidos y mayores a cero es de nivel profesional. Esto evita que el
     programa colapse (crash) y mejora enormemente la experiencia de usuario
     (UX). 
 Lógica
     y Diseño: Los diagramas de flujo y el pseudocódigo adjuntos en la
     carpeta design/ son coherentes con el código final. Planearon la solución
     antes de programarla. 
 Estructuras
     de Control: Los menús interactivos funcionan a la perfección y la
     lógica matemática para calcular la volatilidad de la TRM y la nómina con
     horas extras es exacta.  Oportunidades de Mejora (Autogestión y Código): 
 El
     Portafolio (Falta el README.md): Aunque subieron el proyecto a GitHub
     (lo cual es excelente y les dio el bono), omitieron crear el archivo README.md.
     En el mundo del desarrollo y la ciencia de datos, un repositorio sin
     README es como un libro sin portada; los reclutadores no sabrán de qué
     trata su proyecto. Para el próximo corte, documenten su repositorio. 
 Complejidad
     Innecesaria en el Ordenamiento: En el Reto 5 utilizaron zip() y
     funciones lambda (data.sort(key=lambda x: x[0].lower())). Es muy positivo
     que investiguen herramientas avanzadas, pero recuerden que si hubieran
     guardado los datos como una lista de listas [[nombre, horas]], un simple .sort()
     habría hecho el trabajo alfabéticamente sin necesidad de importar lógicas
     más complejas. A veces, la solución más simple es la mejor.  Motivación: 
Tienen una base técnica muy sólida. Si mantienen este nivel de validación de
datos y mejoran la presentación comercial de sus repositorios (README), tendrán
un portafolio sumamente atractivo para el mercado laboral. ¡Sigan así y éxitos
en el parcial!  Rúbrica de Calificación 
  Criterio de Evaluación 
  Descripción Técnica 
  Puntaje Máximo 
  Puntaje Obtenido 
  Lógica y Diseño 
  Diagramas de flujo y pseudocódigo entregados y coherentes
  con la lógica programada. 
  10.0 
  10.0 
  Funcionalidad Python 
  Uso impecable de while True para menús y validaciones try-except.
  Lógica if/else correcta. 
  15.0 
  15.0 
  Manejo de Datos 
  Uso correcto de listas, ciclos for para cálculos
  (promedios/nómina) y ordenamiento. 
  15.0 
  15.0 
  Git &amp;amp; GitHub (Base) 
  Tema no evaluado obligatoriamente por tiempos de clase. Se
  otorga el puntaje base completo. 
  10.0 
  10.0 
  Bono Autogestión 
  Uso proactivo de GitHub para la entrega (+5 pts). Nota:
  Faltó el README.md, pero se otorga el bono por la iniciativa técnica. 
  + 5.0 
  + 5.0 
  TOTAL 
  50.0 
  55.0 
 Diego Mauricio Zuluaga Rodríguez 
Profesor - Departamento de Economía 
Universidad de La Sabana</t>
  </si>
  <si>
    <t>Retroalimentación de la Entrega: Taller Corte 1 - MVP del
Emprendedor  Grupo: Avril Ariza, Samantha Vanegas. Proyectos: ModaPlus (Reto 4) y Nómina-Express (Reto 5).  Calificación Final: 41/50 (Equivalente a 4.1) (Nota: Se aplicó un bono de +5 puntos por la implementación autónoma de
Git/GitHub. El puntaje base fue 36/50).  Comentarios del Profesor: Equipo, han presentado un trabajo con un nivel de detalle
visual y matemático muy interesante. La forma en que estructuraron las salidas
en consola (tablas, resúmenes, f-strings) demuestra un gran esfuerzo por
entregar un producto amigable para el usuario final.  Puntos a destacar (Lo excelente): 
 Portafolio
     Profesional (GitHub): El archivo README.md es claro y cumple con el
     objetivo. Además, lograron implementar Git y GitHub por su cuenta, lo cual
     demuestra una excelente capacidad de investigación y les otorga el bono de
     +5 puntos. 
 Formato
     de Salida (UX): La presentación de los desprendibles de pago y el
     reporte de clientes es de nivel avanzado. El uso de espaciados (:&amp;lt;15, :8.0f)
     hace que la consola se vea como un software real. 
 Lógica
     Algorítmica: Implementar un "Método Burbuja" (Bubble Sort)
     manual con ciclos for anidados en el Reto 4 es una muestra de pensamiento
     lógico avanzado. ¡Muy bien pensado!  Oportunidades de Mejora (Sanity Check y Autogestión): 
 El
     Menú Interactivo (while): Este era un requerimiento obligatorio de la
     rúbrica general. Su código se ejecuta de forma lineal (de arriba a abajo)
     y termina. No implementaron el menú interactivo con el ciclo while que
     permitiera al usuario elegir opciones sin que el programa se cerrara. 
 Coherencia
     Diseño vs. Código: En su archivo pseudocodigo.txt y en el diagrama de
     flujo, ustedes planearon perfectamente el menú (Mientras el usuario no
     elija salir: Mostrar menú...). Sin embargo, no lo programaron en Python.
     Recuerden la regla de oro: el diseño debe coincidir exactamente con el
     producto final. 
 Seguimiento
     de Instrucciones (.sort() y Categorías): 
  Aunque
      su método burbuja es genial, la rúbrica exigía evaluar su capacidad para
      usar el método nativo .sort(). En el mundo laboral, reinventar la rueda
      puede costar tiempo valioso; debemos usar las herramientas integradas del
      lenguaje. 
  En
      el Reto 4, omitieron la categoría "Plata". Su código clasifica
      todo lo menor a $500.000 como "Bronce", saltándose la regla de
      negocio del cliente. 
 Motivación: 
Tienen una capacidad excelente para estructurar datos y presentarlos de forma
profesional. El siguiente paso para alcanzar la excelencia es asegurar que
cumplen estrictamente con los requerimientos técnicos del cliente (la rúbrica)
y que su planeación se refleje 100% en su código. ¡Sigan adelante, tienen un
gran potencial para el análisis de datos!  Rúbrica de Calificación 
  Criterio de Evaluación 
  Descripción Técnica 
  Puntaje Máximo 
  Puntaje Obtenido 
  Lógica y Diseño 
  Entregaron pseudocódigo y diagrama. Penalización:
  El diseño plantea un menú while que no fue implementado en el código final
  (Falla en Sanity Check). 
  10.0 
  6.0 
  Funcionalidad Python 
  Código sin errores y cálculos correctos. Penalización:
  Ausencia total del ciclo while (Menú interactivo) y omisión de la categoría
  "Plata" en Reto 4. 
  15.0 
  9.0 
  Manejo de Datos 
  Excelente uso de listas y ciclos for. Penalización:
  No se utilizó el método .sort() solicitado en la rúbrica. 
  15.0 
  11.0 
  Git &amp;amp; GitHub 
  Repositorio público configurado correctamente y README.md
  funcional. 
  10.0 
  10.0 
  Bono Extra 
  Implementación exitosa de Git/GitHub (Tema de
  investigación autónoma). 
  + 5.0 
  + 5.0 
  TOTAL 
  50.0 
  41.0 
 Diego Mauricio Zuluaga Rodríguez 
Profesor - Departamento de Economía 
Universidad de La Sabana</t>
  </si>
  <si>
    <t>Retroalimentación de la Entrega: Taller Corte 1 - MVP del
Emprendedor  Grupo: Juan Jose Caballero Mantilla, Daniel Camilo
Lopez Piraquive, Martin Martin Trujillo Rodriguez. Proyecto: LogiChef Solutions (Logística y Gastronomía)  Calificación Final: 40/50 (Equivalente a 4.0 / 5.0) (Nota: Se aplicó un bono de +5 puntos por el uso de GitHub. Hubo descuentos
por no cumplir con el ingreso dinámico de datos y requerimientos incompletos).  Comentarios del Profesor: Equipo, he revisado su repositorio y su código. Tienen una
base estructurada muy interesante y destaco su iniciativa para investigar temas
avanzados, pero han descuidado requerimientos explícitos de la rúbrica, lo cual
es un fallo crítico en la autogestión.  Puntos a destacar (Lo excelente): 
 Planeación
     y Diseño: Entregaron el diagrama de flujo y el pseudocódigo en la
     carpeta design/. Esto demuestra que hicieron el trabajo de pensar la
     lógica antes de programar, cumpliendo con el estándar del curso. 
 Portafolio
     Profesional (GitHub): Su archivo README.md es claro y va al punto.
     Además, lograron implementar Git y GitHub por su cuenta, lo cual demuestra
     una excelente capacidad de investigación y les otorga el bono de +5
     puntos. 
 Estructura
     Avanzada: Utilizaron funciones (def) para separar la lógica de cada
     módulo. Aunque no lo hemos visto a profundidad en clase, es una excelente
     práctica de ingeniería de software.  Oportunidades de Mejora (Autogestión y Sanity Check): 
 Ingreso
     de Datos (Fallo Crítico): La rúbrica exigía explícitamente: "Deben
     permitir al usuario ingresar al menos 5 registros usando input()".
     Ustedes "quemaron" (hardcoded) los datos directamente en el
     código (ej. pesos = [0.5, 3, 12, 8, 15]). Un MVP debe ser dinámico; si el
     cliente no puede ingresar sus propios datos, el software no es funcional
     para el mundo real. 
 Requerimientos
     Incompletos: Aunque estructuraron dos módulos, la entrega se considera
     incompleta frente a lo solicitado (equivalente a haber realizado solo 1 de
     los 2 retos a cabalidad). Por ejemplo, en el módulo de Gastronomía
     omitieron el requerimiento de mostrar la lista de ingredientes ordenada
     del más caro al más barato usando .sort(). 
 Uso
     de .append(): Al tener los datos fijos desde el inicio, perdieron la
     oportunidad de demostrar el uso de .append() dentro de un ciclo for para
     llenar las listas dinámicamente, que era uno de los objetivos de
     aprendizaje del taller.  Motivación: 
Tienen una capacidad técnica muy buena y la iniciativa para aprender por su
cuenta es su mayor fortaleza. Sin embargo, en el mundo laboral, el cliente no
solo evalúa qué tan sofisticado es el código, sino si cumple exactamente con lo
que pidió. Espero que la retroalimentación de este taller y los aprendizajes
obtenidos les hayan sido de gran utilidad para el Parcial 1 que ya presentamos.
¡A seguir mejorando para el segundo corte!  Rúbrica de Calificación 
  Criterio de Evaluación 
  Descripción Técnica 
  Puntaje Máximo 
  Puntaje Obtenido 
  Lógica y Diseño 
  10.0: Entrega correcta del pseudocódigo y diagrama
  de flujo en la carpeta design/. 
  10.0 
  10.0 
  Funcionalidad Python 
  7.5: El menú while funciona bien, pero se penaliza
  fuertemente la ausencia de input() para el ingreso dinámico de datos. 
  15.0 
  7.5 
  Manejo de Datos 
  7.5: Uso de listas y ciclos for. Se penaliza por no
  usar .sort() en el reto de Gastronomía y por no llenar las listas
  dinámicamente. 
  15.0 
  7.5 
  Git &amp;amp; GitHub 
  10.0: Repositorio público configurado correctamente
  y README.md profesional. 
  10.0 
  10.0 
  Bono Extra 
  +5.0: Implementación exitosa de GitHub y entrega
  del vínculo. 
  + 5.0 
  + 5.0 
  TOTAL 
  50.0 
  40.0 
 Diego Mauricio Zuluaga Rodríguez 
Profesor - Departamento de Economía 
Universidad de La Sabana</t>
  </si>
  <si>
    <t>Retroalimentación de la Entrega: Taller Corte 1 - MVP del
Emprendedor  Grupo: Lukas Blanco Llanes, Alan David Rossoff
Vanegas, Juan Sebastian Salas Hinojosa. Proyectos: Dolar-Track (Reto 3) y Nomina-Express (Reto 5).  El link de Alan David Rossoff Vanegas no es el correcto. Este es un link de Instagram. Se bajan 10 puntos. Calificación Final: 55/50 (Equivalente a 5.0 + 0.5 de
Bono) (Nota: Dado que el tema de Git/GitHub no se alcanzó a cubrir en clase, la
rúbrica base se califica sobre 10/10 automáticamente. Al haber investigado y
subido su proyecto a GitHub de forma proactiva, se les otorgan +5 puntos de
bono).  Comentarios del Profesor: Equipo, excelente trabajo. Han entregado un código robusto,
funcional y que demuestra un claro entendimiento de las estructuras de control
y el manejo de datos en Python. Actuaron como verdaderos CTOs al blindar su
aplicación contra errores de usuario.  Puntos a destacar (Lo excelente): 
 Validación
     de Datos (Sanity Check): La implementación de los bloques try-except
     junto con el while True para asegurar que el usuario ingrese números
     válidos y mayores a cero es de nivel profesional. Esto evita que el
     programa colapse (crash) y mejora enormemente la experiencia de usuario
     (UX). 
 Lógica
     y Diseño: Los diagramas de flujo y el pseudocódigo adjuntos en la
     carpeta design/ son coherentes con el código final. Planearon la solución
     antes de programarla. 
 Estructuras
     de Control: Los menús interactivos funcionan a la perfección y la
     lógica matemática para calcular la volatilidad de la TRM y la nómina con
     horas extras es exacta.  Oportunidades de Mejora (Autogestión y Código): 
 El
     Portafolio (Falta el README.md): Aunque subieron el proyecto a GitHub
     (lo cual es excelente y les dio el bono), omitieron crear el archivo README.md.
     En el mundo del desarrollo y la ciencia de datos, un repositorio sin
     README es como un libro sin portada; los reclutadores no sabrán de qué
     trata su proyecto. Para el próximo corte, documenten su repositorio. 
 Complejidad
     Innecesaria en el Ordenamiento: En el Reto 5 utilizaron zip() y
     funciones lambda (data.sort(key=lambda x: x[0].lower())). Es muy positivo
     que investiguen herramientas avanzadas, pero recuerden que si hubieran
     guardado los datos como una lista de listas [[nombre, horas]], un simple .sort()
     habría hecho el trabajo alfabéticamente sin necesidad de importar lógicas
     más complejas. A veces, la solución más simple es la mejor.  Motivación: 
Tienen una base técnica muy sólida. Si mantienen este nivel de validación de
datos y mejoran la presentación comercial de sus repositorios (README), tendrán
un portafolio sumamente atractivo para el mercado laboral. ¡Sigan así y éxitos
en el parcial!  Rúbrica de Calificación 
  Criterio de Evaluación 
  Descripción Técnica 
  Puntaje Máximo 
  Puntaje Obtenido 
  Lógica y Diseño 
  Diagramas de flujo y pseudocódigo entregados y coherentes
  con la lógica programada. 
  10.0 
  10.0 
  Funcionalidad Python 
  Uso impecable de while True para menús y validaciones try-except.
  Lógica if/else correcta. 
  15.0 
  15.0 
  Manejo de Datos 
  Uso correcto de listas, ciclos for para cálculos
  (promedios/nómina) y ordenamiento. 
  15.0 
  15.0 
  Git &amp;amp; GitHub (Base) 
  Tema no evaluado obligatoriamente por tiempos de clase. Se
  otorga el puntaje base completo. 
  10.0 
  10.0 
  Bono Autogestión 
  Uso proactivo de GitHub para la entrega (+5 pts). Nota:
  Faltó el README.md, pero se otorga el bono por la iniciativa técnica. 
  + 5.0 
  + 5.0 
  TOTAL 
  50.0 
  55.0 
 Diego Mauricio Zuluaga Rodríguez 
Profesor - Departamento de Economía 
Universidad de La Sabana</t>
  </si>
  <si>
    <t>Tareas - Corte 1</t>
  </si>
  <si>
    <t>Retroalimentación de la Entrega: Calculadora de Divisas Calificación Final: 48/50 Comentarios del Profesor: Buen trabajo, Paula y Valeria. Han presentado una solución técnica muy sólida con un enfoque financiero interesante.Puntos Destacados:Lógica Financiera Superior: Me llamó la atención que utilizaran la paridad EUR/USD
 para calcular el valor en Euros a partir del resultado en Dólares. Esta
 es una lógica de mercado real (triangulación de divisas) que demuestra 
que entienden el trasfondo económico del ejercicio, no solo la 
programación.Impecable Formato de Salida: El uso de f-strings con :,.2f y los separadores visuales en la consola (============CONVERSIÓN============) hacen que el reporte sea profesional y fácil de leer para un usuario final.Documentación Precisa: Los comentarios explican claramente el porqué del uso de float(), lo cual evidencia que comprenden el concepto de Casting.Observación de Autogestión (Oportunidad de Mejora):Conformación del Grupo: Las instrucciones iniciales y el contrato pedagógico estipulaban el trabajo en grupos de 3 estudiantes.
 En esta entrega solo figuran dos integrantes. Es vital seguir las 
instrucciones de organización grupal para fomentar el trabajo 
colaborativo completo. Por este detalle administrativo, se descuentan 2 
puntos en el criterio de estructura. Motivación:  Tienen
 un dominio técnico muy claro de los fundamentos vistos hasta ahora. Esa
 capacidad de aplicar "lógica de paridad" les será de gran utilidad en 
el Parcial del 25 de febrero. Sigan así, cuidando tanto el código como el cumplimiento de los lineamientos administrativos.Rúbrica de CalificaciónCriterio de EvaluaciónDescripciónPuntaje MáximoPuntaje ObtenidoUso de Casting (float)Conversión correcta de entradas a decimales.10.010.0Formato de SalidaUso de f-strings, separadores de miles y precisión decimal.10.010.0Markdown y EstructuraPresentación y nombres.10.010.0Funcionalidad y LógicaCálculos correctos. Excelente uso de paridad EUR/USD.10.010.0DocumentaciónComentarios claros y explicativos en el código.10.010.0TOTAL50.050.0Diego Mauricio Zuluaga Rodríguez Profesor - Departamento de Economía Universidad de La Sabana</t>
  </si>
  <si>
    <t>Retroalimentación de la Entrega: Calculadora de Divisas Calificación Final: 35/50 Comentarios del Profesor:  Equipo, han presentado un trabajo con una lógica de programación superior al promedio, integrando ciclos while y validación de errores con try-except, lo cual es excelente. Sin embargo, la calificación se ve afectada por el incumplimiento de instrucciones específicas y la falta de puntualidad.Puntos Fuertes:Lógica Avanzada: Implementar un menú interactivo y un sistema de validación de datos (try-except) demuestra que han profundizado en el material. El programa es robusto y no se "rompe" si el usuario ingresa texto en lugar de números.Uso de Casting: El manejo de float() es correcto y bien aplicado dentro de la validación.Oportunidades de Mejora (Puntos Críticos):Puntualidad (Autogestión): La tarea fue entregada con 14 horas de retraso. En este curso, la gestión del tiempo es una competencia fundamental. Este retraso conlleva una penalización directa en la nota final.Documentación: Las instrucciones solicitaban explícitamente "documentar cada línea de código". Su script solo cuenta con un par de comentarios generales. La documentación es vital para el trabajo colaborativo.Formato de Salida: Aunque usaron round(), para perfiles de EICEA es indispensable usar el formato de f-strings con separadores de miles (:,.2f) para reportes financieros, tal como se practicó en clase. Motivación:  Tienen una capacidad técnica muy alta; el código funciona de manera impecable y la lógica es elegante. Si logran alinear ese talento con la disciplina en los tiempos de entrega y el seguimiento estricto de los requerimientos de formato, sus resultados serán sobresalientes. ¡Ajusten estos detalles para el parcial!Rúbrica de CalificaciónCriterio de EvaluaciónDescripciónPuntaje MáximoPuntaje ObtenidoUso de Casting (float)Uso correcto de conversión de datos con validación.10.010.0Formato de SalidaMensajes claros, aunque faltó el formato financiero de miles.10.08.0Markdown y NombresIdentificación del grupo y descripción correcta.10.010.0DocumentaciónIncumplimiento: No se documentó cada línea como se pidió.10.03.0Entrega OportunaPenalización: Entrega con 14 horas de retraso.10.04.0TOTAL50.035.0Diego Mauricio Zuluaga Rodríguez Profesor - Departamento de Economía Universidad de La Sabana</t>
  </si>
  <si>
    <t>Retroalimentación de la Entrega: Calculadora de DivisasCalificación Final: 42/50Comentarios del Profesor:Han presentado un trabajo con un nivel técnico sobresaliente, sin embargo, han fallado en aspectos fundamentales de autogestión y seguimiento de instrucciones que son críticos en este curso.Puntos Fuertes (Excelencia Técnica):El código es muy avanzado. Han implementado una función de normalización de números que maneja automáticamente puntos y comas, algo que supera las expectativas del ejercicio.El uso de try-except y bucles while para validar que el usuario no ingrese valores erróneos es una práctica profesional excelente.El formato de salida es impecable y muy claro.Oportunidades de Mejora (Autogestión y Reglas):Conformación del Grupo: La instrucción fue clara: "actividad exclusiva en grupos de 3". Su entrega solo registra a 2 integrantes. El cumplimiento de las normas de equipo es parte de la evaluación.Atención al detalle (Markdown): El encabezado presenta errores ortográficos notables ("Nuetsro", "coaluladora"). Como futuros profesionales de EICEA, la forma en que presentan sus reportes es tan importante como el código.Documentación: Aunque el código tiene comentarios, la instrucción pedía "documentar cada línea de código". Hay bloques lógicos extensos sin comentarios intermedios.Motivación:Técnicamente tienen un potencial muy alto; la lógica de programación la dominan con fluidez. Para el parcial del 25 de febrero, les recomiendo enfocarse en la lectura minuciosa de los requerimientos. En el mundo de los negocios, un gran modelo con errores de forma o que no sigue los parámetros del cliente puede ser rechazado. ¡Sigan puliendo esa atención al detalle!Rúbrica de CalificaciónCriterio de EvaluaciónDescripciónPuntaje MáximoPuntaje ObtenidoUso de Casting (float)Uso avanzado y robusto de conversión de datos.10.010.0Formato de SalidaExcelente claridad y uso de f-strings profesionales.10.010.0Markdown y EstructuraPenalización: errores ortográficos.10.08.0Funcionalidad y LógicaEl script es impecable y maneja errores de usuario.10.010.0DocumentaciónComentarios presentes, pero no en cada línea como se solicitó.10.08.0TOTAL50.046.0Diego Mauricio Zuluaga RodríguezProfesor - Departamento de EconomíaUniversidad de La Sabana</t>
  </si>
  <si>
    <t>Retroalimentación de la Entrega: Calculadora de DivisasCalificación Final: 45/50Comentarios del Profesor:Buen trabajo, equipo. El script es funcional y cumple con el objetivo básico de conversión. Sin embargo, para alcanzar la excelencia profesional (5.0), deben prestar atención a los requerimientos técnicos específicos y al formato de salida de datos financieros.Puntos a Mejorar:Solicitud de TRM: El enunciado solicitaba expresamente solicitar la TRM del día al usuario mediante input(). Ustedes dejaron las tasas fijas (hardcoded) en el código. En finanzas, un script que no permite actualizar la tasa de cambio pierde utilidad inmediata ante la volatilidad del mercado.Claridad en el Formato: Aunque usaron f-strings, el resultado impreso (50000.0) carece de separadores de miles y limitación de decimales. En un contexto bancario o administrativo, es vital presentar los montos como $ 50,000.00 para evitar errores de lectura.Puntos Fuertes:Documentación: El código está muy bien comentado, explicando el propósito de cada celda.Casting: El uso de float() en la entrada del monto es correcto.Motivación:Tienen una base sólida. Para el parcial del 25 de febrero, asegúrense de leer cada requerimiento del enunciado detalladamente. La diferencia entre un analista estándar y uno de alto nivel está en la capacidad de entregar herramientas flexibles y con formatos de lectura impecables. ¡Sigan practicando!Rúbrica de CalificaciónCriterio de EvaluaciónDescripciónPuntaje MáximoPuntaje ObtenidoUso de Casting (float)Conversión correcta de la entrada de COP a valor numérico.10.010.0Formato de SalidaUso de f-strings, pero faltaron separadores de miles y límite de decimales.10.07.0Markdown y EstructuraInclusión de nombres y descripción de la tarea.10.010.0Funcionalidad y LógicaEl script funciona, pero no solicita la TRM como se pidió (tasas fijas).10.08.0DocumentaciónComentarios claros explicando la lógica de cada sección.10.010.0TOTAL50.045.0Diego Mauricio Zuluaga RodríguezProfesor - Departamento de EconomíaUniversidad de La Sabana</t>
  </si>
  <si>
    <t>Retroalimentación de la Entrega: Calculadora de Divisas Calificación Final: 45/50 Comentarios del Profesor:  Buen
 trabajo, equipo. El script es funcional y cumple con el objetivo básico
 de conversión. Sin embargo, para alcanzar la excelencia profesional 
(5.0), deben prestar atención a los requerimientos técnicos específicos y
 al formato de salida de datos financieros.Puntos a Mejorar:Solicitud de TRM: El enunciado solicitaba expresamente solicitar la TRM del día al usuario mediante input().
 Ustedes dejaron las tasas fijas (hardcoded) en el código. En finanzas, 
un script que no permite actualizar la tasa de cambio pierde utilidad 
inmediata ante la volatilidad del mercado.Claridad en el Formato: Aunque usaron f-strings, el resultado impreso (50000.0)
 carece de separadores de miles y limitación de decimales. En un 
contexto bancario o administrativo, es vital presentar los montos como $ 50,000.00 para evitar errores de lectura.Puntos Fuertes:Documentación: El código está muy bien comentado, explicando el propósito de cada celda.Casting: El uso de float() en la entrada del monto es correcto. Motivación:  Tienen
 una base sólida. Para el parcial del 25 de febrero, asegúrense de leer 
cada requerimiento del enunciado detalladamente. La diferencia entre un 
analista estándar y uno de alto nivel está en la capacidad de entregar 
herramientas flexibles y con formatos de lectura impecables. ¡Sigan 
practicando!Rúbrica de CalificaciónCriterio de EvaluaciónDescripciónPuntaje MáximoPuntaje ObtenidoUso de Casting (float)Conversión correcta de la entrada de COP a valor numérico.10.010.0Formato de SalidaUso de f-strings, pero faltaron separadores de miles y límite de decimales.10.07.0Markdown y EstructuraInclusión de nombres y descripción de la tarea.10.010.0Funcionalidad y LógicaEl script funciona, pero no solicita la TRM como se pidió (tasas fijas).10.08.0DocumentaciónComentarios claros explicando la lógica de cada sección.10.010.0TOTAL50.045.0Diego Mauricio Zuluaga Rodríguez Profesor - Departamento de Economía Universidad de La Sabana</t>
  </si>
  <si>
    <t>Retroalimentación de la Entrega: Calculadora de DivisasCalificación Final: 50/50Comentarios del Profesor:Equipo, estoy gratamente impresionado con el nivel de esta entrega. Han ido mucho más allá de los requisitos básicos, demostrando una autogestión y curiosidad técnica sobresalientes.Puntos de Excelencia:Robustez del Código: La implementación de un bloque try-except dentro de un bucle while True para validar las entradas es una práctica profesional de alto nivel. Esto garantiza que el programa no se rompa si el usuario comete un error.Normalización de Datos: La lógica para manejar diferentes separadores decimales (puntos y comas) es brillante. Es un problema real en finanzas internacionales y ustedes lo resolvieron de forma autónoma.Formato de Salida: El uso de f-strings con precisión de 4 decimales para las tasas (:,.4f) y 2 para los montos (:,.2f) cumple con los estándares bancarios internacionales.Creatividad: La interfaz en consola es limpia, organizada y visualmente agradable, lo cual aporta valor al usuario final.Motivación:Han establecido un estándar muy alto para el grupo. Este tipo de lógica "a prueba de errores" es exactamente lo que se necesita para gestionar modelos financieros confiables. Sigan explorando estas estructuras avanzadas; tienen un potencial técnico muy claro. ¡Excelente preparación para el parcial!Rúbrica de CalificaciónCriterio de EvaluaciónDescripciónPuntaje MáximoPuntaje ObtenidoUso de Casting (float)Conversión impecable. Incluye lógica de normalización de caracteres.10.010.0Formato de SalidaExcelente uso de f-strings, emojis y separadores profesionales.10.010.0Markdown y EstructuraNombres completos y descripción del proyecto presentes.10.010.0Funcionalidad y LógicaCódigo robusto que maneja excepciones y errores de usuario.10.010.0DocumentaciónComentarios detallados que explican funciones y lógica compleja.10.010.0TOTAL50.050.0Diego Mauricio Zuluaga RodríguezProfesor - Departamento de EconomíaUniversidad de La Sabana</t>
  </si>
  <si>
    <t>Retroalimentación de la Entrega: Calculadora de DivisasCalificación Final: 50/50Comentarios:¡Excelente trabajo, equipo! Han entregado un archivo que no solo cumple con los requerimientos técnicos, sino que proyecta un nivel de profesionalismo alineado con los estándares de la EICEA.Puntos Destacados:Precisión Técnica: El uso de float() para el casting de entradas es impecable. Es fundamental entender que en finanzas los decimales pueden cambiar el resultado de una operación a gran escala.Presentación y UX: El uso de f-strings con el formato :,.2f para separar miles y limitar decimales es de nivel avanzado. Esto facilita enormemente la lectura de datos financieros.Valor Agregado (Autogestión): Me llamó la atención que incluyeran una segunda versión del código con tasas fijas del 15 de febrero. Esto demuestra proactividad y un "Sanity Check" de los datos, comparando la entrada del usuario con la realidad del mercado.Documentación: Cada sección está claramente explicada, lo que garantiza la trazabilidad del código.Motivación:Sigan con este nivel de rigurosidad. Si mantienen esta atención al detalle en la lógica y en la presentación de resultados, están muy bien preparados para el Primer Parcial del 25 de febrero. Recuerden que en programación, como en los negocios, la claridad es poder.Rúbrica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t>
  </si>
  <si>
    <t>Retroalimentación de la Entrega: Calculadora de Divisas Calificación Final: 35/50 Comentarios del Profesor:  Isabella, has demostrado un buen dominio técnico en el uso de la sintaxis de Python, especialmente en el manejo de f-strings y el casting de datos. Sin embargo, hay puntos críticos de instrucciones y autogestión que afectan significativamente la nota.Puntos a mejorar (Críticos):Trabajo en Equipo: Las instrucciones fueron explícitas: "Esta actividad se desarrolla exclusivamente en sus grupos de 3 estudiantes". En tu entrega solo apareces tú. Esto incumple el componente de trabajo colaborativo y la meta de autogestión del departamento.Sanity Check (Sentido Numérico): Como futura economista, debes validar si los resultados tienen sentido. En tu ejecución (output), un monto de $4,000,000 COP resulta en €2,789,232.53 EUR. ¡Eso es imposible! Esto indica que ingresaste mal la tasa de conversión o la lógica de la paridad EUR/USD falló. Un error de esta magnitud en un entorno financiero real sería catastrófico.Documentación: Aunque hay comentarios, son muy breves. Se solicitó documentar la lógica de cada sección para asegurar la trazabilidad.Puntos Fuertes:Casting y Formato: El uso de float() y el formato de salida :,.2f es correcto y profesional.Estructura: El uso de celdas separadas en el Notebook facilita la lectura del flujo de datos. Motivación:  Tienes la habilidad técnica, pero debes prestar mucha más atención a las instrucciones administrativas y a la coherencia de los datos. En el parcial del 25 de febrero, un error en la lógica de cálculo o el incumplimiento de una regla de entrega restará puntos importantes. ¡Revisa siempre que tus números "hagan sentido" antes de entregar!Rúbrica de CalificaciónCriterio de EvaluaciónDescripciónPuntaje MáximoPuntaje ObtenidoUso de Casting (float)Conversión correcta de entradas de texto a valores numéricos.10.010.0Formato de SalidaUso de f-strings y precisión de 2 decimales.10.010.0Markdown y EstructuraIncumplimiento: Solo un integrante en lugar de 3.10.02.0Funcionalidad y LógicaEl resultado final es financieramente ilógico (Error de paridad).10.05.0DocumentaciónComentarios básicos, pero presentes.10.08.0TOTAL50.035.0Diego Mauricio Zuluaga Rodríguez Profesor - Departamento de Economía Universidad de La Sabana</t>
  </si>
  <si>
    <t>Retroalimentación de la Entrega: Conversor de DivisasCalificación Final: 48/50Comentarios del Profesor:Buen trabajo, equipo. Han logrado un script funcional que cumple con el objetivo técnico de la herramienta financiera. El código es claro y la lógica de conversión es correcta.Puntos Fuertes:Casting Correcto: El uso de float() en todas las entradas es adecuado para manejar la precisión que requieren las tasas de cambio.Formato Profesional: Excelente implementación de f-strings con :,.2f. Esto demuestra que comprendieron cómo presentar datos monetarios de forma legible para un usuario final.Creatividad: El uso de emojis y separadores visuales mejora significativamente la experiencia de usuario en la consola.Oportunidades de Mejora:Identificación (Markdown): Las instrucciones solicitaban los nombres completos. Faltaron los segundos apellidos de los integrantes, lo cual es fundamental para el registro formal de notas en la EICEA.Detalle en Salida: En la línea de Euros, el mensaje imprime $ €. Recuerden que cada moneda tiene su propio símbolo; lo ideal sería dejar únicamente el símbolo de Euro (€) para evitar confusiones financieras.Estructura: Aunque en Jupyter se pueden usar varias celdas, se recomienda que el bloque lógico principal esté en una sola celda para que el script se ejecute de forma continua sin depender de ejecuciones previas de celdas separadas.Motivación:Tienen una base sólida. Pequeños detalles de precisión y formalidad en la identificación son lo único que los separa de la excelencia total. Sigan practicando la lógica de validación, ya que será clave para el Parcial del 25 de febrero. ¡Buen esfuerzo!Rúbrica de CalificaciónCriterio de EvaluaciónDescripciónPuntaje MáximoPuntaje ObtenidoUso de Casting (float)Conversión correcta de entradas de texto a valores numéricos.10.010.0Formato de SalidaUso de f-strings, separadores y precisión de 2 decimales.10.09.5Markdown y EstructuraIdentificación de integrantes (Nombres completos) y descripción.10.08.5Funcionalidad y LógicaEl script realiza los cálculos de conversión correctamente.10.010.0DocumentaciónComentarios claros explicando la lógica de cada paso.10.010.0TOTAL50.048.0Diego Mauricio Zuluaga RodríguezProfesor - Departamento de EconomíaUniversidad de La Sabana</t>
  </si>
  <si>
    <t>Retroalimentación de la Entrega: Calculadora de Divisas Calificación Final: 36/50 Comentarios del Profesor:  Buen esfuerzo inicial en la estructura del programa, equipo. El código es funcional y cumple con la tarea básica de convertir monedas, sin embargo, hay puntos críticos de rigurosidad técnica y presentación profesional que deben ajustar para el parcial.Puntos a mejorar:Casting de Datos: Utilizaron int() para recibir el monto en pesos. En finanzas, el dinero siempre debe ser float(), ya que los montos pueden incluir decimales y el uso de enteros limita la precisión de la herramienta.Formato de Salida (Crítico): Los resultados muestran hasta 14 decimales (ej. 107.27592678854047). Para un usuario financiero, esto es ilegible. La instrucción pedía "claridad en los mensajes"; es obligatorio usar f-strings o el formato :.2f para redondear a 2 decimales.Documentación: Aunque incluyeron algunos comentarios, no se documentó cada sección o línea de lógica como se solicitó en la guía de autogestión.Lógica de Conversión: El cálculo para el Euro asume una paridad cruzada (COP -&amp;gt; USD -&amp;gt; EUR). Aunque es una lógica válida, asegúrense de que las etiquetas del input sean claras para que el usuario no se confunda con qué tasa debe ingresar. Motivación:  Tienen la base de la lógica clara, pero en este curso la diferencia entre un código "que funciona" y uno "profesional" está en los detalles. Los invito a revisar los apuntes de la Clase 2 sobre f-strings y formateo de números. Si corrigen estos detalles de precisión, su desempeño en el parcial será mucho más sólido. ¡A seguir practicando!Rúbrica de CalificaciónCriterio de EvaluaciónDescripciónPuntaje MáximoPuntaje ObtenidoUso de CastingUso de int() en lugar de float() para montos de dinero (Pérdida de precisión).10.07.0Formato de SalidaNo hay redondeo de decimales; salida visualmente desordenada.10.05.0Markdown y EstructuraCumplen con los nombres e identificación de los integrantes.10.09.0Funcionalidad y LógicaEl código corre y realiza la conversión, aunque la lógica es mejorable.10.08.0DocumentaciónComentarios escasos; no documentan el proceso completo.10.07.0TOTAL50.036.0Diego Mauricio Zuluaga Rodríguez Profesor - Departamento de Economía Universidad de La Sabana</t>
  </si>
  <si>
    <t>Retroalimentación de la Entrega: Calculadora de Divisas Calificación Final: 42/50 Comentarios del Profesor:  Han presentado un trabajo con un nivel técnico sobresaliente, sin embargo, han fallado en aspectos fundamentales de autogestión y seguimiento de instrucciones que son críticos en este curso.Puntos Fuertes (Excelencia Técnica):El código es muy avanzado. Han implementado una función de normalización de números que maneja automáticamente puntos y comas, algo que supera las expectativas del ejercicio.El uso de try-except y bucles while para validar que el usuario no ingrese valores erróneos es una práctica profesional excelente.El formato de salida es impecable y muy claro.Oportunidades de Mejora (Autogestión y Reglas):Conformación del Grupo: La instrucción fue clara: "actividad exclusiva en grupos de 3". Su entrega solo registra a 2 integrantes. El cumplimiento de las normas de equipo es parte de la evaluación.Atención al detalle (Markdown): El encabezado presenta errores ortográficos notables ("Nuetsro", "coaluladora"). Como futuros profesionales de EICEA, la forma en que presentan sus reportes es tan importante como el código.Documentación: Aunque el código tiene comentarios, la instrucción pedía "documentar cada línea de código". Hay bloques lógicos extensos sin comentarios intermedios. Motivación:  Técnicamente tienen un potencial muy alto; la lógica de programación la dominan con fluidez. Para el parcial del 25 de febrero, les recomiendo enfocarse en la lectura minuciosa de los requerimientos. En el mundo de los negocios, un gran modelo con errores de forma o que no sigue los parámetros del cliente puede ser rechazado. ¡Sigan puliendo esa atención al detalle!Rúbrica de CalificaciónCriterio de EvaluaciónDescripciónPuntaje MáximoPuntaje ObtenidoUso de Casting (float)Uso avanzado y robusto de conversión de datos.10.010.0Formato de SalidaExcelente claridad y uso de f-strings profesionales.10.010.0Markdown y EstructuraPenalización: errores ortográficos.10.08.0Funcionalidad y LógicaEl script es impecable y maneja errores de usuario.10.010.0DocumentaciónComentarios presentes, pero no en cada línea como se solicitó.10.08.0TOTAL50.046.0Diego Mauricio Zuluaga Rodríguez Profesor - Departamento de Economía Universidad de La Sabana</t>
  </si>
  <si>
    <t>Retroalimentación de la Entrega: Calculadora de Divisas Calificación Final: 50/50 Comentarios del Profesor:  Equipo, estoy gratamente impresionado con el nivel de esta entrega. Han ido mucho más allá de los requisitos básicos, demostrando una autogestión y curiosidad técnica sobresalientes.Puntos de Excelencia:Robustez del Código: La implementación de un bloque try-except dentro de un bucle while True para validar las entradas es una práctica profesional de alto nivel. Esto garantiza que el programa no se rompa si el usuario comete un error.Normalización de Datos: La lógica para manejar diferentes separadores decimales (puntos y comas) es brillante. Es un problema real en finanzas internacionales y ustedes lo resolvieron de forma autónoma.Formato de Salida: El uso de f-strings con precisión de 4 decimales para las tasas (:,.4f) y 2 para los montos (:,.2f) cumple con los estándares bancarios internacionales.Creatividad: La interfaz en consola es limpia, organizada y visualmente agradable, lo cual aporta valor al usuario final. Motivación:  Han establecido un estándar muy alto para el grupo. Este tipo de lógica "a prueba de errores" es exactamente lo que se necesita para gestionar modelos financieros confiables. Sigan explorando estas estructuras avanzadas; tienen un potencial técnico muy claro. ¡Excelente preparación para el parcial!Rúbrica de CalificaciónCriterio de EvaluaciónDescripciónPuntaje MáximoPuntaje ObtenidoUso de Casting (float)Conversión impecable. Incluye lógica de normalización de caracteres.10.010.0Formato de SalidaExcelente uso de f-strings, emojis y separadores profesionales.10.010.0Markdown y EstructuraNombres completos y descripción del proyecto presentes.10.010.0Funcionalidad y LógicaCódigo robusto que maneja excepciones y errores de usuario.10.010.0DocumentaciónComentarios detallados que explican funciones y lógica compleja.10.010.0TOTAL50.050.0Diego Mauricio Zuluaga Rodríguez Profesor - Departamento de Economía Universidad de La Sabana</t>
  </si>
  <si>
    <t>Retroalimentación de la Entrega: Calculadora de DivisasCalificación Final: 35/50Comentarios del Profesor:Equipo, han presentado un trabajo con una lógica de programación superior al promedio, integrando ciclos while y validación de errores con try-except, lo cual es excelente. Sin embargo, la calificación se ve afectada por el incumplimiento de instrucciones específicas y la falta de puntualidad.Puntos Fuertes:Lógica Avanzada: Implementar un menú interactivo y un sistema de validación de datos (try-except) demuestra que han profundizado en el material. El programa es robusto y no se "rompe" si el usuario ingresa texto en lugar de números.Uso de Casting: El manejo de float() es correcto y bien aplicado dentro de la validación.Oportunidades de Mejora (Puntos Críticos):Puntualidad (Autogestión): La tarea fue entregada con 14 horas de retraso. En este curso, la gestión del tiempo es una competencia fundamental. Este retraso conlleva una penalización directa en la nota final.Documentación: Las instrucciones solicitaban explícitamente "documentar cada línea de código". Su script solo cuenta con un par de comentarios generales. La documentación es vital para el trabajo colaborativo.Formato de Salida: Aunque usaron round(), para perfiles de EICEA es indispensable usar el formato de f-strings con separadores de miles (:,.2f) para reportes financieros, tal como se practicó en clase.Motivación:Tienen una capacidad técnica muy alta; el código funciona de manera impecable y la lógica es elegante. Si logran alinear ese talento con la disciplina en los tiempos de entrega y el seguimiento estricto de los requerimientos de formato, sus resultados serán sobresalientes. ¡Ajusten estos detalles para el parcial!Rúbrica de CalificaciónCriterio de EvaluaciónDescripciónPuntaje MáximoPuntaje ObtenidoUso de Casting (float)Uso correcto de conversión de datos con validación.10.010.0Formato de SalidaMensajes claros, aunque faltó el formato financiero de miles.10.08.0Markdown y NombresIdentificación del grupo y descripción correcta.10.010.0DocumentaciónIncumplimiento: No se documentó cada línea como se pidió.10.03.0Entrega OportunaPenalización: Entrega con 14 horas de retraso.10.04.0TOTAL50.035.0Diego Mauricio Zuluaga RodríguezProfesor - Departamento de EconomíaUniversidad de La Sabana</t>
  </si>
  <si>
    <t>Retroalimentación de la Entrega: Calculadora de Divisas Calificación Final: 50/50 Comentarios del Profesor:  Excelente ejecución técnica, equipo. Han presentado una solución robusta que cumple con todos los estándares de calidad exigidos para el análisis financiero en Python.Puntos Destacados:Dominio del Casting: El uso de float() es correcto y necesario, asegurando que el programa no falle al procesar cifras con decimales, algo crítico en el manejo de TRM.Estética y Claridad: El reporte final en consola es muy limpio. El uso de f-strings con el formato :,.2f demuestra que tienen control sobre la visualización de datos, permitiendo que un usuario final entienda las cifras de inmediato.Documentación Proactiva: Es muy valioso que incluyan comentarios referenciando lo visto en las celdas de clase. Esto evidencia un seguimiento riguroso del material y una excelente autogestión del aprendizaje.Análisis Multiescenario: Incluir una segunda versión con tasas fijas para comparación es una excelente práctica de validación de datos. Motivación:  Tienen una base sólida en sintaxis y lógica secuencial. Mantengan este nivel de detalle para el Taller del Corte 1 y el Parcial del 25 de febrero. La capacidad de documentar y estructurar así su trabajo les ahorrará mucho tiempo en proyectos más complejos. ¡Buen trabajo!Rúbrica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 Profesor - Departamento de Economía Universidad de La Sabana</t>
  </si>
  <si>
    <t>Retroalimentación de la Entrega: Calculadora de DivisasCalificación Final: 50/50 Comentarios:  ¡Excelente
 trabajo, equipo! Han entregado un archivo que no solo cumple con los 
requerimientos técnicos, sino que proyecta un nivel de profesionalismo 
alineado con los estándares de la EICEA.Puntos Destacados:Precisión Técnica: El uso de float()
 para el casting de entradas es impecable. Es fundamental entender que 
en finanzas los decimales pueden cambiar el resultado de una operación a
 gran escala.Presentación y UX: El uso de f-strings con el formato :,.2f para separar miles y limitar decimales es de nivel avanzado. Esto facilita enormemente la lectura de datos financieros.Valor Agregado (Autogestión):
 Me llamó la atención que incluyeran una segunda versión del código con 
tasas fijas del 15 de febrero. Esto demuestra proactividad y un "Sanity 
Check" de los datos, comparando la entrada del usuario con la realidad 
del mercado.Documentación: Cada sección está claramente explicada, lo que garantiza la trazabilidad del código. Motivación:  Sigan
 con este nivel de rigurosidad. Si mantienen esta atención al detalle en
 la lógica y en la presentación de resultados, están muy bien preparados
 para el Primer Parcial del 25 de febrero. Recuerden que en programación, como en los negocios, la claridad es poder.Rúbrica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 Profesor - Departamento de Economía Universidad de La Sabana</t>
  </si>
  <si>
    <t>Retroalimentación de la Entrega: Calculadora de Divisas Calificación Final: 40/50 Comentarios del Profesor:  María Juliana, has demostrado un dominio técnico sólido en la construcción del script. El código es funcional, limpio y cumple con la lógica financiera solicitada. Sin embargo, hay un incumplimiento crítico en las instrucciones de autogestión y trabajo en equipo que afecta significativamente la nota.Puntos Fuertes:Casting Correcto: El uso de float() en todas las entradas es adecuado para el manejo de divisas.Lógica de Conversión: La secuencia COP → USD → EUR es correcta y el uso de la tasa de paridad entre USD/EUR es un buen enfoque técnico.Formato de Salida: El uso de f-strings con precisión de dos decimales (:.2f) es correcto y profesional.Oportunidades de Mejora (Crítico):Trabajo en Equipo: Las instrucciones eran explícitas: "Esta actividad se desarrolla exclusivamente en sus grupos de 3 estudiantes". Al realizar la entrega de forma individual, se omite el componente colaborativo y de coordinación exigido por el Departamento.Cumplimiento de Markdown: La rúbrica exige el "Cumplimiento estricto de los nombres de los 3 integrantes". Al faltar dos nombres, este criterio se penaliza fuertemente.Documentación: Aunque incluiste comentarios, son muy básicos. Para un nivel de excelencia, se espera una explicación más profunda del "porqué" de las operaciones, no solo del "qué" hace la línea. Motivación:  Técnicamente estás en el camino correcto y tu lógica de programación es clara. No obstante, en el mundo profesional y en la EICEA, seguir los lineamientos administrativos y el trabajo colaborativo es tan importante como el código. Te invito a integrarte con tu grupo para las próximas entregas y leer con extrema atención cada parámetro de la guía. ¡Tienes el potencial para el 5.0 si ajustas la atención al detalle!Rúbrica de CalificaciónCriterio de EvaluaciónDescripciónPuntaje MáximoPuntaje ObtenidoUso de Casting (float)Conversión correcta de entradas de texto a valores numéricos.10.010.0Formato de SalidaUso de f-strings y precisión de decimales.10.010.0Markdown y EstructuraInclusión de nombres y descripción. (Faltan 2 integrantes).10.03.0Funcionalidad y LógicaEl script realiza los cálculos correctamente.10.010.0DocumentaciónComentarios en el código (Muy básicos).10.07.0TOTAL50.040.0Diego Mauricio Zuluaga Rodríguez Profesor - Departamento de Economía Universidad de La Sabana</t>
  </si>
  <si>
    <t>Retroalimentación de la Entrega: Calculadora de DivisasCalificación Final: 36/50Comentarios del Profesor:Equipo, han presentado un script funcional en su estructura básica, pero existen errores críticos de lógica financiera y técnica que deben corregir para el parcial.Observaciones Técnicas:Error de Lógica Financiera: La fórmula utilizada VALOR_COP / 1000 * TRM es incorrecta. En el mercado de divisas, para pasar de pesos a dólares se divide el monto por la tasa (COP / TRM). Su fórmula actual multiplica el valor, lo que genera resultados astronómicos y erróneos.Riesgo en el Casting: Utilizar int() para el VALOR_COP es una práctica arriesgada. Si un usuario ingresa un valor con decimales (ej. 10500.50), el programa colapsará inmediatamente con un ValueError. En finanzas, siempre debemos usar float().Presentación del Output: Los mensajes de salida son muy planos. No se utilizaron f-strings ni formatos de precisión (como :.2f). Esto causa que los resultados se muestren con demasiados decimales, dificultando la lectura profesional.Ortografía: Tengan cuidado con la presentación en el Markdown. Palabras como "calcualadora" o la falta de mayúsculas restan profesionalismo a su portafolio.Motivación:Tienen la estructura base clara, pero en Programación y Decisiones la precisión es lo que separa un código útil de uno peligroso. Les recomiendo revisar la jerarquía de operaciones y el uso de formatos de texto antes del parcial del 25 de febrero. ¡A ajustar esa lógica!Rúbrica de CalificaciónCriterio de EvaluaciónDescripciónPuntaje MáximoPuntaje ObtenidoUso de CastingUso de int en lugar de float para moneda limita la estabilidad del programa.10.07.0Formato de SalidaAusencia de f-strings, redondeo a 2 decimales y separadores de miles.10.05.0Markdown y EstructuraIncluye nombres y descripción, pero con errores ortográficos.10.08.0Funcionalidad y LógicaError grave: La fórmula matemática aplicada no corresponde a una conversión real.10.04.0DocumentaciónComentarios presentes pero extremadamente breves.10.08.0TOTAL50.032.0Nota: Se han otorgado 4 puntos adicionales por la entrega del archivo en el formato solicitado (.ipynb), para un total de 36.0.Diego Mauricio Zuluaga RodríguezProfesor - Departamento de EconomíaUniversidad de La Sabana</t>
  </si>
  <si>
    <t>Retroalimentación de la Entrega: Calculadora de DivisasCalificación Final: 36/50Comentarios del Profesor:Buen esfuerzo inicial en la estructura del programa, equipo. El código es funcional y cumple con la tarea básica de convertir monedas, sin embargo, hay puntos críticos de rigurosidad técnica y presentación profesional que deben ajustar para el parcial.Puntos a mejorar:Casting de Datos: Utilizaron int() para recibir el monto en pesos. En finanzas, el dinero siempre debe ser float(), ya que los montos pueden incluir decimales y el uso de enteros limita la precisión de la herramienta.Formato de Salida (Crítico): Los resultados muestran hasta 14 decimales (ej. 107.27592678854047). Para un usuario financiero, esto es ilegible. La instrucción pedía "claridad en los mensajes"; es obligatorio usar f-strings o el formato :.2f para redondear a 2 decimales.Documentación: Aunque incluyeron algunos comentarios, no se documentó cada sección o línea de lógica como se solicitó en la guía de autogestión.Lógica de Conversión: El cálculo para el Euro asume una paridad cruzada (COP -&amp;gt; USD -&amp;gt; EUR). Aunque es una lógica válida, asegúrense de que las etiquetas del input sean claras para que el usuario no se confunda con qué tasa debe ingresar.Motivación:Tienen la base de la lógica clara, pero en este curso la diferencia entre un código "que funciona" y uno "profesional" está en los detalles. Los invito a revisar los apuntes de la Clase 2 sobre f-strings y formateo de números. Si corrigen estos detalles de precisión, su desempeño en el parcial será mucho más sólido. ¡A seguir practicando!Rúbrica de CalificaciónCriterio de EvaluaciónDescripciónPuntaje MáximoPuntaje ObtenidoUso de CastingUso de int() en lugar de float() para montos de dinero (Pérdida de precisión).10.07.0Formato de SalidaNo hay redondeo de decimales; salida visualmente desordenada.10.05.0Markdown y EstructuraCumplen con los nombres e identificación de los integrantes.10.09.0Funcionalidad y LógicaEl código corre y realiza la conversión, aunque la lógica es mejorable.10.08.0DocumentaciónComentarios escasos; no documentan el proceso completo.10.07.0TOTAL50.036.0Diego Mauricio Zuluaga RodríguezProfesor - Departamento de EconomíaUniversidad de La Sabana</t>
  </si>
  <si>
    <t>Retroalimentación de la Entrega: Calculadora de DivisasCalificación Final: 50/50 Comentarios del Profesor:  Equipo,
 han presentado una solución de nivel excepcional. Han ido mucho más 
allá de los requerimientos básicos del script, demostrando una autogestión y una curiosidad técnica sobresaliente.Puntos Destacados:Robustez Técnica: La implementación de una función de normalización de números (normalizar_numero)
 para manejar diferentes separadores de miles y decimales (puntos y 
comas) es una práctica de nivel profesional. Esto resuelve un problema 
real en bases de datos financieras internacionales.Validación de Datos: El uso de try-except combinado con un bucle while asegura que el programa no se rompa ante entradas inválidas, garantizando la continuidad del proceso.Documentación: Cada bloque de código y función interna está perfectamente documentado, facilitando la trazabilidad de la lógica.Creatividad en el Output:
 La presentación final con emojis y separadores visuales hace que la 
herramienta sea intuitiva y agradable para el usuario final. Motivación:  El
 nivel técnico mostrado en esta tarea supera las expectativas para esta 
etapa del curso. Han aplicado conceptos de validación y limpieza de 
datos que suelen verse más adelante. Sigan con ese ímpetu; tienen un 
perfil técnico muy fuerte que les permitirá destacar en el Parcial del 25 de febrero.Rúbrica de CalificaciónCriterio de EvaluaciónDescripciónPuntaje MáximoPuntaje ObtenidoUso de Casting (float)Conversión impecable y manejo de errores en tipos de datos.10.010.0Formato de SalidaUso avanzado de f-strings y presentación visual profesional.10.010.0Markdown y EstructuraNombres completos, descripción técnica y guía de usuario clara.10.010.0Funcionalidad y LógicaLógica superior con validaciones y normalización de entradas.10.010.0DocumentaciónComentarios detallados en cada línea y función del script.10.010.0TOTAL50.050.0Diego Mauricio Zuluaga Rodríguez Profesor - Departamento de Economía Universidad de La Sabana</t>
  </si>
  <si>
    <t>Retroalimentación de la Entrega: Calculadora de DivisasCalificación Final: 50/50Comentarios del Profesor:Equipo, han presentado una solución de nivel excepcional. Han ido mucho más allá de los requerimientos básicos del script, demostrando una autogestión y una curiosidad técnica sobresaliente.Puntos Destacados:Robustez Técnica: La implementación de una función de normalización de números (normalizar_numero) para manejar diferentes separadores de miles y decimales (puntos y comas) es una práctica de nivel profesional. Esto resuelve un problema real en bases de datos financieras internacionales.Validación de Datos: El uso de try-except combinado con un bucle while asegura que el programa no se rompa ante entradas inválidas, garantizando la continuidad del proceso.Documentación: Cada bloque de código y función interna está perfectamente documentado, facilitando la trazabilidad de la lógica.Creatividad en el Output: La presentación final con emojis y separadores visuales hace que la herramienta sea intuitiva y agradable para el usuario final.Motivación:El nivel técnico mostrado en esta tarea supera las expectativas para esta etapa del curso. Han aplicado conceptos de validación y limpieza de datos que suelen verse más adelante. Sigan con ese ímpetu; tienen un perfil técnico muy fuerte que les permitirá destacar en el Parcial del 25 de febrero.Rúbrica de CalificaciónCriterio de EvaluaciónDescripciónPuntaje MáximoPuntaje ObtenidoUso de Casting (float)Conversión impecable y manejo de errores en tipos de datos.10.010.0Formato de SalidaUso avanzado de f-strings y presentación visual profesional.10.010.0Markdown y EstructuraNombres completos, descripción técnica y guía de usuario clara.10.010.0Funcionalidad y LógicaLógica superior con validaciones y normalización de entradas.10.010.0DocumentaciónComentarios detallados en cada línea y función del script.10.010.0TOTAL50.050.0Diego Mauricio Zuluaga RodríguezProfesor - Departamento de EconomíaUniversidad de La Sabana</t>
  </si>
  <si>
    <t>Retroalimentación de la Entrega: Calculadora de DivisasCalificación Final: 50/50Comentarios del Profesor:Excelente ejecución técnica, equipo. Han captado perfectamente la importancia de la precisión y la presentación en un reporte financiero.Puntos Destacados:Dominio Técnico: El uso del casting con float() es correcto, asegurando que el sistema no falle al ingresar centavos o tasas con decimales.Lógica Financiera: Es muy valioso que hayan utilizado la tasa de paridad EUR/USD para llegar al resultado del Euro. Este es un enfoque avanzado que demuestra que investigaron la sugerencia de la guía.Estética del Reporte: El uso de f-strings con formato :,.2f es impecable. Presentar un resultado como $5,000,000.00 en lugar de un número plano sin formato es lo que se espera de un profesional de la EICEA.Documentación: El código está bien estructurado y cada paso está debidamente comentado, lo que facilita su auditoría.Motivación:Han demostrado una excelente comprensión de los fundamentos. Este rigor en el manejo de datos les será de gran utilidad para el Taller del Corte 1 (30%) y el Parcial del 25 de febrero. Sigan así, manteniendo el orden y la claridad en su lógica de programación.Rúbrica de CalificaciónCriterio de EvaluaciónDescripciónPuntaje MáximoPuntaje ObtenidoUso de Casting (float)Conversión correcta de todas las entradas numéricas.10.010.0Formato de SalidaUso de f-strings, separadores de miles y precisión decimal.10.010.0Markdown y EstructuraInclusión de integrantes y descripción de la actividad.10.010.0Funcionalidad y LógicaCálculos precisos (uso de paridad EUR/USD).10.010.0DocumentaciónUso de comentarios y docstrings para explicar el código.10.010.0TOTAL50.050.0Diego Mauricio Zuluaga RodríguezProfesor - Departamento de EconomíaUniversidad de La Sabana</t>
  </si>
  <si>
    <t>Retroalimentación de la Entrega: Calculadora de DivisasCalificación Final: 50/50Comentarios del Profesor:Excelente ejecución técnica, equipo. Han presentado una solución robusta que cumple con todos los estándares de calidad exigidos para el análisis financiero en Python.Puntos Destacados:Dominio del Casting: El uso de float() es correcto y necesario, asegurando que el programa no falle al procesar cifras con decimales, algo crítico en el manejo de TRM.Estética y Claridad: El reporte final en consola es muy limpio. El uso de f-strings con el formato :,.2f demuestra que tienen control sobre la visualización de datos, permitiendo que un usuario final entienda las cifras de inmediato.Documentación Proactiva: Es muy valioso que incluyan comentarios referenciando lo visto en las celdas de clase. Esto evidencia un seguimiento riguroso del material y una excelente autogestión del aprendizaje.Análisis Multiescenario: Incluir una segunda versión con tasas fijas para comparación es una excelente práctica de validación de datos.Motivación:Tienen una base sólida en sintaxis y lógica secuencial. Mantengan este nivel de detalle para el Taller del Corte 1 y el Parcial del 25 de febrero. La capacidad de documentar y estructurar así su trabajo les ahorrará mucho tiempo en proyectos más complejos. ¡Buen trabajo!Rúbrica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t>
  </si>
  <si>
    <t>Retroalimentación de la Entrega: Conversor de Divisas Calificación Final: 48/50 Comentarios del Profesor:  Buen trabajo, equipo. Han logrado un script funcional que cumple con el objetivo técnico de la herramienta financiera. El código es claro y la lógica de conversión es correcta.Puntos Fuertes:Casting Correcto: El uso de float() en todas las entradas es adecuado para manejar la precisión que requieren las tasas de cambio.Formato Profesional: Excelente implementación de f-strings con :,.2f. Esto demuestra que comprendieron cómo presentar datos monetarios de forma legible para un usuario final.Creatividad: El uso de emojis y separadores visuales mejora significativamente la experiencia de usuario en la consola.Oportunidades de Mejora:Identificación (Markdown): Las instrucciones solicitaban los nombres completos. Faltaron los segundos apellidos de los integrantes, lo cual es fundamental para el registro formal de notas en la EICEA.Detalle en Salida: En la línea de Euros, el mensaje imprime $ €. Recuerden que cada moneda tiene su propio símbolo; lo ideal sería dejar únicamente el símbolo de Euro (€) para evitar confusiones financieras.Estructura: Aunque en Jupyter se pueden usar varias celdas, se recomienda que el bloque lógico principal esté en una sola celda para que el script se ejecute de forma continua sin depender de ejecuciones previas de celdas separadas. Motivación:  Tienen una base sólida. Pequeños detalles de precisión y formalidad en la identificación son lo único que los separa de la excelencia total. Sigan practicando la lógica de validación, ya que será clave para el Parcial del 25 de febrero. ¡Buen esfuerzo!Rúbrica de CalificaciónCriterio de EvaluaciónDescripciónPuntaje MáximoPuntaje ObtenidoUso de Casting (float)Conversión correcta de entradas de texto a valores numéricos.10.010.0Formato de SalidaUso de f-strings, separadores y precisión de 2 decimales.10.09.5Markdown y EstructuraIdentificación de integrantes (Nombres completos) y descripción.10.08.5Funcionalidad y LógicaEl script realiza los cálculos de conversión correctamente.10.010.0DocumentaciónComentarios claros explicando la lógica de cada paso.10.010.0TOTAL50.048.0Diego Mauricio Zuluaga Rodríguez Profesor - Departamento de Economía Universidad de La Sabana</t>
  </si>
  <si>
    <t>Retroalimentación de la Entrega: Calculadora de DivisasCalificación Final: 48/50Comentarios del Profesor:Buen trabajo, Paula y Valeria. Han presentado una solución técnica muy sólida con un enfoque financiero interesante.Puntos Destacados:Lógica Financiera Superior: Me llamó la atención que utilizaran la paridad EUR/USD para calcular el valor en Euros a partir del resultado en Dólares. Esta es una lógica de mercado real (triangulación de divisas) que demuestra que entienden el trasfondo económico del ejercicio, no solo la programación.Impecable Formato de Salida: El uso de f-strings con :,.2f y los separadores visuales en la consola (============CONVERSIÓN============) hacen que el reporte sea profesional y fácil de leer para un usuario final.Documentación Precisa: Los comentarios explican claramente el porqué del uso de float(), lo cual evidencia que comprenden el concepto de Casting.Observación de Autogestión (Oportunidad de Mejora):Conformación del Grupo: Las instrucciones iniciales y el contrato pedagógico estipulaban el trabajo en grupos de 3 estudiantes. En esta entrega solo figuran dos integrantes. Es vital seguir las instrucciones de organización grupal para fomentar el trabajo colaborativo completo. Por este detalle administrativo, se descuentan 2 puntos en el criterio de estructura.Motivación:Tienen un dominio técnico muy claro de los fundamentos vistos hasta ahora. Esa capacidad de aplicar "lógica de paridad" les será de gran utilidad en el Parcial del 25 de febrero. Sigan así, cuidando tanto el código como el cumplimiento de los lineamientos administrativos.Rúbrica de CalificaciónCriterio de EvaluaciónDescripciónPuntaje MáximoPuntaje ObtenidoUso de Casting (float)Conversión correcta de entradas a decimales.10.010.0Formato de SalidaUso de f-strings, separadores de miles y precisión decimal.10.010.0Markdown y EstructuraPresentación y nombres.10.010.0Funcionalidad y LógicaCálculos correctos. Excelente uso de paridad EUR/USD.10.010.0DocumentaciónComentarios claros y explicativos en el código.10.010.0TOTAL50.050.0Diego Mauricio Zuluaga RodríguezProfesor - Departamento de EconomíaUniversidad de La Sabana</t>
  </si>
  <si>
    <t>Retroalimentación de la Entrega: Calculadora de Divisas Calificación Final: 19.0 / 50.0 Comentarios del Profesor:  Juan José, la calificación refleja un incumplimiento crítico de las instrucciones de autogestión y de los tiempos establecidos en el cronograma del curso.Puntos Críticos:Incumplimiento de Identificación: La instrucción de Markdown exigía explícitamente los nombres completos de los integrantes. Has entregado el archivo con los marcadores de posición "Integrante 1, 2, 3". Esto impide la validación del trabajo en equipo y demuestra falta de revisión final.Calidad de Salida (Output): Los mensajes son extremadamente planos. No utilizas f-strings ni formatos de precisión decimal (:.2f), lo cual era un requerimiento para que el resultado fuera profesional ("lo que verá el usuario final").Penalización por Retraso: La tarea fue entregada con 3 días de retraso. Según la política de rigurosidad del curso, se aplica un descuento de 5 puntos por cada día de demora (-15 puntos en total).Puntos a Favor:El código es funcional y aplica correctamente el casting de float() para las entradas y int() para la parte entera. La lógica aritmética de conversión es correcta. Motivación:  La programación exige atención al detalle. Tienes la capacidad técnica para resolver el problema, pero la autogestión (revisar el cumplimiento de la rúbrica antes de enviar y cumplir los plazos) es lo que define a un profesional. Debes mejorar drásticamente tu organización para el parcial del 25 de febrero, donde no habrá margen de error en las instrucciones.Rúbrica de CalificaciónCriterio de EvaluaciónPuntaje MáximoPuntaje ObtenidoObservacionesUso de Casting (float/int)10.010.0Implementado correctamente.Claridad en mensajes de salida10.06.0Muy básico. Sin formato de moneda ni f-strings.Nombres en Markdown10.00.0Incumplimiento total. Dejó "Integrante 1, 2, 3".Funcionalidad y Lógica10.010.0El script realiza los cálculos.Documentación10.08.0Comentarios básicos presentes.Subtotal50.034.0Penalización por Retraso-15.03 días de retraso (-5.0 por día).TOTAL FINAL19.0Diego Mauricio Zuluaga Rodríguez Profesor - Departamento de Economía Universidad de La Sabana</t>
  </si>
  <si>
    <t>Retroalimentación de la Entrega: Calculadora de Divisas Calificación Final: 15/50 Comentarios del Profesor:  Martin, he revisado tu entrega. Aunque el código es funcional y cumple con la lógica básica de programación, existen fallos críticos en el seguimiento de instrucciones y en la puntualidad que afectan significativamente la nota.Puntos a mejorar:Incumplimiento de Requisitos de Identificación: En la sección de Markdown, dejaste los campos como "Integrante 1, 2, 3" en lugar de colocar los nombres reales. La rúbrica exige el cumplimiento estricto de los nombres para validar el trabajo.Puntualidad: La tarea fue entregada con 16 horas de retraso. En el ejercicio profesional y según nuestro contrato pedagógico, el cumplimiento de los deadlines es innegociable. Se ha aplicado la penalización correspondiente.Claridad de Salida: Los mensajes de impresión son muy básicos. No utilizaste f-strings ni diste formato a los decimales (moneda), lo cual era un requerimiento para la experiencia del usuario final.Puntos Positivos:Uso de Casting: Aplicaste correctamente tanto float() para las entradas como int() para mostrar la parte entera, demostrando que comprendes la diferencia entre tipos de datos.Documentación: El código tiene comentarios claros que explican qué hace cada sección. Motivación:  Martin, tienes la capacidad técnica para programar, pero la autogestión (atención al detalle y manejo del tiempo) es lo que define a un profesional de excelencia. Te invito a leer con más detenitud las instrucciones de las próximas tareas y a planificar tus entregas con antelación para evitar penalizaciones por tiempo. Tienes todo para mejorar en el parcial si aplicas rigor en estos detalles.Rúbrica de CalificaciónCriterio de EvaluaciónDescripciónPuntaje MáximoPuntaje ObtenidoUso de Casting (float/int)Conversión correcta de tipos de datos.10.010.0Claridad en Mensajes (Print)Uso de formato y creatividad en la salida.10.05.0Markdown e IdentificaciónNombres de integrantes (Se usaron placeholders).10.00.0DocumentaciónComentarios explicando la lógica del código.10.010.0Entrega OportunaPenalización por 16 horas de retraso.10.0-10.0TOTAL50.015.0Diego Mauricio Zuluaga Rodríguez Profesor - Departamento de Economía Universidad de La Sabana</t>
  </si>
  <si>
    <t>Retroalimentación de la Entrega: Calculadora de Divisas Calificación Final: 36/50 Comentarios del Profesor:  Equipo, han presentado un script funcional en su estructura básica, pero existen errores críticos de lógica financiera y técnica que deben corregir para el parcial.Observaciones Técnicas:Error de Lógica Financiera: La fórmula utilizada VALOR_COP / 1000 * TRM es incorrecta. En el mercado de divisas, para pasar de pesos a dólares se divide el monto por la tasa (COP / TRM). Su fórmula actual multiplica el valor, lo que genera resultados astronómicos y erróneos.Riesgo en el Casting: Utilizar int() para el VALOR_COP es una práctica arriesgada. Si un usuario ingresa un valor con decimales (ej. 10500.50), el programa colapsará inmediatamente con un ValueError. En finanzas, siempre debemos usar float().Presentación del Output: Los mensajes de salida son muy planos. No se utilizaron f-strings ni formatos de precisión (como :.2f). Esto causa que los resultados se muestren con demasiados decimales, dificultando la lectura profesional.Ortografía: Tengan cuidado con la presentación en el Markdown. Palabras como "calcualadora" o la falta de mayúsculas restan profesionalismo a su portafolio. Motivación:  Tienen la estructura base clara, pero en Programación y Decisiones la precisión es lo que separa un código útil de uno peligroso. Les recomiendo revisar la jerarquía de operaciones y el uso de formatos de texto antes del parcial del 25 de febrero. ¡A ajustar esa lógica!Rúbrica de CalificaciónCriterio de EvaluaciónDescripciónPuntaje MáximoPuntaje ObtenidoUso de CastingUso de int en lugar de float para moneda limita la estabilidad del programa.10.07.0Formato de SalidaAusencia de f-strings, redondeo a 2 decimales y separadores de miles.10.05.0Markdown y EstructuraIncluye nombres y descripción, pero con errores ortográficos.10.08.0Funcionalidad y LógicaError grave: La fórmula matemática aplicada no corresponde a una conversión real.10.04.0DocumentaciónComentarios presentes pero extremadamente breves.10.08.0TOTAL50.032.0Nota: Se han otorgado 4 puntos adicionales por la entrega del archivo en el formato solicitado (.ipynb), para un total de 36.0.Diego Mauricio Zuluaga Rodríguez Profesor - Departamento de Economía Universidad de La Sabana</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</si>
  <si>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Paula, excelente trabajo. Destaco la formalidad de tu entrega (encabezado y
referencias), lo cual demuestra profesionalismo y respeto por la actividad
académica. 
 Puntos
     Fuertes: Tu conexión con Negocios Internacionales es precisa.
     Mencionaste "fluctuaciones de la moneda" e "indicadores
     económicos"; esto es vital porque en este curso aprenderemos a
     conectar Python con fuentes de datos reales (APIs) para traer la TRM en
     tiempo real, automatizando lo que hoy quizás haces manual en Excel. El uso
     de citas (EAN, Oracle) le da solidez a tus argumentos. 
 Próximos
     Pasos: Mencionaste la "automatización de flujos de trabajo".
     Mantén esa idea presente, porque es uno de los objetivos de la competencia
     de Autogestión: que el código trabaje por ti para que tú te dediques a la
     estrategia. Conclusión: 
Tienes una visión clara de la utilidad de la herramienta. Has cumplido con
todos los criterios de excelencia. ¡Sigue con ese nivel de rigurosidad!</t>
  </si>
  <si>
    <t>Rúbrica de Calificación 
 Conexión
     con la Carrera (20/20 pts): Excelente. Identifica aplicaciones
     precisas en comercio exterior, análisis de exportaciones/importaciones y
     tasas de cambio. 
 Profundidad
     Argumentativa (14/15 pts): Muy buena. Entiende que Python no es solo
     código, sino una estructura mental para resolver problemas complejos. 
 Redacción
     y Estructura (10/10 pts): Texto fluido, profesional y bien organizado. 
 Seguimiento
     de Instrucciones (5/5 pts): Cumple con la extensión y responde
     directamente a la pregunta planteada. Retroalimentación:  Calificación: 40/50  Comentarios: 
Sofía, excelente ensayo. Has captado la esencia de por qué un Administrador de
Negocios Internacionales en La Sabana debe programar: la ventaja competitiva
y la toma de decisiones basada en datos. 
 Puntos
     Fuertes: Destaco tu mención sobre la "comunicación con equipos
     tecnológicos". En el mundo real, serás el puente entre el negocio y
     la tecnología; entender Python te da la autoridad para liderar esos
     procesos. Tu enfoque en la automatización de indicadores financieros y
     tasas de cambio es el camino correcto para tu perfil. 
 Oportunidad
     de Mejora: Para obtener el puntaje perfecto en próximas entregas, te
     reto a que menciones una librería específica de Python que hayas
     investigado (como Pandas para el análisis de tablas de exportación
     o Matplotlib para graficar la inflación). Llevar el argumento de lo
     general a lo técnico demuestra una autogestión superior.  Conclusión: 
Tu visión sobre la transformación digital y el comercio electrónico es muy
acertada. Estás preparando tu perfil para roles estratégicos en
multinacionales. ¡Sigue con esa mentalidad durante el desarrollo de los
laboratorios!</t>
  </si>
  <si>
    <t>Rúbrica de Calificación   
  Criterio 
  Puntaje Máximo 
  1. Conexión con la Carrera (Identifica aplicaciones
  específicas de Python en su campo de estudio). 
  20 pts 
  2. Profundidad Argumentativa (Explica el porqué
  y el cómo la programación aporta valor). 
  15 pts 
  3. Redacción y Estructura (Claridad, cohesión y
  ortografía). 
  10 pts 
  4. Seguimiento de Instrucciones (Cumplimiento de la
  extensión y respuesta a la pregunta central). 
  5 pts 
  Puntaje Total 
  50 pts 
 Retroalimentación:  Calificación: 50/50  Comentarios: 
¡Excelente! Esta es una respuesta de nivel profesional y cumple con todos los
objetivos de la actividad. 
 Puntos
     Fuertes: La articulación entre la programación y la Administración de
     Negocios Internacionales es notable. Mencionas específicamente el valor de
     Pandas/NumPy, lo cual demuestra comprensión del ecosistema Python,
     y enlazas la competencia con la meta de la Universidad de La Sabana
     ("toma de decisiones basada en evidencia"). El desglose por
     áreas (Análisis de Datos, Finanzas Internacionales, Optimización de
     Procesos) es metodológicamente robusto. 
 Cumplimiento:
     La redacción es impecable, y la estructura argumentativa es lógica y cohesiva.
     El texto es convincente y técnico sin caer en generalidades.  Conclusión: 
Has superado la tarea con creces. Tu enfoque en la automatización de tareas
repetitivas y el análisis de riesgo financiero son exactamente las
aplicaciones que exploraremos. Tienes una base conceptual sólida para empezar a
programar.</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</si>
  <si>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40/50  Comentarios: 
Cristian, has tocado puntos neurálgicos de la industria gastronómica moderna. 
 Puntos
     Fuertes: Mencionas el "análisis de residuos" y el
     "escalado de recetas" (ingredientes exactos para grandes
     volúmenes). Estos son problemas clásicos de optimización que resolveremos
     en clase. Python es perfecto para evitar el desperdicio de materia prima
     (food cost), que es donde se pierde la rentabilidad en tu sector. 
 Oportunidad
     de Mejora: La extensión del texto es muy breve respecto a lo
     solicitado (una página). Aunque las ideas son correctas, te faltó
     desarrollarlas con mayor profundidad. En la competencia de Autogestión,
     el cumplimiento riguroso de las instrucciones de entrega (longitud y
     formato) es vital. 
 Consejo:
     No veas Python solo como una calculadora de fechas de caducidad; imagínalo
     como el chef ejecutivo que predice cuántos kilos de insumo comprar
     basándose en el histórico de ventas del mes pasado.  Conclusión: 
Tienes la visión clara de para qué sirve. Ahora necesitamos trabajar en
la ejecución y en profundizar esos argumentos. ¡Vamos a programar esas
soluciones!</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</si>
  <si>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40/50  Comentarios: 
Mariana, muy buen análisis. Lograste algo clave: no solo conectar Python con el
Mercadeo y la Logística por separado, sino que añadiste la capa
"Internacional", que es fundamental en su carrera. Esa visión es muy
acertada. 
 Puntos
     Fuertes: Has identificado con precisión las aplicaciones más valiosas:
     optimización de rutas, análisis del consumidor y comparación de mercados
     internacionales. La idea de usar Python para automatizar reportes de
     exportación es un ejemplo perfecto del valor que buscamos. 
 Oportunidades
     de Mejora: 
  Profundidad:
      El ensayo es una excelente lista de "qué" se puede hacer. El
      siguiente paso en tu desarrollo es profundizar en el "porqué"
      esto representa un cambio fundamental. Por ejemplo, ¿cómo cambia la
      calidad de una decisión logística cuando se basa en una simulación de
      costos en Python en lugar de en una estimación manual? 
  Redacción:
      Presta atención a la redacción y la ortografía ("podeos",
      "costros"). En un entorno profesional, la comunicación escrita
      es tan importante como el análisis técnico. Estructurar el texto en
      párrafos más definidos le dará más fuerza a tus argumentos. 
  Conclusión: 
Tienes las ideas correctas y claras sobre la aplicación de la herramienta. El
objetivo de este curso es darte la estructura y la técnica para que esas ideas
se conviertan en código funcional. ¡Sigue con esa visión!</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</si>
  <si>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¡Un ensayo excepcional! Tu análisis sobre la aplicación de Python en la
Gastronomía es profundo y muy creativo, demostrando que has captado
perfectamente el espíritu del curso: la programación como herramienta de
decisión y eficiencia. 
 Puntos
     Fuertes (20/20 en Conexión): Destaco particularmente tres ideas
     brillantes que superan las expectativas: 
  Costo
      de Plato (Pricing): Saber si se está ganando dinero con el menú es
      una decisión financiera crítica que requiere un script de Python. 
  Ajuste
      Automático de Recetas (Escalabilidad): El uso de Python para ajustar
      automáticamente cantidades (Regla de Tres) es una aplicación directa y
      valiosísima. 
  Gestión
      de Calidad (IoT / Seguridad Alimentaria): Monitorear temperaturas de
      neveras y dar alertas es una aplicación avanzada que combina Python con
      hardware (IoT), demostrando visión de futuro. 
 Oportunidad
     de Mejora (10/10 en Redacción): El texto es claro y muy bien
     estructurado. La única penalización (1 punto) se da en la redacción,
     específicamente en el uso inconsistente de la coma en frases como:
     "lo cual para un chef que sabe usar...". (Corregir estos
     pequeños detalles mejorará la calidad percibida de tus informes
     profesionales).  Conclusión: 
Has superado la tarea con creces, demostrando que la mentalidad de programación
se aplica a cualquier campo. En las próximas semanas, veremos cómo traducir ese
"programa para cambiar las cantidades de una receta" en las
estructuras de código que estamos aprendiendo. ¡Excelente inicio de semestre!</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</si>
  <si>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43/50  Comentarios: 
El ensayo es claro, conciso y va directo al punto. La idea central es correcta
y demuestra que comprendes el valor estratégico de la programación en tu
carrera. 
 Puntos
     Fuertes: La frase "no solo a 'mirar números'" es excelente,
     captura perfectamente la diferencia entre ser un observador pasivo y un
     analista activo que genera valor. La conclusión sobre ser una
     "profesional más preparada, moderna y capaz de adaptarse" es muy
     acertada. 
 Oportunidad
     de Mejora: El ensayo, aunque correcto, es más un resumen que un
     análisis profundo. Para alcanzar la máxima calificación, te faltó
     desarrollar un poco más cada idea. En lugar de solo listar las
     aplicaciones ("optimizar rutas, controlar inventarios"), podrías
     haber explicado brevemente el impacto que una de esas
     optimizaciones tendría en la rentabilidad de una empresa. El seguimiento
     de la instrucción de una página no se cumplió del todo, lo cual se ve
     reflejado en ese criterio.  Conclusión: 
La base conceptual está clara y eso es lo más importante. El siguiente paso es
aprender a argumentar con mayor profundidad y detalle. El reto para el resto
del semestre será precisamente ese: convertir estas ideas generales en código
específico y funcional. ¡Buen inicio!</t>
  </si>
  <si>
    <t>Rúbrica de Calificación   
  Criterio 
  Puntaje Máximo 
  1. Conexión con la Carrera (Identifica aplicaciones
  específicas de Python en su campo de estudio). 
  20 pts 
  2. Profundidad Argumentativa (Explica el porqué
  y el cómo la programación aporta valor). 
  15 pts 
  3. Redacción y Estructura (Claridad, cohesión y
  ortografía). 
  10 pts 
  4. Seguimiento de Instrucciones (Cumplimiento de la
  extensión y respuesta a la pregunta central). 
  5 pts 
  Puntaje Total 
  50 pts 
 Retroalimentación:  Calificación: 50/50  Comentarios: 
¡Excelente análisis y profundidad! Este ensayo cumple con creces los criterios
de la rúbrica y demuestra un entendimiento estratégico de la importancia de la
programación para un economista moderno. 
 Puntos
     Fuertes: La articulación es sobresaliente. Has logrado ir más allá de
     la simple "limpieza de datos" para tocar temas complejos y de
     alto valor como: 
  Simulaciones
      de Monte Carlo. 
  Optimización
      de portafolios internacionales. 
  La
      idea de que Python es una "extensión práctica del pensamiento
      económico y cuantitativo". 
  La
      visión de la empleabilidad y la necesidad de ser un perfil híbrido
      que compita con ingenieros y analistas de datos. 
 Autogestión
     y Rigor: La estructura es impecable, fluida y sin redundancias. Esto
     refleja una alta capacidad de síntesis y organización, que es la
     competencia clave que buscamos entrenar.  Conclusión: 
Tu visión sobre la programación en Economía y Finanzas no es opcional, es el
enfoque correcto. Mantén esta perspectiva durante el semestre, ya que
implementaremos muchos de estos modelos de series de tiempo y optimización con
el rigor que has planteado. Tienes una base teórica muy sólida.</t>
  </si>
  <si>
    <t>No está el ensayo adjunto.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</si>
  <si>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46/50  Comentarios: 
Excelente enfoque. Has dado en el clavo sobre la realidad de la industria
gastronómica moderna: la rentabilidad está en los datos, no solo en el sabor. 
 Puntos
     Fuertes: Identificaste aplicaciones críticas como la "Ingeniería
     de Menú" (saber qué platos son rentables y populares) y el control de
     desperdicios. Python es la herramienta perfecta para automatizar el costeo
     de recetas estándar, algo que en Excel suele romperse con facilidad. 
 Oportunidad
     de Mejora: Debes cuidar la rigurosidad académica en tu
     redacción. 
  Evita
      términos coloquiales como "super importante" (úsalo dos veces);
      opta por "crucial", "fundamental" o
      "determinante". 
  Atención
      a la ortografía: "Tradicional mente" va junto (Tradicionalmente),
      "atreves" es del verbo atreverse (a través es lo
      correcto), y "si no" en ese contexto es sino. 
  La
      programación requiere precisión, y la escritura académica también. 
  Conclusión: 
Tu visión sobre la gestión administrativa de la cocina es correcta. En este
curso, te daré las herramientas para que puedas crear scripts que calculen esos
costos de producción automáticamente. ¡A pulir esa redacción y adelante con el
código!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</si>
  <si>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Excelente trabajo. Este es un ensayo sobresaliente que demuestra una
comprensión profunda y madura de cómo la tecnología puede transformar una
disciplina tradicional como la Gastronomía. 
 Puntos
     Fuertes: Has ido más allá de las respuestas obvias. Tus argumentos
     sobre usar Python para reducir el desperdicio de alimentos, estandarizar
     recetas para garantizar consistencia y evaluar la rentabilidad
     de un menú son precisamente las aplicaciones de alto valor que busca la
     industria. La conexión que haces entre la programación y el desarrollo de
     habilidades como la precisión y el pensamiento lógico es brillante. 
 Oportunidad
     de Mejora: Dado que has dominado el "qué" y el
     "porqué", el siguiente paso en tu desarrollo será el
     "cómo". A medida que avancemos, te retaré a que pienses qué tipo
     de script escribirías para, por ejemplo, analizar el inventario y predecir
     qué ingredientes se agotarán primero.  Conclusión: 
Has articulado perfectamente la visión de un profesional gastronómico del siglo
XXI: alguien que combina la técnica culinaria con la inteligencia de datos. Tu
ensayo es la prueba de que tienes la mentalidad correcta para este curso.
Ahora, vamos a darle las herramientas a esa visión.</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</si>
  <si>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47/50  Comentarios: 
Buen trabajo. Has logrado conectar dos mundos que a veces parecen distantes: la
creatividad del Mercadeo y la precisión de la Logística. 
 Puntos
     Fuertes: Tu argumento sobre pasar de la "intuición" a los
     "datos reales" es exactamente el núcleo de este curso
     (Aprendizaje Basado en Evidencias). Identificaste correctamente los
     dolores de tu carrera: inventarios, rutas y segmentación de clientes. 
 Oportunidad
     de Mejora: Para futuras entregas, te invito a ser más técnico en el
     "cómo". Por ejemplo, cuando mencionas "analizar rutas de
     envío", en Python usaríamos librerías de optimización matemática; o
     para "lo que las personas compran", usaríamos Pandas para
     limpiar esos datos. No te quedes solo en el concepto, empieza a visualizar
     la herramienta. Conclusión: 
Tienes la mentalidad correcta. Ahora, en las próximas clases, vamos a traducir
esa teoría de "optimizar inventarios" en código real que lo haga por
ti. ¡Ánimo con el código!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</si>
  <si>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44/50  Comentarios: 
Agradezco tu esfuerzo y la claridad de tu estructura. El ensayo es coherente y
directo en su defensa de Python en la Administración de Empresas. 
 Puntos
     Fuertes: Identificaste correctamente el valor de la Automatización
     de Procesos (liberar tiempo de tareas repetitivas) y la Gestión de
     Grandes Datos. La mención a la simplicidad y el código
     abierto demuestra que entendiste por qué Python es la elección ideal
     para profesionales no técnicos. 
 Oportunidad
     de Mejora: La argumentación fue correcta pero le faltó una conexión
     más profunda con la carrera de Administración de Empresas, más allá
     de las generalidades. ¿Cómo automatiza Python un proceso de Recursos
     Humanos en una PYME? ¿Qué tipo de patrones busca un
     administrador en los datos de ventas para reducir el riesgo? Te invito a
     pensar en el nombre de la librería o la técnica que usarías
     (ej., Pandas para el análisis, Scripts para la
     automatización).  Conclusión: 
La base conceptual es sólida y has cumplido con la instrucción principal. El
reto ahora es llevar estos conceptos a la práctica. Recuerda que en este curso
entrenamos la Autogestión y eso incluye la capacidad de argumentar con
precisión técnica.</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</si>
  <si>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Excelente trabajo. Tu ensayo demuestra una comprensión profunda de la ventaja
competitiva que ofrece Python en el contexto de la Economía y Finanzas
Internacionales. Cumple con la totalidad de los criterios establecidos. 
 Puntos
     Fuertes: Lograste conectar la necesidad de gestionar grandes
     volúmenes de datos (DANE, FMI) con las librerías específicas que
     usaremos (NumPy y Pandas), lo cual demuestra que has investigado cómo
     funciona la herramienta. La mención de la reproducibilidad y el uso
     de modelos matemáticos/estadísticos para simular escenarios son
     argumentos de alto valor. 
 Motivación
     (Meta Autogestión): Este nivel de análisis y preparación es un ejemplo
     de la Autogestión que buscamos desarrollar. Has sentado una base
     conceptual robusta. Ahora, en el curso, convertiremos estos conceptos
     (gestión de riesgos, valuación de activos) en código funcional.  Conclusión: 
Un ensayo completo, riguroso y perfectamente alineado con las metas del
Departamento. ¡Mantén este nivel de compromiso en las clases prácticas!</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</si>
  <si>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Análisis de nivel superior, Matías. Este ensayo demuestra una comprensión
excepcional del objetivo estratégico de este curso. 
 Puntos
     Fuertes: 
  Visión
      Gerencial: Has identificado el punto clave: no se trata de ser un
      desarrollador operativo, sino de ser un gerente que sabe cómo dirigir
      y validar el trabajo técnico. Tu argumento sobre eliminar la
      "asimetría de información" al tratar con proveedores es una
      reflexión madura y muy valiosa en el mundo real. 
  Aplicación
      Específica: Conectar el aprendizaje directamente a tu proyecto de una
      empresa de repuestos para motocicletas le da un anclaje práctico y
      demuestra una autogestión clara de tus metas profesionales. 
  Lenguaje
      Preciso: Utilizas conceptos como "ventaja competitiva",
      "integralidad" y "criterio" de manera muy acertada,
      demostrando que entiendes el puente entre la tecnología y la estrategia
      de negocio. 
 Próximo
     Desafío (Más allá de la nota): Ya que tienes tan clara la visión, el
     siguiente paso es empezar a pensar en el "qué". ¿Cuál sería el
     primer KPI (Indicador Clave de Rendimiento) que te gustaría automatizar o
     analizar con Python para tu empresa? ¿Rotación de inventario? ¿Segmentación
     de clientes por tipo de moto? Empecemos a materializar esa visión.  Conclusión: 
Excelente trabajo. Usted no está aquí para ser un programador, está aquí para
ser un gerente que sabe cómo usar la programación como una palanca estratégica.
Va por excelente camino.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</si>
  <si>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38/50  Comentarios: 
 Puntos
     Fuertes (Profundidad Argumentativa y Redacción): La calidad de la
     prosa es alta. Tu ensayo se centra exitosamente en el valor cognitivo de
     la programación: el desarrollo del pensamiento crítico, la abstracción
     para la creación de modelos, la resolución de problemas lógicos y
     la capacidad de adaptación (habilidades clave del economista
     moderno). La inclusión de citas de Descartes y Harari enriquece la
     reflexión. 
 Área
     Crítica (Conexión con la Carrera): El ensayo es excelente en la
     filosofía del aprendizaje, pero débil en la aplicación práctica
     específica para un Economista y Financiero Internacional. El ensayo se
     queda en el "para qué sirve pensar como programador" y no
     aborda el "para qué sirve programar con Python en mi
     carrera". 
  Ejemplo
      de mejora: No mencionas cómo Python te ayuda a simular un modelo de
      valoración de activos (Monte Carlo), analizar series de tiempo
      financieras (Pandas, Statsmodels), optimizar portafolios de inversión o
      manipular bases de datos macroeconómicas (Objetivo clave del curso). Esta
      conexión explícita es fundamental. 
  Recomendación de Autogestión (Metacognición): Excelente uso de la IA para explorar conceptos filosóficos y
de soft skills. Sin embargo, la consigna pedía apoyo a la IA para el contenido
técnico específico de tu carrera. En el futuro, usa la IA para generar
ejemplos de código o aplicaciones en Finanzas Cuantitativas, y luego usa tu
pensamiento crítico (el que la programación te ayuda a desarrollar) para
criticar y validar si la aplicación es realista.</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</si>
  <si>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Excelente reflexión. Es refrescante ver un enfoque tan claro sobre la
Gastronomía como una ciencia de datos y procesos, y no solo como un arte
culinario. 
 Puntos
     Fuertes: Has dado en el clavo al mencionar el "Food Tech"
     y la visión de la gastronomía como un "sistema técnico". La
     conexión que haces entre Python y el costeo de recetas o el control
     de inventarios es exactamente lo que buscamos en la competencia de
     Autogestión y eficiencia. Un chef que sabe programar sus propios modelos
     de costos tiene una ventaja competitiva enorme sobre quien depende de un
     Excel estático. 
 Oportunidad
     de Mejora: Mantén esa visión interdisciplinaria. A medida que
     avancemos en el curso, te reto a pensar: ¿Cómo automatizarías ese análisis
     de menú? ¿Cómo harías que Python te avise cuando un ingrediente está por
     caducar?  Conclusión: 
Tienes una visión muy madura de tu profesión. Aprovecha este curso para
construir esas herramientas de Food Tech que mencionas. ¡Gran inicio!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</si>
  <si>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Excelente reflexión. Has dado en el clavo con uno de los objetivos más
importantes de este curso: dejar de ser operativos para ser analíticos. 
 Puntos
     Fuertes: Tu argumento sobre "dirigir la atención al análisis al
     ciento por ciento y no a la operación" es brillante. Ese es el
     verdadero valor de Python para un economista: automatizar la
     "carpintería" (limpieza de datos, reportes repetitivos) para
     dedicar el cerebro a la estrategia económica. 
 Autogestión
     y Ética: Valoro mucho la transparencia al citar la herramienta de IA
     (GPT-5.2). Esto demuestra responsabilidad y honestidad académica,
     cumpliendo con las reglas de juego del curso. 
 Visión:
     Tienes muy claro que la competencia no es contra la máquina, sino contra
     otros economistas que no sepan usarla.  Conclusión: 
Tienes la visión estratégica clara. Ahora, el reto es técnico: vamos a aprender
a escribir esas líneas de código que mencionas para que esa "ventaja
profesional" sea una realidad tangible al final del semestre.</t>
  </si>
  <si>
    <t>Rúbrica de Calificación   
  Criterio 
  Puntaje Máximo 
  1. Conexión con la Carrera (Identifica aplicaciones
  específicas de Python en su campo de estudio). 
  20 pts 
  2. Profundidad Argumentativa (Explica el porqué
  y el cómo la programación aporta valor). 
  15 pts 
  3. Redacción y Estructura (Claridad, cohesión y
  ortografía). 
  10 pts 
  4. Seguimiento de Instrucciones (Cumplimiento de la
  extensión y respuesta a la pregunta central). 
  5 pts 
  Puntaje Total 
  50 pts 
 Retroalimentación:  Calificación: 44/50  Comentarios: 
Excelente trabajo de reflexión. Se valora tu honestidad al reconocer la
perspectiva inicial (Python como "lejano o innecesario") y cómo
evolucionó tu entendimiento hacia su valor a largo plazo. 
 Puntos
     Fuertes: La conexión que haces entre Python y el desarrollo de una
     "mentalidad más analítica y organizada" es fundamental, y está
     directamente alineada con la competencia de Autogestión que
     impulsamos. También es muy acertado el argumento de que Python es el
     escalón natural cuando el análisis económico y financiero pasa de ser
     teórico a trabajar con grandes volúmenes de datos reales
     (Econometría, Modelos Financieros). 
 Oportunidad
     de Mejora: Aunque la reflexión es profunda en términos de porqué,
     la argumentación podría ser más específica en el "para qué"
     dentro de tu carrera (Criterio 1). ¿Qué hace Python en Finanzas que Excel
     no puede? Debes mencionar roles concretos: modelos de riesgo
     (simulación de Monte Carlo), valoración de portafolios, o el uso de
     librerías como numpy para álgebra lineal.  Conclusión: 
Tienes una base reflexiva sólida que te permitirá aprovechar al máximo el
curso. La utilidad de Python dejará de ser una promesa a largo plazo en las
próximas semanas y se convertirá en una herramienta inmediata. ¡Sigue con este
nivel de análisis!</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</si>
  <si>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42/50  Comentarios: 
Valoro mucho la honestidad con la que inicias tu texto. Es completamente válido
cuestionar el pensum; esa curiosidad es el primer paso del pensamiento crítico. 
 Puntos
     Fuertes: Tu estructura es clara y el argumento sobre el "enfoque
     humano" es vital. Tienes toda la razón: la tecnología en tu carrera
     debe servir para liberar tiempo operativo (automatizando reportes) y
     dedicarlo a la gestión de personas y servicios. 
 Oportunidad
     de Mejora: El ensayo se quedó en un nivel un poco general
     ("organizar datos", "hacer cálculos"). Para la
     próxima, te reto a aterrizar los conceptos a tu carrera específica: En Administración
     y Servicio, Python es el rey del Customer Experience (CX).
     Imagina usar Python no solo para "guardar datos", sino para
     analizar automáticamente miles de comentarios de clientes y detectar
     emociones (Sentiment Analysis) para mejorar el servicio. Ahí es donde está
     tu valor agregado.  Conclusión: 
Buen inicio. Quédate con esta idea: Programamos las máquinas para tener más
tiempo de ser humanos. Vamos a aprender a automatizar esa
"carpintería" operativa en clase.</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</si>
  <si>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Excelente reflexión. Has tocado un punto fundamental que conecta tu carrera con
este curso: el algoritmo como receta. 
 Puntos
     Fuertes: La analogía que haces entre "una receta requiere pasos
     precisos y variables (tiempo/temperatura)" y un algoritmo es
     brillante. Esa es exactamente la lógica de la programación estructurada.
     Además, identificaste áreas críticas de negocio: estandarización de
     recetas y control de mermas/inventarios, donde Python es mucho más potente
     que Excel. 
 Oportunidad
     de Mejora: Tienes un par de errores tipográficos menores
     ("pasoso", "se transfieres"). En programación, un
     carácter mal puesto rompe el código; en la cocina, un gramo de más cambia
     el sabor. Mantén esa atención al detalle (Sanity Check) también en la
     escritura.  Conclusión: 
La "Ingeniería de Menú" basada en datos es el futuro de la
gastronomía rentable. Con lo que aprenderemos, podrás automatizar esos costos
de recetas en segundos. ¡Buen trabajo!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</si>
  <si>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Este es un ensayo sobresaliente. Demuestra un nivel de investigación y
comprensión que va más allá de lo esperado para una tarea introductoria. 
 Puntos
     Fuertes: 
  Especificidad
      Técnica: No te limitaste a generalidades. Mencionaste bibliotecas (BeautifulSoup,
      Pandas, NumPy), APIs (Yahoo Finance) y técnicas avanzadas (web scraping, simulación
      de Monte Carlo, trading algorítmico). Esto demuestra una conexión real y
      profunda con la aplicación profesional. 
  Argumento
      Estratégico: Tu concepto del "analista aumentado" es
      brillante y captura perfectamente la filosofía de este curso. Comprendes
      que la meta no es reemplazar al humano, sino potenciar su capacidad de
      análisis y decisión. 
  Redacción
      Profesional: El título es excelente y la estructura del ensayo es
      lógica y persuasiva. El lenguaje es el de un profesional que ya está
      pensando en el mercado laboral. 
 Oportunidad
     de Mejora: 
  En este
      caso, la única "oportunidad de mejora" no es una corrección,
      sino una invitación: te reto a que, a lo largo del semestre, intentes
      aplicar al menos una de estas técnicas avanzadas que mencionaste (como un
      pequeño web scraper o una simulación simple) en el proyecto final.
      Has puesto el listón alto; ahora el desafío es traducirlo a código. 
  Conclusión: 
Has captado la visión del curso desde el día uno. Este es precisamente el
perfil de profesional que buscamos formar en la EICEA: analítico, estratégico y
tecnológicamente competente. Excelente trabajo.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</si>
  <si>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Excelente ensayo. Tu texto es maduro, bien estructurado y demuestra una
comprensión clara de la ventaja competitiva que Python representa en el
campo de Economía y Finanzas Internacionales. 
 Puntos
     Fuertes (20/20 + 15/15): Respondes directamente a las necesidades del
     mercado financiero: la recopilación, organización y análisis de grandes
     cantidades de información (Big Data). El concepto de aplicar la
     programación para que los temas "no se queden únicamente en la
     teoría" es un reflejo directo del enfoque de nuestro curso. 
 Oportunidad
     de Mejora (-1 punto por formalidad): El texto es casi impecable. Solo
     como recomendación para trabajos futuros, siempre intenta mencionar una o
     dos herramientas clave (ej. Pandas para manejo de datos o NumPy
     para cálculos matriciales) cuando hables de análisis, lo que eleva la
     profundidad técnica de tu argumento.  Conclusión: 
Tu perspectiva como futura profesional en Finanzas es clara y ambiciosa. Tienes
la motivación correcta para lograr la excelencia en este curso. Sigamos
enfocados en transformar esta visión en código funcional. ¡Adelante!</t>
  </si>
  <si>
    <t>Rúbrica de Calificación   
  Criterio 
  Puntaje Máximo 
  1. Conexión con la Carrera (Identifica aplicaciones
  específicas de Python en su campo de estudio). 
  20 pts 
  2. Profundidad Argumentativa (Explica el porqué
  y el cómo la programación aporta valor). 
  15 pts 
  3. Redacción y Estructura (Claridad, cohesión y
  ortografía). 
  10 pts 
  4. Seguimiento de Instrucciones (Cumplimiento de la
  extensión y respuesta a la pregunta central). 
  5 pts 
  Puntaje Total 
  50 pts 
 Retroalimentación:  Calificación: 45/50  Comentarios: 
El ensayo es claro, bien estructurado y demuestra una comprensión sólida de la
relevancia de Python en su campo. Cumple con la extensión requerida y la
redacción es fluida. 
 Puntos
     Fuertes (Criterios 1 y 2): Resaltas acertadamente la necesidad de
     tomar decisiones "basadas en datos" y mencionas la
     automatización de "tareas repetitivas" en logística. Esta es la
     esencia de la Autogestión que buscamos desarrollar: eficiencia a
     través de la tecnología. 
 Oportunidad
     de Mejora (Criterio 2): Al igual que tu compañero, la argumentación es
     fuerte en el "qué" (optimizar rutas, analizar datos), pero aún
     le falta un pequeño paso al "cómo técnico". La próxima vez,
     intenta vincular tu idea con una herramienta concreta que vamos a usar.
     Por ejemplo: “En lugar de solo planificar rutas, Python nos permitirá
     usar modelos de optimización para encontrar la ruta más barata en
     tiempo real”. 
 Motivación:
     Tu conclusión es clave: No buscas ser ingeniero, buscas adquirir una competencia
     digital que te hará destacar como profesional en Administración y
     Logística. ¡Esa es la visión estratégica correcta para este curso! Sigue así. Estás en la ruta correcta para lograr la
Autogestión técnica y el éxito profesional.</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</si>
  <si>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47/50  Comentarios: 
Excelente enfoque. Has tocado un punto crítico en la Logística Internacional:
la "reducción del margen de error". 
 Puntos
     Fuertes: Identificas con claridad que Python no es solo para crear
     software, sino para automatizar tareas operativas (inventarios,
     seguimiento de envíos). Esa visión de eficiencia es exactamente lo que
     buscamos en la competencia de Autogestión y en la toma de decisiones. 
 Oportunidad
     de Mejora: Mencionas el "análisis de costos". En las
     próximas semanas, cuando veamos variables y operaciones matemáticas, te
     reto a que pienses cómo traducirías una fórmula de costos de transporte en
     una función de Python. Pasar del concepto a la ejecución es el siguiente
     paso.  Conclusión: 
Tienes clara la utilidad de la herramienta para tu perfil profesional. Ahora es
momento de perderle el miedo al código y empezar a construir esos scripts de
automatización.</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</si>
  <si>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45/50  Comentarios: 
Excelente análisis, Daniel. Tu ensayo demuestra una comprensión clara del valor
estratégico que tiene la programación en el campo de la Economía y las Finanzas
Internacionales. 
 Puntos
     Fuertes: Has conectado de manera muy efectiva la habilidad técnica con
     el resultado profesional: una ventaja competitiva en el mercado laboral y
     una mejor remuneración. Tu redacción es impecable y la estructura del
     ensayo es lógica y coherente. 
 Oportunidad
     de Mejora: El argumento es sólido, pero para alcanzar la excelencia,
     te animo a profundizar en ejemplos más concretos. Por ejemplo, en lugar de
     decir "analizar el comercio internacional", podrías visualizar
     una tarea como "crear un script que descargue automáticamente los
     datos de la balanza comercial y genere un pronóstico de
     exportaciones". La clave está en pasar de la idea general a la
     aplicación específica.  Conclusión: 
Has identificado perfectamente el "qué" (analizar datos) y el
"porqué" (ser más competitivo). Este semestre, nuestro objetivo será
darte las herramientas para dominar el "cómo". ¡Muy buen trabajo!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</si>
  <si>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38/50  Comentarios: 
Aprecio tu esfuerzo por encontrar la utilidad de Python en una carrera poco
tradicional para la programación. Partes de una premisa acertada: la
Gastronomía es un negocio, y todo negocio se beneficia de la eficiencia. 
 Puntos
     Fuertes (18/20 en Conexión): Logras identificar áreas clave como costos,
     inventarios y preferencias de clientes. Estos son problemas
     de optimización y datos perfectos para Python. 
 Oportunidad
     de Mejora (10/15 en Profundidad): La argumentación es correcta, pero
     se queda en la superficie. Para la próxima entrega, debes explicar cómo
     Python mejora esto. Por ejemplo: ¿Cómo podría Python predecir la demanda
     de un plato (reduciendo desperdicio de inventario)? ¿O cómo optimizaría la
     rotación del personal en la cocina según el flujo de pedidos? Se espera
     una justificación más profunda sobre el rol de la data y la automatización
     en el sector. 
 Redacción
     (7/10): Hay errores menores de ortografía (ej. "Phyton" por
     "Python") y fallas en la cohesión de las frases que restan
     claridad. Es su responsabilidad revisar el texto.  Conclusión: 
El ensayo demuestra el potencial de aplicación, lo cual es positivo. Sin
embargo, para cumplir con el estándar de rigurosidad del curso, necesitas
elevar el nivel de la justificación (el porqué técnico) y asegurar la
pulcritud en la redacción. ¡Utiliza esta experiencia para mejorar en la próxima
entrega!</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</si>
  <si>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48/50  Comentarios: 
Excelente trabajo. Tu ensayo demuestra una profunda comprensión de cómo el
pensamiento algorítmico trasciende los límites disciplinares. Aunque tu carrera
no es de Economía o Administración, lograste integrar el valor de Python a la
perfección en un campo altamente creativo. 
 Puntos
     Fuertes: La conexión entre el pensamiento lógico (necesario para
     ajustar recetas y optimizar tiempos) y el manejo de datos para la reducción
     de desperdicios y el control de costos es un argumento de gran
     valor económico y logístico, aplicable a cualquier emprendimiento
     culinario. Muestras visión al tocar el tema de la innovación y la
     gastronomía molecular. 
 Oportunidad
     de Mejora: Para futuros trabajos, te sugiero nombrar una librería o
     una técnica específica. Por ejemplo, en "análisis de ventas",
     podrías mencionar la necesidad de usar Pandas para analizar
     tendencias de consumo. Darle un toque técnico al argumento lo hace
     irrefutable.  Conclusión: 
Este tipo de pensamiento es el que buscamos en el curso: usar la programación
como una herramienta para optimizar cualquier proceso. Tu enfoque en la gestión
y la rentabilidad es impecable. ¡Felicidades por la calidad del análisis!</t>
  </si>
  <si>
    <t>Rúbrica de Calificación   
  Criterio 
  Puntaje Máximo 
  1. Conexión con la Carrera (Identifica aplicaciones
  específicas de Python en su campo de estudio). 
  20 pts 
  2. Profundidad Argumentativa (Explica el porqué
  y el cómo la programación aporta valor). 
  15 pts 
  3. Redacción y Estructura (Claridad, cohesión y
  ortografía). 
  10 pts 
  4. Seguimiento de Instrucciones (Cumplimiento de la
  extensión y respuesta a la pregunta central). 
  5 pts 
  Puntaje Total 
  50 pts 
 Retroalimentación:  Calificación: 41/50  Comentarios: 
Aprecio el esfuerzo por conectar la programación con un campo tan creativo como
la gastronomía. Tu perspectiva es interesante y apunta a áreas clave de
optimización en la industria alimenticia. 
 Puntos
     Fuertes: Identificaste correctamente la automatización de procesos
     (pedidos a cocina sin comanda) y la eficiencia del servicio (ejemplo
     McDonald’s). El argumento de la carta virtual es válido y se
     conecta con el front-end de un software. 
 Oportunidad
     de Mejora: La argumentación se queda en la capa de la automatización
     de servicio, pero no profundiza en el valor analítico que Python
     ofrece. Para alcanzar la excelencia, debes pensar en: 
  Inventario
      y Pérdidas: ¿Cómo usaría Python para predecir la demanda de
      ingredientes y minimizar el desperdicio (costo)? 
  Calidad
      y Datos: ¿Cómo usaría Python para analizar la temperatura de cocción
      histórica y asegurar la consistencia del sabor? 
  Análisis
      Sensorial: ¿Cómo procesaría encuestas de satisfacción o datos de
      ventas para optimizar el menú? 
 Tu ensayo tiene un gran componente de Gestión de
Servicios. Te reto a integrar el componente de Gestión de Datos en
la próxima entrega.  Conclusión: 
Buen inicio. Reconoces la necesidad de la tecnología. Ahora, vamos a programar
para que el código te dé la ventaja competitiva en la cocina y en la
administración del negocio.</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</si>
  <si>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44/50  Comentarios: 
Excelente enfoque. Tu ensayo demuestra una comprensión clara del valor
estratégico de Python, especialmente en el ámbito de las Finanzas
Internacionales y la Econometría. 
 Puntos
     Fuertes: La mención explícita de temas avanzados como series de
     tiempo, modelos ARIMA/VAR y el trabajo con índices bursátiles (SYP500,
     COLCAP) muestra que has investigado la aplicación directa y de alto
     valor de Python en tu énfasis. Es un argumento fuerte y técnico. 
 Oportunidad
     de Mejora: La redacción es fluida, pero faltó un desarrollo más
     profundo en la sección de "análisis de mercados financieros".
     ¿Qué librerías (ej. yfinance, Pandas) harían posible
     descargar, limpiar y analizar las tasas de cambio o los precios de las
     acciones? La próxima vez, intenta vincular el problema real (el modelo)
     con la herramienta técnica (el módulo/librería de Python). Asegúrate
     también de revisar la ortografía para un 50/50.  Conclusión: 
Tu visión sobre la relevancia de Python en Finanzas Internacionales es muy
acertada y se alinea perfectamente con los objetivos del Departamento de
Economía. El futuro analista financiero ya no puede depender solo de R o Stata;
la flexibilidad de Python es clave para la innovación. ¡Continúa con este nivel
de profundidad!</t>
  </si>
  <si>
    <t>Rúbrica de Calificación   Para garantizar la equidad en la evaluación de este ensayo
(Total: 50 puntos), se han aplicado los siguientes criterios:  
 Conexión
     con la Carrera (20 pts): Identifica aplicaciones específicas de Python
     en su campo de estudio (no generalidades). 
 Profundidad
     Argumentativa (15 pts): Explica el porqué y el cómo la
     programación aporta valor (toma de decisiones basada en datos vs.
     intuición). 
 Redacción
     y Estructura (10 pts): Claridad, cohesión y ortografía. 
 Seguimiento
     de Instrucciones (5 pts): Cumplimiento de la extensión y respuesta a
     la pregunta central. Retroalimentación:  Calificación: 50/50  Comentarios: 
Excelente trabajo. Este ensayo es un ejemplo claro de cómo conectar la teoría
académica con la aplicación práctica y estratégica en el entorno empresarial
actual. 
 Puntos
     Fuertes: 
  Argumento
      Estratégico: No solo enumeras tareas, sino que argumentas el valor de
      la automatización y la optimización como una ventaja
      competitiva, lo cual es un nivel de análisis superior. 
  Estructura
      y Claridad: La redacción es profesional, el ensayo está perfectamente
      estructurado y los argumentos fluyen de manera lógica y convincente. 
  Integridad
      Académica: La inclusión de referencias, y en particular la cita
      explícita a la IA como herramienta de apoyo, demuestra una excelente
      comprensión del uso responsable de la tecnología y una notable honestidad
      intelectual. 
 Próximo
     Desafío Intelectual: 
  Has
      identificado brillantemente el "qué" y el "porqué".
      El siguiente paso en tu desarrollo será pensar en el "con qué".
      Cuando hablas de "previsión de la demanda", empieza a
      preguntarte: ¿qué datos necesitaría (ventas históricas, estacionalidad,
      datos macroeconómicos)? ¿Qué librería de Python podría usar (como Prophet
      o Scikit-learn)? 
  Conclusión: 
Has establecido un estándar muy alto para el curso. Estoy seguro de que
transformarás esta visión estratégica en código funcional a lo largo del
semestre. ¡Felicidades!</t>
  </si>
  <si>
    <t>Etiquetas de fila</t>
  </si>
  <si>
    <t>Total general</t>
  </si>
  <si>
    <t>Etiquetas de columna</t>
  </si>
  <si>
    <t>Suma de Puntos</t>
  </si>
  <si>
    <t>Promedio de Puntos</t>
  </si>
  <si>
    <t>Total Tareas - Corte 1</t>
  </si>
  <si>
    <t>Total TALLER CORTE 1</t>
  </si>
  <si>
    <t>Total PARCIAL CORTE 1</t>
  </si>
  <si>
    <t>Total Puntos extra - Corte 1</t>
  </si>
  <si>
    <t>Inasistencia</t>
  </si>
  <si>
    <t>Nombre Estudiante</t>
  </si>
  <si>
    <t>ID Estudiante</t>
  </si>
  <si>
    <t>Notas del 20% (20%)</t>
  </si>
  <si>
    <t>Taller del 30% (30%)</t>
  </si>
  <si>
    <t>Parcial 50% (50%)</t>
  </si>
  <si>
    <t>Puntos Extra (0%)</t>
  </si>
  <si>
    <t>Total 50%</t>
  </si>
  <si>
    <t>FINAL CORTE 1</t>
  </si>
  <si>
    <t>FINAL CORTE 1 Ajustada</t>
  </si>
  <si>
    <t>CORTE 1_SIGA</t>
  </si>
  <si>
    <t>Parcial</t>
  </si>
  <si>
    <t>Taller</t>
  </si>
  <si>
    <t>Nota (máx 1 decimal)</t>
  </si>
  <si>
    <t>Inasistencias</t>
  </si>
  <si>
    <t>0000383876</t>
  </si>
  <si>
    <t>AMOROCHO QUIROGA, ARIANNE MARIANA</t>
  </si>
  <si>
    <t>0000322168</t>
  </si>
  <si>
    <t>ARCINIEGAS CARDENAS, PAULA ANDREA</t>
  </si>
  <si>
    <t>0000376719</t>
  </si>
  <si>
    <t>ARIZA QUITIAN, AVRIL AVRIL</t>
  </si>
  <si>
    <t>0000376321</t>
  </si>
  <si>
    <t>BERMUDEZ  , CRISTIAN</t>
  </si>
  <si>
    <t>0000349673</t>
  </si>
  <si>
    <t>BLANCO LLANES, LUKAS</t>
  </si>
  <si>
    <t>0000380974</t>
  </si>
  <si>
    <t>BONILLA CORREA, ALESSANDRO DI MAURO</t>
  </si>
  <si>
    <t>0000380067</t>
  </si>
  <si>
    <t>BOTERO GALVIZ, MARIA JOSE</t>
  </si>
  <si>
    <t>0000384200</t>
  </si>
  <si>
    <t>CABALLERO MANTILLA, JUAN JOSE</t>
  </si>
  <si>
    <t>0000369169</t>
  </si>
  <si>
    <t>CAMACHO PEDRAZA, DANIEL FELIPE</t>
  </si>
  <si>
    <t>0000372836</t>
  </si>
  <si>
    <t>CARMONA ROMERO, MARIANA</t>
  </si>
  <si>
    <t>0000379343</t>
  </si>
  <si>
    <t>CARRANZA TAPIERO, ISABELLA</t>
  </si>
  <si>
    <t>0000379683</t>
  </si>
  <si>
    <t>ESCOBAR HURTADO, JOSE DANIEL</t>
  </si>
  <si>
    <t>0000336717</t>
  </si>
  <si>
    <t>GIRALDO PICO, SOFIA</t>
  </si>
  <si>
    <t>0000381212</t>
  </si>
  <si>
    <t>GONZALEZ BERNAL, SAMUEL MATHIAS</t>
  </si>
  <si>
    <t>0000390827</t>
  </si>
  <si>
    <t>HERMIDA LIMAS, DIEGO ALEJANDRO</t>
  </si>
  <si>
    <t>0000367892</t>
  </si>
  <si>
    <t>HERRERA PULIDO, MARIA JULIANA</t>
  </si>
  <si>
    <t>0000387620</t>
  </si>
  <si>
    <t>HUERTAS OSORIO, MARIA JOSE</t>
  </si>
  <si>
    <t>0000382061</t>
  </si>
  <si>
    <t>LEON VARGAS, ALEJANDRA</t>
  </si>
  <si>
    <t>0000385765</t>
  </si>
  <si>
    <t>LEYTON LANCHEROS, JUAN CAMILO</t>
  </si>
  <si>
    <t>0000353491</t>
  </si>
  <si>
    <t>LINARES HERNANDEZ, VALERY</t>
  </si>
  <si>
    <t>0000368190</t>
  </si>
  <si>
    <t>LOPEZ PARRA, LAURA FERNANDA</t>
  </si>
  <si>
    <t>0000389229</t>
  </si>
  <si>
    <t>LOPEZ PIRAQUIVE, DANIEL CAMILO</t>
  </si>
  <si>
    <t>0000377835</t>
  </si>
  <si>
    <t>LOZANO HOLGUIN, SAMUEL DAVID</t>
  </si>
  <si>
    <t>0000374783</t>
  </si>
  <si>
    <t>MEJIA QUINTERO, MARIA JULIANA</t>
  </si>
  <si>
    <t>0000382894</t>
  </si>
  <si>
    <t>MONDRAGON OSORIO, MATIAS</t>
  </si>
  <si>
    <t>0000386828</t>
  </si>
  <si>
    <t>MORALES  , VALERIA</t>
  </si>
  <si>
    <t>0000378039</t>
  </si>
  <si>
    <t>NEUTA MEDINA, JUAN DAVID</t>
  </si>
  <si>
    <t>0000366628</t>
  </si>
  <si>
    <t>PEÑA RODRIGUEZ, MARIANA</t>
  </si>
  <si>
    <t>0000388792</t>
  </si>
  <si>
    <t>PERDOMO HERRERA, JUAN SEBASTIAN</t>
  </si>
  <si>
    <t>0000387801</t>
  </si>
  <si>
    <t>PEREZ DAZA, MATEO</t>
  </si>
  <si>
    <t>0000370948</t>
  </si>
  <si>
    <t>RESTREPO ALVAREZ, SIMON GUSTAVO</t>
  </si>
  <si>
    <t>0000380985</t>
  </si>
  <si>
    <t>ROBAYO JIMENEZ, CRISTOBAL</t>
  </si>
  <si>
    <t>0000391609</t>
  </si>
  <si>
    <t>ROSSOFF VANEGAS, ALAN DAVID</t>
  </si>
  <si>
    <t>0000385142</t>
  </si>
  <si>
    <t>RUIZ PEREZ, GABRIELA</t>
  </si>
  <si>
    <t>0000389968</t>
  </si>
  <si>
    <t>SALAS HINOJOSA, JUAN SEBASTIAN</t>
  </si>
  <si>
    <t>0000379999</t>
  </si>
  <si>
    <t>SIMANCAS CONTRERAS, SAMUEL DAVID</t>
  </si>
  <si>
    <t>0000356303</t>
  </si>
  <si>
    <t>TORRES CALDERON, NICOLAS</t>
  </si>
  <si>
    <t>0000381681</t>
  </si>
  <si>
    <t>TRUJILLO RODRIGUEZ, MARTIN MARTIN</t>
  </si>
  <si>
    <t>0000389382</t>
  </si>
  <si>
    <t>VANEGAS RUSSI, SAMANTHA</t>
  </si>
  <si>
    <t>0000384837</t>
  </si>
  <si>
    <t>VANOY GUTIERREZ, SEBASTIAN</t>
  </si>
  <si>
    <t>Desv</t>
  </si>
  <si>
    <t>Promedio</t>
  </si>
  <si>
    <t>Nota de 5</t>
  </si>
  <si>
    <t>Nota &lt; 3</t>
  </si>
  <si>
    <t># Estudiantes</t>
  </si>
  <si>
    <t>Entregado</t>
  </si>
  <si>
    <t>Asistencia (Corte 2)</t>
  </si>
  <si>
    <t>Asistencia Clase 5</t>
  </si>
  <si>
    <t>Retroalimentación de la Entrega: Análisis de Marketing con IAGrupo: Mateo Perez Daza, Simon Gustavo Restrepo Alvarez, Diego Alejandro Hermida Limas.Calificación Final: 50/50 (Equivalente a 5.0)Comentarios del Profesor:¡Excelente trabajo, equipo! Han demostrado un nivel de Autogestión y dominio de Prompt Engineering sobresaliente. No solo cumplieron con los requisitos, sino que elevaron la calidad técnica de la entrega.Puntos a destacar (Lo excelente):Técnica XML Avanzada: Su primer prompt es impecable. El uso de etiquetas como &amp;lt;rol&amp;gt;, &amp;lt;contexto&amp;gt;, &amp;lt;requisitos&amp;gt; y &amp;lt;formato_salida&amp;gt; es una práctica de nivel profesional que garantiza resultados precisos y reduce las "alucinaciones" de la IA. Es, hasta ahora, uno de los mejores diseños de prompt vistos en el curso.Eficiencia del Código: Me llamó la atención que la IA les generó (o ustedes auditaron para usar) List Comprehensions y expresiones generadoras (sum(cliente["gasto"] for cliente in datos_campania)). Este es un nivel de Python más avanzado y eficiente que un ciclo for tradicional, lo cual demuestra una excelente curaduría del código generado.Lógica y Filtrado: El ejercicio de filtrado para Bogotá con gasto &amp;gt; 200,000 cumple perfectamente con la lógica booleana solicitada.Orden y Limpieza: El Notebook está muy bien organizado, facilitando el "Sanity Check" de los datos.Oportunidad de Mejora:Como único detalle menor para el futuro: en el ejercicio de filtrado, asegúrense de ejecutar siempre la celda antes de exportar para que el output sea visible en el archivo final (aunque la lógica es correcta y se valida al leer el código).Motivación: Han entendido perfectamente el rol del "Arquitecto de Soluciones". Sigan utilizando la IA con este nivel de estructura y criticidad; esa es la ventaja competitiva que los diferenciará como profesionales de la EICEA en un entorno laboral automatizado. ¡Felicitaciones!Rúbrica de CalificaciónCriterio de EvaluaciónRequisito TécnicoPuntaje MáximoPuntaje ObtenidoTécnica XML (Prompt 1)Uso de etiquetas XML para definir rol, contexto e instrucciones detalladas.15.015.0Generación de Código (Prompt 2)Instrucción clara para cálculo de gasto total. Código funcional y eficiente.15.015.0Filtrado Lógico (Prompt 3)Uso correcto de condiciones and para ciudad y monto. Código validado.10.010.0Documentación y AutogestiónComentarios explicativos y estructura impecable del archivo .ipynb.10.010.0TOTAL50.050.0Diego Mauricio Zuluaga Rodríguez Profesor - Departamento de Economía Universidad de La Sabana</t>
  </si>
  <si>
    <t>Tareas - Corte 2</t>
  </si>
  <si>
    <t>Tarea 1 Clase 5 - Análisis de Marketing con IA</t>
  </si>
  <si>
    <t>Retroalimentación de la Entrega: Análisis de Marketing con IAGrupo: Juan Sebastián Salas Hinojosa, Alan David Rossoff Vanegas, Lukas Blanco Llanes.Calificación Final: 50/50 (Equivalente a 5.0)Comentarios del Profesor: Excelente trabajo, equipo. Han demostrado una gran capacidad para estructurar instrucciones complejas y validar resultados técnicos de manera eficiente. Su enfoque en la organización del prompt es de nivel profesional.Puntos Destacados:Estructura XML Superior: El uso de etiquetas anidadas (&amp;lt;contexto&amp;gt;, &amp;lt;instruccion&amp;gt;, &amp;lt;detalle&amp;gt;, &amp;lt;formato&amp;gt;) en el primer ejercicio es impecable. Esta segmentación permite que la IA entregue respuestas mucho más precisas y útiles para el negocio.Código Eficiente: Noté que el código generado utiliza List Comprehensions (ej. sum(cliente["gasto"] for cliente in datos_campania)). Esta es una técnica avanzada en Python que optimiza el procesamiento de datos, lo cual demuestra que auditaron y aceptaron una solución de alta calidad sugerida por la IA.Validación: Los resultados impresos en la consola coinciden exactamente con los requerimientos lógicos de la campaña.Motivación: Dominar el Prompt Engineering con este nivel de detalle les da una ventaja competitiva enorme. No solo están aprendiendo a programar, están aprendiendo a dirigir herramientas de vanguardia para obtener resultados de negocio en segundos. ¡Sigan con esa rigurosidad!Rúbrica de CalificaciónCriterio de EvaluaciónRequisito TécnicoPuntaje MáximoPuntaje ObtenidoTécnica XML (Prompt 1)Uso avanzado de etiquetas para segmentar contexto, instrucción y formato.15.015.0Generación de Código (Prompt 2)Instrucción clara y uso de funciones eficientes para el cálculo del total.15.015.0Filtrado Lógico (Prompt 3)Implementación correcta de filtros anidados (Ciudad + Gasto).10.010.0Documentación y AutogestiónComentarios explicativos y ejecución exitosa en formato .ipynb.10.010.0TOTAL50.050.0Diego Mauricio Zuluaga Rodríguez Profesor - Departamento de Economía Universidad de La Sabana</t>
  </si>
  <si>
    <t>Retroalimentación de la Entrega: Análisis de Marketing con IAGrupo: Martin Martin Trujillo Rodriguez, Daniel Camilo Lopez Piraquive, Juan Jose Caballero Mantilla.Calificación Final: 50/50 (Equivalente a 5.0)Comentarios del Profesor: Excelente trabajo, equipo. Han cumplido con rigor cada uno de los parámetros de autogestión y técnica solicitados. Destaco especialmente la calidad del código generado por la IA bajo su supervisión, ya que utiliza estructuras avanzadas y eficientes.Puntos Destacados:Técnica XML: El uso de las etiquetas &amp;lt;instruccion&amp;gt; en el primer ejercicio es correcto y permite delimitar claramente el contexto para el asistente de IA.Eficiencia del Código: Es muy valioso que el código resultante utilice funciones integradas como sum() con expresiones generadoras y list comprehensions para el filtrado. Esto demuestra que, además de usar la IA, validaron que el código fuera "Pythónico" y de alto nivel.Documentación: Cada celda cuenta con comentarios claros que explican la intención del bloque, facilitando la trazabilidad del análisis.Validación: Los resultados impresos coinciden exactamente con la lógica del dataset proporcionado, lo que confirma un proceso de auditoría exitoso.Motivación: Han demostrado que saben guiar a la IA para obtener no solo resultados funcionales, sino código optimizado. Esta capacidad de "curaduría de código" es lo que diferencia a un usuario básico de un analista proactivo. ¡Sigan aplicando este nivel de detalle en los próximos módulos de bases de datos!Rúbrica de CalificaciónCriterio de EvaluaciónRequisito TécnicoPuntaje MáximoPuntaje ObtenidoTécnica XML (Prompt 1)Uso correcto de etiquetas XML para definir el contexto y explicar el dataset.15.015.0Generación de Código (Prompt 2)Instrucción precisa para el cálculo total. Uso de sum() eficiente.15.015.0Filtrado Lógico (Prompt 3)Instrucción precisa para filtrar por ciudad y gasto. Uso de list comprehension.10.010.0Documentación y AutogestiónComentarios explicativos en cada bloque y formato .ipynb correcto.10.010.0TOTAL50.050.0Diego Mauricio Zuluaga Rodríguez Profesor - Departamento de Economía Universidad de La Sabana</t>
  </si>
  <si>
    <t>Retroalimentación de la Entrega: Análisis de Marketing con IAGrupo: Samuel David Simancas Contreras, Juan Sebastian Perdomo Herrera, Daniel Felipe Camacho Pedraza.Calificación Final: 40/50 (Equivalente a 4.0)Comentarios del Profesor: Equipo, han entregado un trabajo con una ejecución técnica de los resultados muy alta. El código generado y validado por ustedes es eficiente y la presentación de los datos en la consola es impecable, utilizando formatos de tabla y alineaciones que facilitan la lectura profesional.Puntos Destacados:Calidad del Código: El uso de generadores para la suma (sum(cliente["gasto"] for cliente in datos_campania)) y de list comprehensions para el filtrado demuestra que auditaron el código de la IA para que fuera óptimo y moderno.Presentación (UX): La forma en que formatearon las salidas con f-strings y separadores visuales es de nivel profesional.Oportunidades de Mejora (Crítico para la competencia de Autogestión):Prompt Engineering (XML): El objetivo central de esta tarea era practicar la estructura de las instrucciones. Las instrucciones solicitaban explícitamente el uso de etiquetas XML (&amp;lt;instruccion&amp;gt;) para definir el contexto en el Prompt 1, lo cual no se evidencia en el notebook.Visibilidad de los Prompts: No incluyeron los textos de los prompts (las preguntas) que le hicieron a la IA dentro de las celdas de Markdown o comentarios. Como "Arquitectos de Soluciones", el proceso (la pregunta) es tan importante como el producto (el código). En futuras entregas, asegúrense de mostrar la instrucción exacta enviada al asistente.Motivación: Tienen una capacidad técnica sobresaliente para validar y mejorar lo que la IA produce. Si logran combinar esa destreza con una estructura de comunicación (prompts) más rigurosa y siguiendo los lineamientos de formato, sus proyectos serán de los mejores del curso. ¡Sigan así!Rúbrica de CalificaciónCriterio de EvaluaciónRequisito TécnicoPuntaje MáximoPuntaje ObtenidoTécnica XML (Prompt 1)Uso de etiquetas XML y contexto de analista experto.15.08.0Generación de Código (Prompt 2)Instrucción para cálculo total y ejecución correcta.15.012.0Filtrado Lógico (Prompt 3)Instrucción para filtrado (Bogotá + Gasto) y ejecución.10.010.0Documentación y AutogestiónComentarios en el código y formato profesional de salida.10.010.0TOTAL50.040.0Diego Mauricio Zuluaga Rodríguez Profesor - Departamento de Economía Universidad de La Sabana</t>
  </si>
  <si>
    <t>Retroalimentación de la Entrega: Análisis de Marketing con IAGrupo: Gabriela Ruiz Perez, Maria Jose Huertas Osorio, Alessandro Di Mauro Bonilla Correa.Calificación Final: 48/50 (Equivalente a 4.8)Comentarios del Profesor:Buen trabajo, equipo. Han cumplido con los objetivos técnicos de la actividad, demostrando que pueden guiar a la IA para obtener resultados específicos y funcionales.Puntos Destacados:Técnica XML: El uso de las etiquetas &amp;lt;instruccion&amp;gt; en el primer prompt es correcto y sigue los lineamientos de estructura vistos en clase.Funcionalidad: El código generado para el cálculo del gasto total y el filtrado de clientes en Bogotá es totalmente funcional y arroja los resultados esperados.Lógica de Programación: Se observa un uso adecuado de ciclos for y operadores lógicos and, lo cual es fundamental para el análisis de datos.Oportunidades de Mejora (Autogestión y UX):Formato de Salida: En el análisis de marketing y finanzas, la presentación de los datos es clave. Les sugiero utilizar f-strings para dar formato de moneda a los resultados (ej: $745,000.00 en lugar de 745000). Esto facilita la lectura para el usuario final.Profundidad en la Documentación: Aunque incluyeron comentarios, estos son muy generales. Como "Arquitectos de Soluciones", deben explicar brevemente cómo la IA resolvió el problema (ej: "Se utiliza un acumulador para sumar los valores de la clave gasto").Motivación: Tienen una base sólida para trabajar con asistentes de IA. No se queden solo con lo que la IA les entrega; sigan puliendo la presentación de sus reportes para que sus análisis tengan un impacto profesional real. ¡Buen inicio de corte!Rúbrica de CalificaciónCriterio de EvaluaciónRequisito TécnicoPuntaje MáximoPuntaje ObtenidoTécnica XML (Prompt 1)Uso correcto de etiquetas y explicación de la estructura de datos.15.015.0Generación de Código (Prompt 2)Instrucción para cálculo total. Código funcional y ejecutado.15.015.0Filtrado Lógico (Prompt 3)Instrucción para filtrar por ciudad y gasto. Código funcional.10.010.0Documentación y AutogestiónComentarios explicativos y formato de entrega (.ipynb).10.08.0TOTAL50.048.0Diego Mauricio Zuluaga Rodríguez Profesor - Departamento de Economía Universidad de La Sabana</t>
  </si>
  <si>
    <t>Retroalimentación de la Entrega: Análisis de Marketing con IAIntegrantes: Samantha Vanegas Russi y Avril Ariza Quitian.Calificación Final: 45/50 (Nota: Puntaje perfecto de 50/50 en la ejecución técnica, con una penalización de -5 puntos por entrega extemporánea de 22 minutos).Comentarios del Profesor:Buen trabajo, equipo. Han logrado aplicar con éxito la metodología de Prompt Engineering para resolver problemas de análisis de datos. La estructura del archivo es limpia y los resultados son precisos.Puntos Destacados:Técnica XML: El uso de las etiquetas &amp;lt;instruccion&amp;gt; en el primer prompt fue correcto. Definir el rol ("Actúa como un profesor") ayudó a que la IA entregara una explicación pedagógica y contextualizada al marketing.Eficiencia en el Código: En el Ejercicio 2, la IA generó una solución muy eficiente utilizando una expresión generadora dentro de la función sum(). Esto demuestra que supieron guiar a la IA hacia soluciones óptimas.Lógica de Filtrado: El Ejercicio 3 cumple perfectamente con las condiciones lógicas solicitadas (Bogotá AND &amp;gt; 200,000), y el código fue validado y ejecutado correctamente.Oportunidad de Mejora (Autogestión):Gestión del Tiempo: La tarea fue entregada 22 minutos después de la hora límite. En el entorno profesional y en este curso, el cumplimiento de los cronogramas es una métrica crítica de autogestión. Les invito a organizar sus tiempos de revisión final para evitar penalizaciones en futuras entregas.Formato de Salida: Para el Ejercicio 2, podrían haber solicitado a la IA que incluyera formato de moneda (separadores de miles) para mejorar la legibilidad financiera del reporte.Motivación: Tienen una excelente capacidad para estructurar instrucciones. Sigan practicando la validación crítica del código generado; esa es la habilidad que las diferencia de un usuario común y las convierte en analistas de alto nivel. ¡Buen inicio de corte!Rúbrica de CalificaciónCriterio de EvaluaciónRequisito TécnicoPuntaje MáximoPuntaje ObtenidoTécnica XML (Prompt 1)Uso de etiquetas XML y definición de rol/contexto.15.015.0Generación de Código (Prompt 2)Instrucción para cálculo total. Código funcional y eficiente.15.015.0Filtrado Lógico (Prompt 3)Instrucción para filtrado doble. Código funcional y validado.10.010.0Documentación y FormatoComentarios explicativos y entrega en formato .ipynb.10.010.0PenalizaciónEntrega extemporánea (22 minutos tarde)-5.0-5.0TOTAL50.045.0Diego Mauricio Zuluaga Rodríguez Profesor - Departamento de Economía Universidad de La Sabana</t>
  </si>
  <si>
    <t>Retroalimentación de la Entrega: Análisis de Marketing con IAGrupo: Paula Andrea Arciniegas Cárdenas, Valeria Morales, Isabella Carranza Tapiero.Calificación Final: 50/50 (Equivalente a 5.0)Comentarios del Profesor: ¡Excelente trabajo, equipo! Han cumplido a cabalidad con el objetivo de la sesión: actuar como "Arquitectas de Soluciones" guiando a la Inteligencia Artificial de forma estructurada y auditando sus resultados.Puntos Destacados:Prompt Engineering (XML): La aplicación de las etiquetas &amp;lt;instruccion&amp;gt; en el Ejercicio 1 fue correcta. Lograron que la IA desglosara la estructura de datos de forma muy clara, incluso generando una tabla explicativa de los tipos de datos (str, int) y su utilidad en el ROI.Validación de Código Avanzado: En los Ejercicios 2 y 3, la IA les generó código utilizando "Comprensión de Listas" ([cliente for cliente in...]) y expresiones generadoras dentro de la función sum(). Estas son estructuras avanzadas de Python que hacen el código mucho más eficiente. El hecho de que lo hayan ejecutado y validado correctamente demuestra que están utilizando la IA para aprender y optimizar, no solo para copiar y pegar.Autogestión y Orden: El Notebook está perfectamente estructurado, separando los prompts en celdas de Markdown y las ejecuciones en celdas de código con sus respectivos comentarios.Motivación: Saber programar es importante, pero saber pedirle a una máquina que programe por ustedes y auditar que lo haga bien, es el verdadero superpoder en el mercado laboral actual. Han demostrado una excelente capacidad de adaptación tecnológica. ¡Sigan con este nivel de rigurosidad para los proyectos que vienen con Bases de Datos!Rúbrica de CalificaciónCriterio de EvaluaciónRequisito TécnicoPuntaje MáximoPuntaje ObtenidoTécnica XML (Prompt 1)Uso correcto de etiquetas para definir el contexto y explicación clara de la estructura de datos.15.015.0Generación de Código (Prompt 2)Instrucción precisa para calcular el total. Código funcional, documentado y ejecutado.15.015.0Filtrado Lógico (Prompt 3)Instrucción precisa para filtrar por ciudad y gasto. Código funcional, documentado y ejecutado.10.010.0Documentación y AutogestiónComentarios en el código generado y formato de entrega correcto (.ipynb).10.010.0TOTAL50.050.0Diego Mauricio Zuluaga Rodríguez Profesor - Departamento de Economía Universidad de La Sabana</t>
  </si>
  <si>
    <t>Retroalimentación de la Entrega: Análisis de Marketing con IAGrupo: Sebastian Vanoy Gutierrez, Samuel David Lozano Holguin, Samuel Mathias Gonzalez Bernal.Calificación Final: 50/50 (Equivalente a 5.0)Comentarios del Profesor: Excelente ejecución, equipo. Han demostrado no solo un dominio técnico de las herramientas de IA, sino una capacidad crítica de Autogestión que es fundamental en este curso.Puntos Destacados:Técnica XML: El uso de las etiquetas &amp;lt;instruccion&amp;gt; y &amp;lt;explicacion&amp;gt; fue impecable. La descripción de la estructura de datos (lista de diccionarios) es precisa y los ejemplos de acceso por índice y clave demuestran que comprenden la jerarquía de los datos.Eficiencia en el Código: El uso de funciones integradas como sum() con expresiones generadoras para el cálculo del total y comprensiones de lista para el filtrado muestra un nivel de programación avanzado y limpio.Sanity Check (Validación): Lo más valioso de su entrega son las celdas de validación manual. No se limitaron a confiar en lo que la IA generó; crearon pruebas lógicas para confirmar que los resultados (True) coincidieran con lo esperado. Este es el comportamiento exacto de un "Arquitecto de Soluciones".Documentación: El archivo es legible, está bien organizado y cumple con la declaración de autoría solicitada.Motivación: Sigan aplicando este rigor. La IA es un copiloto potente, pero el éxito de un proyecto depende del humano que audita y valida los resultados. Han superado el reto de hoy con excelencia. ¡Felicitaciones!Rúbrica de CalificaciónCriterio de EvaluaciónRequisito TécnicoPuntaje MáximoPuntaje ObtenidoTécnica XML (Prompt 1)Uso correcto de etiquetas y explicación clara de la estructura de datos.15.015.0Generación de Código (Prompt 2)Instrucción precisa para calcular el total. Código funcional y eficiente.15.015.0Filtrado Lógico (Prompt 3)Instrucción precisa para filtrar por ciudad y gasto. Resultado correcto.10.010.0Autogestión y ValidaciónInclusión de "Sanity Checks" y comentarios explicativos en el Notebook.10.010.0TOTAL50.050.0Diego Mauricio Zuluaga Rodríguez Profesor - Departamento de Economía Universidad de La Sabana</t>
  </si>
  <si>
    <t>Retroalimentación de la Entrega: Análisis de Marketing con IAGrupo: Cristian Bermudez, Camilo Leyton, Nicolas Torres.Calificación Final: 35/50 (Equivalente a 3.5)Comentarios del Profesor:Equipo, han entregado un trabajo que cumple con los resultados técnicos (los cálculos son correctos), pero que presenta debilidades importantes en el cumplimiento de la metodología de Autogestión y Prompt Engineering solicitada en la guía.Puntos a destacar:Eficiencia en el Código: El uso de List Comprehensions y la función sum() demuestra un nivel técnico avanzado y un código muy "pythónico". Los resultados de los ejercicios 2 y 3 son exactos.Trabajo en Equipo: Se identifica claramente a los integrantes y el cumplimiento del formato de entrega.Oportunidades de Mejora (Críticas para el cumplimiento de la rúbrica):Falla en la Técnica XML: En el Ejercicio 1, se limitaron a imprimir el texto del prompt dentro de una variable. El objetivo de la tarea era ejecutar el prompt en la IA y mostrar la explicación detallada que la IA generaba sobre el dataset. Se quedaron en la pregunta, pero no mostraron la respuesta analítica.Ausencia de Prompts: Las instrucciones exigían explícitamente: "Escribe aquí tu prompt para Copilot". En los ejercicios 2 y 3 no incluyeron el texto de la instrucción enviada a la IA, solo pusieron el código final. Como "Arquitectos de Soluciones", la parte más importante de esta tarea es la pregunta, no solo el código.Falta de Documentación de la IA: Se solicitó documentar cada celda explicando qué acción realiza la IA (Sanity Check). Al omitir esto, no hay evidencia de que hayan auditado la lógica del código generado.Motivación: Tienen una capacidad técnica muy buena, pero en este corte evaluamos la interacción estratégica con la tecnología. Programar es importante, pero saber guiar a la IA y documentar su proceso es lo que les dará la ventaja competitiva en el mercado actual. Los invito a ser mucho más rigurosos con el seguimiento de instrucciones en la próxima entrega.Rúbrica de CalificaciónCriterio de EvaluaciónRequisito TécnicoPuntaje MáximoPuntaje ObtenidoTécnica XML (Prompt 1)Uso de etiquetas XML, pero no se muestra la respuesta/explicación de la IA.15.010.0Generación de Código (Prompt 2)Código correcto y eficiente, pero no se incluye el texto del prompt utilizado.15.012.0Filtrado Lógico (Prompt 3)Código funcional, pero no se incluye el texto del prompt utilizado.10.08.0Documentación y AutogestiónNo se incluyeron los comentarios explicativos de la lógica de la IA (Sanity Check).10.05.0TOTAL50.035.0Diego Mauricio Zuluaga Rodríguez Profesor - Departamento de Economía Universidad de La Sabana</t>
  </si>
  <si>
    <t>Retroalimentación de la Entrega: Análisis de Marketing con IAIntegrantes: Juan David Neuta Medina, Laura Fernanda Lopez Parra, Jose Daniel Escobar Hurtado.Calificación Final: 50/50 (Equivalente a 5.0)Comentarios del Profesor:Estimados Juan David, Laura Fernanda y Jose Daniel, han entregado un trabajo que no solo cumple con los requisitos, sino que supera con creces las expectativas técnicas del curso. Han demostrado una capacidad de Autogestión y una curiosidad técnica excepcional al integrar herramientas avanzadas de análisis de datos.Puntos Destacados:Arquitectura de Software (POO): Es impresionante ver cómo decidieron encapsular la lógica en una clase llamada CampaniaMarketing. Esto demuestra que han asimilado los conceptos de Programación Orientada a Objetos vistos en las últimas sesiones y los han aplicado para organizar el análisis de forma profesional.Innovación Técnica: El uso de la librería pandas para la manipulación de datos y matplotlib para la visualización gráfica es un valor agregado de alto nivel. El gráfico de barras generado permite realizar un "Sanity Check" visual inmediato de la distribución del gasto por ciudad.Experiencia de Usuario (UX): La implementación de un Dashboard interactivo en HTML dentro del Notebook es un detalle de nivel consultoría. En el mundo de la Economía y la Administración, presentar los datos de forma estética y clara es tan importante como el cálculo mismo.Prompt Engineering: Sus instrucciones a la IA fueron precisas, permitiendo que el código generado fuera eficiente (uso de list comprehensions y métodos de agregación de Pandas).Motivación:Este es el estándar de excelencia que buscamos en la EICEA. No se limitaron a ser usuarios de la IA, se comportaron como Arquitectos de Soluciones. Sigan explorando la integración de Python con visualización de datos, ya que esta habilidad los pondrá a la vanguardia en cualquier entorno profesional de toma de decisiones. ¡Felicitaciones por este resultado sobresaliente!Rúbrica de CalificaciónCriterio de EvaluaciónRequisito TécnicoPuntaje MáximoPuntaje ObtenidoTécnica XML (Prompt 1)Uso correcto de etiquetas XML para definir contexto y rol de analista experto.10.010.0Validación y AuditoríaEl código es robusto, funcional y utiliza librerías avanzadas (Pandas/Matplotlib).15.015.0DocumentaciónComentarios detallados y celdas Markdown con explicaciones claras del proceso.10.010.0Funcionalidad y LógicaResolución perfecta de cálculos de gasto total y filtrado por ciudad/monto.15.015.0TOTAL50.050.0Diego Mauricio Zuluaga Rodríguez Profesor - Departamento de Economía Universidad de La Sabana</t>
  </si>
  <si>
    <t>Retroalimentación de la Entrega: Análisis de Marketing con IAGrupo: Matías Mondragón Osorio, Arianne Amorocho, Mariana Peña.Calificación Final: 50/50 (Equivalente a 5.0)Comentarios del Profesor: ¡Excelente
 trabajo, equipo! Han demostrado una comprensión profunda de lo que 
significa ser "Arquitectos de Soluciones". No se limitaron a pedirle a 
la IA que hiciera el trabajo, sino que le dieron instrucciones precisas y
 auditaron el resultado.Puntos Destacados:Prompt Engineering (XML): El uso de la etiqueta &amp;lt;instruccion&amp;gt;
 en el Ejercicio 1 fue impecable. Al pedirle a la IA que actuara como un
 "analista de datos experto", lograron que la explicación de la lista de
 diccionarios tuviera un enfoque de negocio (ROI, segmentación), lo cual
 es brillante para sus carreras.Precisión en las Instrucciones:
 En los Ejercicios 2 y 3, sus prompts fueron muy específicos. Pedir 
explícitamente el uso de un "ciclo for", "condicionales lógicos" y 
"formato de moneda" garantizó que la IA generara código limpio y 
alineado con lo que hemos visto en clase.Auditoría y Documentación: El código generado está perfectamente comentado y ejecutado sin errores. El filtrado con el operador and funciona a la perfección.Motivación: Esta
 es exactamente la mentalidad que busca el mercado laboral actual. Las 
empresas no pagan por saber escribir código de memoria, pagan por saber 
resolver problemas utilizando las mejores herramientas disponibles de 
forma crítica y estructurada. ¡Sigan con este nivel de excelencia!Rúbrica de CalificaciónCriterio de EvaluaciónRequisito TécnicoPuntaje MáximoPuntaje ObtenidoTécnica XML (Prompt 1)Uso correcto de etiquetas para definir el contexto y explicación clara de la estructura de datos.15.015.0Generación de Código (Prompt 2)Instrucción precisa para calcular el total. Código funcional y ejecutado.15.015.0Filtrado Lógico (Prompt 3)Instrucción precisa para filtrar por ciudad y gasto. Código funcional y ejecutado.10.010.0Documentación y AutogestiónComentarios en el código generado y formato de entrega correcto (.ipynb).10.010.0TOTAL50.050.0Diego Mauricio Zuluaga Rodríguez Profesor - Departamento de Economía Universidad de La Sabana</t>
  </si>
  <si>
    <t>⚠️ Reporte de No Entrega: Tarea 1
Clase 5 - Análisis de Marketing con IA  Estimado Camacho Pedraza, Daniel Felipe,  Al realizar el cierre de calificaciones en Teams, he
identificado que no registraste la entrega de la Tarea 1 de la Clase 5
(Análisis de Marketing con IA), cuyo plazo venció el pasado 11 de marzo.  Como lo establece nuestro Syllabus y el contrato
pedagógico firmado al inicio del semestre, el cumplimiento de los cronogramas
es un pilar fundamental de la competencia de Autogestión que buscamos
desarrollar en este curso. En el mundo profesional, y especialmente en roles de
toma de decisiones y tecnología, la puntualidad en los entregables es
innegociable.  Debido a la falta de evidencia en el buzón, tu calificación
para esta actividad es de 0.0.  Te invito a reflexionar sobre tu organización del tiempo y a
revisar los próximos checkpoints y tareas del Corte 2 para evitar que tu
promedio se vea afectado nuevamente. Recuerda que cada entrega de bajo peso es
un entrenamiento para los retos grandes del semestre.  Quedo atento a tu desempeño en las próximas sesiones.  Atentamente, Diego Mauricio Zuluaga Rodríguez 
Profesor - Departamento de Economía 
Universidad de La Sabana</t>
  </si>
  <si>
    <t>Retroalimentación de la Entrega: Introducción a la POO y Prompt EngineeringIntegrantes: Maria Juliana Herrera Pulido y Mariana Carmona Romero.Calificación Final: 50/50 (Equivalente a 5.0)Comentarios del Profesor:Equipo, han entregado un Notebook sumamente organizado que demuestra no solo el seguimiento riguroso de la clase, sino una capacidad de abstracción muy valiosa para sus perfiles profesionales.Puntos Destacados:Dominio de la POO: La implementación de la clase ClienteBancario es impecable. El uso de condicionales dentro del método retirar para validar el saldo es el núcleo de la lógica de negocios que buscamos en este curso.Abstracción de Datos (Clase Estudiante): Su propuesta para el sistema universitario es muy completa. Identificaron atributos clave (código, programa, promedio) y justificaron correctamente su importancia para la toma de decisiones institucionales. Este es el primer paso para diseñar bases de datos robustas.Prompt Engineering: El uso de la técnica XML (&amp;lt;instruccion&amp;gt;) fue ejecutado correctamente. Los prompts diseñados para el cálculo del gasto total y el filtrado de clientes en Bogotá son precisos, lo que permitió que el código generado fuera funcional y libre de errores.Autogestión y Orden: El archivo es fácil de leer, está bien documentado y refleja un proceso de aprendizaje paso a paso.Oportunidad de Mejora: En el ejercicio de la clase Producto, noté que redefinieron la clase en el Bloque 3. Recuerden que en un entorno de producción real (archivos .py), solemos definir la clase completa una sola vez con todos sus métodos para mantener la integridad del código.Motivación: Tienen una base lógica muy sólida. Entender cómo los objetos agrupan datos y acciones les permitirá, en las próximas clases, conectar este conocimiento con bases de datos SQL de manera fluida. ¡Sigan con ese nivel de detalle y excelencia!Rúbrica de CalificaciónCriterio de EvaluaciónRequisito TécnicoPuntaje MáximoPuntaje ObtenidoFundamentos de POOImplementación correcta de clases, constructor (__init__) y métodos.15.015.0Capacidad de AbstracciónIdentificación de atributos y relevancia de la clase "Estudiante".10.010.0Prompt EngineeringUso de etiquetas XML y prompts precisos para análisis de datos.15.015.0Documentación y FormatoUso de Markdown, comentarios en el código y entrega en .ipynb.10.010.0TOTAL50.050.0Diego Mauricio Zuluaga Rodríguez Profesor - Departamento de Economía Universidad de La Sabana</t>
  </si>
  <si>
    <t>Retroalimentación de la Entrega: Análisis de Marketing con IAGrupo: Alejandra Leon Vargas, Sofia Giraldo Pico.Calificación Final: 45/50 (Equivalente a 4.5)Comentarios del Profesor:Buen trabajo, equipo. Han logrado aplicar correctamente la metodología de Prompt Engineering para resolver problemas de análisis de datos. El código generado por la IA y auditado por ustedes es eficiente y utiliza estructuras avanzadas de Python.Puntos Destacados:Técnica XML: El uso de las etiquetas &amp;lt;instruccion&amp;gt; en el primer ejercicio fue correcto, permitiendo que la IA estructurara una explicación clara sobre la jerarquía de los datos (Lista &amp;gt; Diccionario &amp;gt; Claves).Eficiencia del Código: Me parece excelente que hayan validado el uso de la función sum() con una expresión generadora en el Ejercicio 2 y la list comprehension (comprensión de listas) en el Ejercicio 3. Estas son formas muy "Pythónicas" y profesionales de escribir código, lo que demuestra que auditaron el resultado de la IA con criterio.Lógica de Negocio: El filtrado por ciudad y monto cumple exactamente con los requerimientos técnicos solicitados para un análisis de clientes de alto valor.Oportunidad de Mejora y Autogestión:Puntualidad: La tarea fue entregada 24 minutos tarde. En este curso, la competencia de Autogestión es fundamental y el cumplimiento de los cronogramas es un requisito innegociable para la excelencia. Por esta razón, se aplica la penalización de -5 puntos sobre la nota final.Documentación: Aunque el código es limpio, podrían haber solicitado a la IA que incluyera el formato de moneda (:,.2f) en los resultados impresos para mejorar la visualización financiera, tal como se vio en las sesiones anteriores.Motivación: Tienen una gran capacidad para guiar a la IA hacia soluciones técnicas elegantes. Si logran ajustar sus tiempos de entrega para cumplir con la rigurosidad del cronograma, su desempeño en este segundo corte será sobresaliente. ¡Sigan explorando el potencial de estas herramientas!Rúbrica de CalificaciónCriterio de EvaluaciónRequisito TécnicoPuntaje MáximoPuntaje ObtenidoTécnica XML (Prompt 1)Uso correcto de etiquetas y explicación de la estructura de datos.15.015.0Generación de Código (Prompt 2)Instrucción precisa y código funcional para cálculo de totales.15.015.0Filtrado Lógico (Prompt 3)Instrucción precisa y código funcional para filtrado de datos.10.010.0Documentación y FormatoComentarios explicativos y entrega en archivo .ipynb.10.010.0PenalizaciónEntrega extemporánea (24 minutos tarde).-5.0-5.0TOTAL50.045.0Diego Mauricio Zuluaga Rodríguez Profesor - Departamento de Economía Universidad de La Sabana</t>
  </si>
  <si>
    <t>Retroalimentación de la Entrega: Análisis de Marketing con IAIntegrantes:Maria Juliana Mejia QuinteroValery Linares HernandezMaria Jose Botero GalvizCalificación Final: 50/50 (Equivalente a 5.0)Comentarios del Profesor:¡Excelente trabajo, equipo! Han demostrado un nivel de Autogestión y pensamiento crítico superior al promedio. No solo cumplieron con los requerimientos técnicos, sino que elevaron la calidad de la solución mediante una estructura de prompts muy profesional y una validación de código robusta.Puntos Destacados:Dominio de la Técnica XML: El primer prompt está perfectamente estructurado. El uso de etiquetas como &amp;lt;rol&amp;gt;, &amp;lt;contexto&amp;gt; y &amp;lt;reglas&amp;gt; es una práctica de Prompt Engineering avanzada que garantiza respuestas precisas y útiles para el negocio.Lógica de Programación Defensiva: Me impresionó gratamente la función filtrar_clientes_bogota. Implementar casefold() y validar tanto "bogotá" (con tilde) como "bogota" (sin tilde) demuestra que entienden los problemas reales de los datos en Colombia. Esto es un "Sanity Check" de nivel profesional.Arquitectura de Soluciones: El uso de funciones (def) para organizar el código generado por la IA hace que el script sea reutilizable y limpio, facilitando cualquier auditoría posterior.Documentación: Cada bloque de código cuenta con comentarios claros que explican la acción realizada, cumpliendo a cabalidad con la regla de "hacer visible el proceso".Motivación: Sigan por este camino. Han entendido que la IA es un multiplicador de su capacidad, pero que el control de calidad y la lógica final siempre dependen del analista. Con este nivel de atención al detalle, están más que preparadas para los retos de integración de bases de datos que vienen en el curso. ¡Felicitaciones!Rúbrica de CalificaciónCriterio de EvaluaciónRequisito TécnicoPuntaje MáximoPuntaje ObtenidoTécnica XML (Prompt 1)Estructura de etiquetas clara y definición de contexto/rol impecable.15.015.0Generación de Código (Prompt 2)Cálculo manual (sin sum()) ejecutado correctamente mediante funciones.15.015.0Filtrado Lógico (Prompt 3)Uso de condicionales y normalización de texto (tildes/mayúsculas).10.010.0Documentación y AutogestiónComentarios explicativos y formato .ipynb perfectamente organizado.10.010.0TOTAL50.050.0Diego Mauricio Zuluaga Rodríguez Profesor - Departamento de Economía Universidad de La Sabana</t>
  </si>
  <si>
    <t>⚠️ Reporte de No Entrega: Tarea 1
Clase 5 - Análisis de Marketing con IA  Estimado Carmona Romero, Mariana,  Al realizar el cierre de calificaciones en Teams, he
identificado que no registraste la entrega de la Tarea 1 de la Clase 5
(Análisis de Marketing con IA), cuyo plazo venció el pasado 11 de marzo.  Como lo establece nuestro Syllabus y el contrato
pedagógico firmado al inicio del semestre, el cumplimiento de los cronogramas
es un pilar fundamental de la competencia de Autogestión que buscamos
desarrollar en este curso. En el mundo profesional, y especialmente en roles de
toma de decisiones y tecnología, la puntualidad en los entregables es
innegociable.  Debido a la falta de evidencia en el buzón, tu calificación
para esta actividad es de 0.0.  Te invito a reflexionar sobre tu organización del tiempo y a
revisar los próximos checkpoints y tareas del Corte 2 para evitar que tu
promedio se vea afectado nuevamente. Recuerda que cada entrega de bajo peso es
un entrenamiento para los retos grandes del semestre.  Quedo atento a tu desempeño en las próximas sesiones.  Atentamente, Diego Mauricio Zuluaga Rodríguez 
Profesor - Departamento de Economía 
Universidad de La Sabana</t>
  </si>
  <si>
    <t>Retroalimentación de la Entrega: Mi Primer Análisis con IA (Prompt Engineering)Grupo: Simon Gustavo Restrepo Alvarez, Mateo Perez Daza, Diego Alejandro Hermida Limas.Calificación Final: 48/50 (Equivalente a 4.8)Comentarios del Profesor: Excelente trabajo, equipo. Han llevado el uso de etiquetas XML a un nivel superior de organización, lo cual facilita enormemente la comunicación con los modelos de lenguaje. Se nota un esfuerzo por estructurar la lógica antes de solicitar el código.Puntos Destacados:Estructura XML Avanzada: El uso de etiquetas anidadas como &amp;lt;contexto&amp;gt;, &amp;lt;tarea&amp;gt; e &amp;lt;instrucciones&amp;gt; con sub-etiquetas &amp;lt;paso&amp;gt; es impecable. Es una de las mejores aplicaciones de la técnica vista en clase.Lógica de Programación: El código generado es eficiente. El uso de una "comprensión de lista" en el ejercicio de conteo (sum(1 for venta in...)) demuestra que supieron guiar a la IA hacia soluciones elegantes.Funcionalidad: Todos los bloques de código se ejecutaron correctamente y los resultados coinciden con el dataset proporcionado.Oportunidad de Mejora:Documentación de Salida: En la última parte del ejercicio, incluyeron los prompts XML para solicitar explicaciones a la IA, pero no adjuntaron la respuesta/explicación generada por la IA en celdas de Markdown. El objetivo del Prompt Engineering es obtener y validar esa información para el usuario final. En esta ocasión, el notebook quedó con los "pedidos" pero sin el "resultado" de la explicación.Motivación: Tienen una capacidad analítica muy alta para estructurar problemas complejos. Sigan practicando la validación de las respuestas de la IA; no se queden solo con el código, sino asegúrense de que las explicaciones que ella da sean claras para alguien que no sabe programar. ¡Van por muy buen camino!Rúbrica de CalificaciónCriterio de EvaluaciónRequisito TécnicoPuntaje MáximoPuntaje ObtenidoEstructura (Prompt Engineering)Uso excepcional de etiquetas XML anidadas y prompts claros.15.015.0Funcionalidad PythonCódigo funcional, eficiente y resultados correctos en las 4 tareas.15.015.0DocumentaciónSe incluyeron prompts de explicación, pero faltó el output de la IA.10.08.0Autogestión y PresentaciónEntrega puntual, nombres claros y buen manejo del entorno .ipynb.10.010.0TOTAL50.048.0Diego Mauricio Zuluaga Rodríguez Profesor - Departamento de Economía Universidad de La Sabana</t>
  </si>
  <si>
    <t>Tarea 2 Clase 5 - Mi Primer Análisis con IA (Prompt Engineering)</t>
  </si>
  <si>
    <t>Retroalimentación de la Entrega: Mi Primer Análisis con IA (Prompt Engineering)Grupo: Juan Sebastian Salas Hinojosa, Alan David Rossoff Vanegas, Lukas Blanco Llanes.Calificación Final: 50/50 (Equivalente a 5.0)Comentarios del Profesor:¡Excelente trabajo, equipo! Han llevado el concepto de Prompt Engineering y el uso de XML a un nivel de sofisticación técnica sobresaliente. No solo cumplieron con los requisitos básicos, sino que estructuraron una metodología de documentación que garantiza la transparencia total entre la instrucción dada a la IA y el código resultante.Puntos Destacados (Lo excelente):Arquitectura XML Avanzada: El uso de etiquetas personalizadas como &amp;lt;trazabilidad&amp;gt;, &amp;lt;linea&amp;gt; y &amp;lt;como_se_creo&amp;gt; es brillante. Han creado un sistema de auditoría de código que permite entender exactamente de qué parte del prompt nació cada instrucción de Python. Este es el nivel de rigor que se espera de un analista de datos senior.Lógica y Optimización: La implementación del conteo en el Punto 3 utilizando una expresión generadora (sum(1 for venta in...)) demuestra que auditaron el código de la IA y aceptaron una solución eficiente y elegante.Sincronización de Datos: En el Punto 4, la lógica para conectar el índice de la venta máxima con la lista de nombres de los días fue ejecutada sin errores, demostrando un dominio claro de la manipulación de listas paralelas.Presentación y Formato: El uso de .2f para los decimales en el promedio y la claridad de los mensajes de salida cumplen perfectamente con los estándares de calidad del curso.Motivación: Han demostrado que entienden que la IA es una herramienta que requiere un piloto humano crítico y organizado. Esta estructura de trabajo les ahorrará cientos de horas de errores en el futuro profesional. Sigan aplicando este nivel de detalle en los proyectos de bases de datos que vienen a continuación. ¡Felicitaciones!Rúbrica de CalificaciónCriterio de EvaluaciónRequisito TécnicoPuntaje MáximoPuntaje ObtenidoEstructura (Prompt Engineering)Uso impecable de etiquetas XML para definir contexto, rol y tareas.15.015.0Funcionalidad PythonCódigo 100% funcional. Cálculos de total, promedio, conteo y máximo correctos.15.015.0Documentación (Trazabilidad)Explicación detallada de la IA y análisis humano línea por línea.10.010.0Autogestión y PresentaciónEntrega en formato .ipynb, trabajo en equipo y orden excepcional.10.010.0TOTAL50.050.0Diego Mauricio Zuluaga Rodríguez Profesor - Departamento de Economía Universidad de La Sabana</t>
  </si>
  <si>
    <t>Retroalimentación de la Entrega: Mi Primer Análisis con IA (Prompt Engineering)Grupo: Martin Martin Trujillo Rodriguez, Daniel Camilo Lopez Piraquive, Juan Jose Caballero Mantilla.Calificación Final: 50/50 (Equivalente a 5.0)Comentarios del Profesor: Excelente trabajo, equipo. Han aplicado con rigor la metodología de "Arquitectos de Soluciones" solicitada. Se observa un uso impecable del lenguaje de marcado XML para estructurar tanto las instrucciones enviadas a la IA como la documentación final del proceso.Puntos Destacados:Precisión en los Prompts: Las instrucciones dentro de las etiquetas &amp;lt;instruccion&amp;gt; fueron claras y directas, lo que permitió obtener un código limpio y funcional al primer intento.Lógica Avanzada: En el ejercicio 3, la IA generó una solución utilizando "comprensión de listas" (sum(1 for venta in ...)), una técnica eficiente en Python que ustedes validaron correctamente.Manejo de Índices: Resolvieron con éxito el desfase de los índices de Python (que inician en 0) sumando + 1 para que el usuario final vea el "Día 7" en lugar del "Día 6". Esto demuestra un "Sanity Check" adecuado de la respuesta de la IA.Documentación Estructurada: El uso de etiquetas personalizadas como &amp;lt;punto1&amp;gt;, &amp;lt;punto2&amp;gt;, etc., facilita enormemente la lectura técnica y la trazabilidad del análisis.Motivación: Dominar el Prompt Engineering es una de las habilidades más valoradas en el mercado actual para economistas y administradores. Han demostrado que pueden delegar tareas operativas a la IA manteniendo el control total sobre la lógica y los resultados. Sigan practicando esta simbiosis entre su criterio humano y la potencia del código. ¡Felicitaciones!Rúbrica de CalificaciónCriterio de EvaluaciónRequisito TécnicoPuntaje MáximoPuntaje ObtenidoEstructura (Prompt Engineering)Uso correcto de etiquetas XML y redacción de instrucciones precisas para las 4 tareas.15.015.0Funcionalidad PythonEl código generado resuelve correctamente los cálculos (total, promedio, conteo y máximo).15.015.0Documentación XMLInclusión de explicaciones claras utilizando etiquetas XML para cada punto analizado.10.010.0Autogestión y PresentaciónFormato de entrega correcto (.ipynb), código documentado y ejecución exitosa.10.010.0TOTAL50.050.0Diego Mauricio Zuluaga Rodríguez Profesor - Departamento de Economía Universidad de La Sabana</t>
  </si>
  <si>
    <t>Retroalimentación de la Entrega: Mi Primer Análisis con IA (Prompt Engineering)Grupo: Samuel David Simancas Contreras, Juan Sebastian Perdomo Herrera, Daniel Felipe Camacho Pedraza.Calificación Final: 50/50 (Equivalente a 5.0)Comentarios del Profesor:¡Excelente trabajo, equipo! Han demostrado un dominio sobresaliente de la Técnica XML para interactuar con la Inteligencia Artificial. No solo obtuvieron el código, sino que estructuraron sus requerimientos de una forma tan clara que la IA no tuvo margen de error.Puntos Destacados:Prompt Engineering Avanzado: El uso de etiquetas anidadas como &amp;lt;prompt&amp;gt;, &amp;lt;tarea&amp;gt;, &amp;lt;datos&amp;gt; e &amp;lt;instrucciones&amp;gt; es impecable. Esta estructura jerárquica permite que el modelo de lenguaje entienda el contexto antes de ejecutar la orden, lo cual reduce drásticamente las "alucinaciones".Lógica y Eficiencia: En el Punto 3, el uso de la expresión generadora sum(1 for venta in ...) es una solución técnica muy elegante y eficiente que demuestra que auditaron correctamente lo propuesto por la IA.Sincronización de Datos: En el Punto 4, la relación entre la lista dias_semana y los índices de ventas_semanales fue manejada con precisión lógica.Metacognición (Documentación): Los prompts diseñados para que la IA explique el código son pedagógicos y directos. Pedirle a la IA que explique "como si no supiera nada de programación" es una gran estrategia para validar si ustedes mismos comprenden el fondo del código generado.Oportunidad de Mejora:Presentación de Resultados (UX): Aunque el código es funcionalmente perfecto, para futuras entregas les sugiero utilizar f-strings para dar formato de moneda (separadores de miles y decimales) a los resultados, tal como vimos en la solución ideal. Esto le da un toque mucho más profesional a sus reportes financieros.Motivación: Han adoptado con éxito el rol de "Arquitectos de Soluciones". Recuerden que en el mundo profesional actual, la ventaja competitiva no es saber el código de memoria, sino saber guiar a la tecnología para resolver problemas de negocio de forma ética y eficiente. ¡Sigan con este nivel de rigurosidad!Rúbrica de CalificaciónCriterio de EvaluaciónRequisito TécnicoPuntaje MáximoPuntaje ObtenidoEstructura (Prompt Engineering)Uso impecable de etiquetas XML y redacción de instrucciones con contexto claro.15.015.0Funcionalidad PythonEl código resuelve los 4 puntos solicitados sin errores de ejecución.15.015.0Documentación con XMLInclusión de prompts específicos para la explicación del código generado.10.010.0Autogestión y FormatoEntrega en formato .ipynb, trabajo en grupo y organización del Notebook.10.010.0TOTAL50.050.0Diego Mauricio Zuluaga Rodríguez Profesor - Departamento de Economía Universidad de La Sabana</t>
  </si>
  <si>
    <t>Retroalimentación de la Entrega: Mi Primer Análisis con IA (Prompt Engineering)Grupo: Gabriela Ruiz Perez, Maria Jose Huertas Osorio, Alessandro Di Mauro Bonilla Correa.Calificación Final: 45/50 (Equivalente a 4.5)Comentarios del Profesor:Buen trabajo, equipo. Han logrado aplicar la técnica de Prompt Engineering utilizando etiquetas XML para estructurar las instrucciones enviadas a la IA. El código generado es funcional y resuelve los problemas planteados de forma lógica.Puntos Destacados:Estructura XML: El uso de las etiquetas &amp;lt;instruccion&amp;gt; es correcto y demuestra que comprendieron cómo delimitar el contexto para un modelo de lenguaje.Lógica de Programación: Los cuatro ejercicios (total, promedio, conteo y máximo) funcionan perfectamente. Especialmente el ejercicio 4, donde sincronizaron correctamente la lista de días con el índice del valor máximo.Autogestión: El archivo .ipynb está bien organizado y es fácil de seguir.Oportunidades de Mejora (Sanity Check):Formato Profesional (UX): En clases anteriores vimos el poder de las f-strings para presentar datos financieros. Por ejemplo, en lugar de imprimir 1535714.2857142857, un analista de la EICEA debería usar f"${promedio:,.2f}" para mostrar $1,535,714.29. La claridad en la presentación de datos es vital para la toma de decisiones.Explicación de la IA: Las instrucciones solicitaban usar XML en celdas Markdown para pedirle a la IA que explicara el código generado. Aunque usaron XML para dar la orden, omitieron la parte donde la IA explica el funcionamiento técnico de la solución, lo cual es clave para su aprendizaje y auditoría del código.Motivación: Han demostrado que saben guiar a la IA para obtener resultados técnicos precisos. Sigan practicando la especificidad en sus preguntas; recuerden que en el mundo profesional, un código que no es legible o que no tiene formato de moneda difícilmente será aceptado en un reporte gerencial. ¡Buen inicio en este segundo corte!Rúbrica de CalificaciónCriterio de EvaluaciónRequisito TécnicoPuntaje MáximoPuntaje ObtenidoEstructura (Prompt Engineering)Uso correcto de etiquetas XML en los 4 prompts.15.015.0Funcionalidad PythonEl código resuelve los 4 cálculos solicitados sin errores.15.015.0Documentación (Explicación)Uso de XML para solicitar explicaciones detalladas a la IA.10.05.0Autogestión y PresentaciónEntrega en formato .ipynb y claridad en los mensajes de salida.10.010.0TOTAL50.045.0Diego Mauricio Zuluaga Rodríguez Profesor - Departamento de Economía Universidad de La Sabana</t>
  </si>
  <si>
    <t>Retroalimentación de la Entrega: Análisis de Marketing con IAGrupo: Samantha Vanegas Russi y Avril Ariza Quitian.Calificación Final: 35/50 (Equivalente a 3.5)Comentarios del Profesor:Samantha y Avril, han iniciado el ejercicio con una estructura muy sólida, demostrando una comprensión clara de cómo interactuar con la Inteligencia Artificial para el análisis de datos. Sin embargo, la entrega quedó incompleta en su fase final.Puntos Destacados:Prompt Engineering Superior (Ejercicio 1): El uso de la técnica XML fue impecable. Al asignar el rol de "profesor de programación" y solicitar un análisis de negocio (segmentación, comportamiento), lograron que la IA entregara una explicación con contexto profesional, ideal para estudiantes de la EICEA.Eficiencia en Código (Ejercicio 2): El código generado para el gasto total es correcto y utiliza una sintaxis avanzada de Python (comprensión de generadores), lo cual hace el script muy eficiente.Oportunidades de Mejora (Autogestión):Ejercicio 3 Incompleto: El Notebook termina justo después de redactar el Prompt 3. No incluyeron la celda de código generada por la IA ni su respectiva ejecución. Por esta razón, no se pudo evaluar la capacidad de filtrado lógico (Bogotá &amp;gt; 200k), lo cual impacta significativamente la nota final.Sanity Check: Como futuras tomadoras de decisiones, es vital revisar que el "entregable final" contenga todas las piezas prometidas. En este caso, faltó auditar que el código del tercer punto estuviera presente y funcional antes de subir el archivo a Teams.Motivación: Tienen una habilidad innata para redactar instrucciones (prompts) claras y con contexto. Si aplican esa misma atención al detalle en la revisión final de sus trabajos, sus resultados serán sobresalientes. ¡No bajen la guardia en la autogestión!Rúbrica de CalificaciónCriterio de EvaluaciónRequisito TécnicoPuntaje MáximoPuntaje ObtenidoTécnica XML (Prompt 1)Uso correcto de etiquetas XML y definición de rol/contexto para explicar el dataset.15.015.0Generación de Código (Prompt 2)Instrucción precisa para calcular el total. Código funcional y ejecutado.15.015.0Filtrado Lógico (Prompt 3)Instrucción redactada, pero falta el código y la ejecución en el archivo.10.00.0Documentación y AutogestiónEl archivo está organizado, pero se entrega incompleto (falta el punto final).10.05.0TOTAL50.035.0Diego Mauricio Zuluaga Rodríguez Profesor - Departamento de Economía Universidad de La Sabana</t>
  </si>
  <si>
    <t>Retroalimentación de la Entrega: Mi Primer Análisis con IA (Prompt Engineering)Grupo: Valeria Morales, Isabella Carranza Tapiero, Paula Andrea Arciniegas Cárdenas.Calificación Final: 50/50 (Equivalente a 5.0)Comentarios del Profesor:¡Excelente trabajo, equipo! Han presentado una de las tareas más completas y mejor estructuradas del curso. No solo cumplieron con los requisitos técnicos de programación y Prompt Engineering, sino que elevaron el nivel del ejercicio al incluir un análisis de negocio real.Puntos Destacados:Dominio del Prompt Engineering (XML): El uso de etiquetas XML para estructurar las instrucciones fue impecable. Utilizar etiquetas como &amp;lt;objetivo&amp;gt;, &amp;lt;instruccion&amp;gt; y &amp;lt;salida_esperada&amp;gt; demuestra una comprensión avanzada de cómo comunicarse con modelos de lenguaje de forma profesional y determinista.Excelencia Técnica en Python: La implementación en la Tarea 3 utilizando una expresión generadora (sum(1 for venta in ventas_semanales if venta &amp;gt; umbral)) es una solución muy eficiente y elegante, demostrando un nivel de programación superior al promedio.Documentación y Ética: El bloque final de documentación XML es extraordinario. Es fundamental que hayan incluido las "Notas Éticas" sobre la auditoría humana y las alucinaciones de la IA; esto es precisamente lo que buscamos en la competencia de Autogestión.Valor Agregado (Marketing Insights): Felicito al grupo por ir más allá del código. Incluir conclusiones y recomendaciones basadas en los datos (como el análisis del desempeño del domingo vs. el sábado) es lo que diferencia a un programador de un analista de decisiones de la EICEA.Motivación:Han demostrado que dominan la herramienta y, lo más importante, que mantienen el criterio crítico sobre los resultados. Este es el camino para convertirse en líderes que utilizan la tecnología para generar valor estratégico. ¡Sigan con este nivel de rigor y curiosidad!Rúbrica de CalificaciónCriterio de EvaluaciónRequisito TécnicoPuntaje MáximoPuntaje ObtenidoEstructura (Prompt Engineering)Uso impecable de etiquetas XML y redacción de instrucciones precisas para las 4 tareas.15.015.0Funcionalidad PythonCódigo funcional, eficiente y validado. Uso correcto de funciones integradas y lógica de índices.15.015.0Documentación XMLExplicación detallada de cada prompt y proceso lógico en formato XML.10.010.0Autogestión y PresentaciónEntrega puntual, formato .ipynb perfecto y adición de análisis de resultados (Insights).10.010.0TOTAL50.050.0Diego Mauricio Zuluaga Rodríguez Profesor - Departamento de Economía Universidad de La Sabana</t>
  </si>
  <si>
    <t>Retroalimentación de la Entrega: Mi Primer Análisis con IAGrupo: Sebastián Vanoy Gutiérrez, Samuel David Lozano Holguín, Samuel Mathias González Bernal.Calificación Final: 25/50 (Equivalente a 2.5)Comentarios del Profesor:Equipo, han entregado un trabajo que cumple con la ejecución de los cálculos básicos en Python, pero que omite gran parte de los requerimientos técnicos y metodológicos exigidos en el enunciado de la Clase 5 sobre Prompt Engineering.Puntos a mejorar (Críticos):Uso de XML: El enunciado solicitaba explícitamente el uso de etiquetas XML (ej: &amp;lt;instruccion&amp;gt;...&amp;lt;/instruccion&amp;gt;) para estructurar los prompts. Ustedes utilizaron comentarios de HTML (&amp;lt;!-- --&amp;gt;), lo cual no cumple con la técnica de "Arquitecto de Soluciones" vista en clase para dar contexto a la IA.Explicación de la IA: Se pidió obligatoriamente que, mediante prompts en XML, le solicitaran a la IA explicar el código generado para cada punto. Esta sección de metacognición y documentación está totalmente ausente en su entrega.Precisión en el Punto 4: El requerimiento era encontrar el día de la semana (nombre: Lunes, Martes, etc.) con la venta más alta. Su código solo entrega el valor numérico máximo (2300000), omitiendo la lógica de índices necesaria para identificar el nombre del día.Documentación: No incluyeron comentarios línea a línea explicando el funcionamiento del código, ni las celdas de Markdown con las respuestas explicativas de la IA.Puntos Destacados:El uso de List Comprehension en el punto 3 demuestra que lograron obtener una respuesta avanzada de la IA, aunque faltó el criterio humano para documentarla y explicarla.Rúbrica de CalificaciónCriterio de EvaluaciónRequisito TécnicoPuntaje MáximoPuntaje ObtenidoEstructura (Prompt Engineering)Uso de etiquetas XML pedagógicas y prompts con contexto.15.05.0Funcionalidad PythonCálculos correctos. El punto 4 no identifica el nombre del día.15.010.0Documentación y Explicación IAUso de XML para pedir explicaciones a la IA y comentarios en código.10.00.0Autogestión y PresentaciónFormato .ipynb, trabajo en grupo y entrega a tiempo.10.010.0TOTAL50.025.0Motivación: Tienen la capacidad técnica para ejecutar el código, pero en este corte el objetivo es dominar la interacción estratégica con la IA. Programar hoy en día no es solo "sacar el resultado", es saber auditar y documentar el proceso. Los invito a leer minuciosamente los requerimientos en la próxima tarea; la atención al detalle es lo que diferencia a un analista promedio de un líder en tecnología. ¡Ánimo para la siguiente entrega!Diego Mauricio Zuluaga Rodríguez Profesor - Departamento de Economía Universidad de La Sabana</t>
  </si>
  <si>
    <t>Retroalimentación de la Entrega: Mi Primer Análisis con IA (Prompt Engineering)Grupo: Nicolas Torres Calderón, Juan Camilo Leyton Lancheros, Cristian Bermudez.Calificación Final: 20/50 (Equivalente a 2.0)Comentarios del Profesor:Equipo, he revisado su entrega. Desde el punto de vista técnico, el código en Python es correcto y eficiente. Lograron resolver los cuatro problemas planteados (total, promedio, conteo y valor máximo) con una lógica impecable. Sin embargo, esta tarea no evaluaba únicamente si el código funcionaba, sino su capacidad de Autogestión y el dominio de la técnica de Prompt Engineering.Puntos a mejorar (Críticos):Incumplimiento de Requisitos de Prompting: El enunciado solicitaba explícitamente mostrar los prompts utilizando lenguaje XML (&amp;lt;instruccion&amp;gt;) en celdas de Markdown. En su entrega, no hay rastro de las instrucciones que le dieron a la IA.Falta de Documentación y Explicación: Se requería que la IA explicara el código generado para cada punto y que ustedes comentaran las líneas de código. Su archivo solo contiene el código "crudo", omitiendo el componente pedagógico y ético de la actividad.Presentación (UX): Aunque los cálculos son correctos, no aplicaron formatos de moneda (f-strings) para que los resultados fueran legibles para un usuario final (ej. $10,750,000.00 en lugar de 10750000).Motivación: Tienen una excelente base lógica y técnica en Python; el código que escribieron (o generaron) es de alta calidad. No obstante, en este curso la Autogestión (seguir instrucciones al pie de la letra) es tan importante como la programación. Los invito a leer con mucha más minuciosidad los requerimientos de las próximas entregas. Si aplican su talento técnico siguiendo los protocolos solicitados, sus resultados serán sobresalientes.Rúbrica de CalificaciónCriterio de EvaluaciónRequisito TécnicoPuntaje MáximoPuntaje ObtenidoEstructura (Prompt Engineering)Uso de etiquetas XML y redacción de instrucciones claras en Markdown.15.00.0Funcionalidad PythonEl código resuelve los cálculos correctamente y se ejecuta sin errores.15.015.0DocumentaciónInclusión de las explicaciones de la IA y comentarios en el código.10.00.0Autogestión y PresentaciónFormato de entrega (.ipynb), trabajo en equipo y claridad de salida.10.05.0TOTAL50.020.0Diego Mauricio Zuluaga Rodríguez Profesor - Departamento de Economía Universidad de La Sabana</t>
  </si>
  <si>
    <t>Retroalimentación de la Entrega: Mi Primer Análisis con IA (Prompt Engineering)Grupo: Juan David Neuta Medina, Laura Fernanda Lopez Parra, Jose Daniel Escobar Hurtado.Calificación Final: 50/50 (Equivalente a 5.0)Comentarios del Profesor:¡Excelente trabajo, equipo! Han elevado el estándar de la actividad al no solo cumplir con los requisitos técnicos, sino al proponer una estructura de Prompt Engineering de nivel avanzado. Han demostrado que comprenden la IA como una herramienta de arquitectura de datos y no solo como un generador de código simple.Puntos Destacados:Ingeniería de Prompts (XML): El uso de etiquetas XML fue excepcional. No se limitaron a una etiqueta básica; crearon un "Prompt Maestro" con contextos, instrucciones generales y formatos de salida. Esta jerarquía facilita enormemente el trabajo de la IA y garantiza resultados consistentes.Adaptación Lógica: Aunque la instrucción sugería una lista, ustedes optaron por un Diccionario (ventas_semana). Esta decisión fue acertada, ya que permitió un análisis más natural (Día → Valor) y demostró que saben manipular estructuras de datos más complejas.Experiencia de Usuario (UX) en Consola: La presentación de los resultados es impecable. El uso de símbolos visuales (█, ═, ⭐), alineaciones de texto y el ranking de ventas transforma un simple script en un reporte gerencial profesional.Análisis de Insights: El Ejercicio 4 y la celda final de "Análisis Estructurado" demuestran pensamiento crítico. No solo calcularon datos, sino que estructuraron recomendaciones estratégicas (prioridades alta/media), lo cual es el valor agregado que se espera de un analista de la EICEA.Documentación: El código está perfectamente comentado, explicando el qué y el cómo de cada función utilizada (sum, len, max, sorted).Motivación: Han demostrado una capacidad sobresaliente para gestionar la tecnología de forma autónoma y crítica. Este nivel de detalle en la planeación (XML) y en la ejecución (Python) es lo que diferencia a un programador promedio de un líder en analítica de datos. Sigan manteniendo este rigor técnico en los próximos módulos de Bases de Datos. ¡Felicitaciones!Rúbrica de CalificaciónCriterio de EvaluaciónRequisito TécnicoPuntaje MáximoPuntaje ObtenidoEstructura (Prompt Engineering)Uso avanzado de etiquetas XML con contextos y jerarquías claras para las 4 tareas.15.015.0Funcionalidad PythonEl código resuelve todos los puntos con precisión matemática y lógica impecable.15.015.0Documentación XMLExplicaciones claras de la IA integradas mediante bloques XML y comentarios detallados.10.010.0Autogestión y PresentaciónFormato .ipynb perfecto, trabajo en equipo evidenciado y salida en consola de nivel profesional.10.010.0TOTAL50.050.0Diego Mauricio Zuluaga Rodríguez Profesor - Departamento de Economía Universidad de La Sabana</t>
  </si>
  <si>
    <t>Retroalimentación de la Entrega: Mi Primer Análisis con IA (Prompt Engineering)Grupo: Mariana Peña Rodríguez, Matías Mondragón Osorio, Arianne Mariana Amorocho Quiroga.Calificación Final: 50/50 (Equivalente a 5.0)Comentarios del Profesor: ¡Excelente
 trabajo, equipo! Han capturado a la perfección la esencia de lo que 
significa ser un "Arquitecto de Soluciones" en la era de la Inteligencia
 Artificial. No se limitaron a usar la IA como una calculadora 
glorificada, sino que la utilizaron como un asistente técnico al que le 
exigieron explicaciones lógicas y matemáticas.Puntos Destacados:Prompt Engineering (Uso de XML): La estructuración de sus instrucciones utilizando las etiquetas &amp;lt;instruccion&amp;gt;
 fue impecable. Fueron directos, establecieron el rol ("Actúa como un 
analista de datos") y exigieron explicaciones detalladas. Esta es la 
forma correcta de interactuar con modelos de lenguaje.Lógica de Programación: La solución para encontrar el día de la semana con la venta más alta (usando max() y .index()
 para mapearlo con una lista de días de texto) es brillante y muy 
"Pythónica". Demuestra que auditaron el código y entendieron la relación
 entre los índices de dos listas paralelas.Presentación (UX): El uso de f-strings con separadores de miles (:,.2f)
 y emojis hace que los resultados en consola sean legibles y 
profesionales, listos para ser presentados en un informe gerencial.Autogestión:
 La declaración de autoría y la nota ética al inicio del Notebook 
demuestran un alto nivel de profesionalismo y responsabilidad sobre el 
código generado.Motivación: Sigan
 cultivando esta habilidad. En el mercado laboral actual, la ventaja 
competitiva no la tiene quien memoriza todo el código, sino quien sabe 
hacer las preguntas correctas a la IA y tiene el criterio técnico para 
auditar, corregir y optimizar las respuestas. ¡Están en el camino 
correcto para liderar proyectos tecnológicos en sus carreras!Rúbrica de CalificaciónCriterio de EvaluaciónRequisito TécnicoPuntaje MáximoPuntaje ObtenidoEstructura (Prompt Engineering)Uso correcto de etiquetas XML y redacción de instrucciones claras, precisas y con contexto para las 4 tareas.15.015.0Funcionalidad PythonEl código generado resuelve correctamente los cálculos (total, promedio, conteo y máximo). Ejecución sin errores.15.015.0DocumentaciónInclusión de las explicaciones de la IA en celdas Markdown y código debidamente comentado.10.010.0Autogestión y PresentaciónFormato de entrega correcto (.ipynb), trabajo en equipo evidenciado y excelente formato de salida en consola.10.010.0TOTAL50.050.0Diego Mauricio Zuluaga Rodríguez Profesor - Departamento de Economía Universidad de La Sabana</t>
  </si>
  <si>
    <t>Calificación: 0.0/50 Retroalimentación: Estimado estudiante, He revisado el buzón de entrega y no se registra tu participación en la Tarea 2 Clase 5: Mi Primer Análisis con IA (Prompt Engineering). Como hemos enfatizado desde el inicio del semestre, la Autogestión
 es la competencia principal que buscamos desarrollar en este curso. En 
el mundo profesional, y especialmente en roles de liderazgo técnico 
(CTO), el cumplimiento de los cronogramas y la entrega de los 
"Checkpoints" es tan importante como la calidad del código mismo. Recuerda
 el análisis que vimos al cierre del Corte 1: las notas de seguimiento 
(20%) son las que definen si tu promedio refleja excelencia o 
simplemente suficiencia. Un 0.0 en esta actividad impacta directamente 
tu progreso en este segundo corte. Motivación:  No
 permitas que este incumplimiento afecte tu ritmo de aprendizaje. 
Estamos entrando en temas de alta complejidad técnica y tu compromiso 
con las tareas semanales es lo único que garantizará tu éxito en el 
próximo parcial. Te invito a retomar la disciplina y asegurar la entrega
 de las próximas actividades a tiempo. Atentamente,Diego Mauricio Zuluaga Rodríguez Profesor - Departamento de Economía Universidad de La Sabana</t>
  </si>
  <si>
    <t>Retroalimentación de la Entrega: Mi Primer Análisis con IA (Prompt Engineering)Integrantes: Maria Juliana Herrera Pulido, Mariana Carmona Romero.Calificación Final: 50/50 (Equivalente a 5.0)Comentarios del Profesor:Maria Juliana y Mariana, han realizado un excelente ejercicio de Prompt Engineering. El cumplimiento de las instrucciones técnicas y el uso de la inteligencia artificial como herramienta de apoyo denotan un buen proceso de autogestión y comprensión lógica.Puntos Destacados:Estructura XML: El uso de las etiquetas &amp;lt;instruccion&amp;gt; para delimitar las órdenes a la IA y &amp;lt;explicacion&amp;gt; para el cierre del análisis es impecable. Esto facilita la trazabilidad de qué se le pidió a la herramienta y qué entendieron ustedes del resultado.Funcionalidad Técnica: El código generado es 100% funcional. Las funciones sum(), len() y max() fueron aplicadas correctamente, y la lógica del ciclo for con el contador para las ventas mayores a $1.5M es precisa.Documentación: La celda final de explicación resume correctamente el propósito de cada función de Python utilizada, demostrando que no solo copiaron el código, sino que auditaron su funcionamiento.Oportunidad de Mejora (Hacia la excelencia profesional): Para sus próximos reportes financieros o de mercadeo, les sugiero solicitar a la IA que formatee los resultados numéricos como moneda.Ejemplo: En lugar de imprimir 10750000, podrían usar f-strings: print(f"Total: ${total_ventas:,.0f}") para obtener un resultado más profesional: $10,750,000.Motivación: Tienen una base lógica muy sólida. Sigan practicando la precisión en sus prompts, ya que esta habilidad será fundamental cuando empecemos a integrar bases de datos SQL y análisis masivo con Pandas. ¡Buen trabajo!Rúbrica de CalificaciónCriterio de EvaluaciónRequisito TécnicoPuntaje MáximoPuntaje ObtenidoEstructura (Prompts)Uso correcto de etiquetas XML y claridad en las 4 instrucciones solicitadas.15.015.0Funcionalidad PythonEl código resuelve el total, promedio, conteo y valor máximo sin errores.15.015.0DocumentaciónUso de etiquetas de explicación y comentarios en las celdas de código.10.010.0AutogestiónEntrega en formato .ipynb, trabajo grupal y cumplimiento de plazos.10.010.0TOTAL50.050.0Diego Mauricio Zuluaga Rodríguez Profesor - Departamento de Economía Universidad de La Sabana</t>
  </si>
  <si>
    <t>Retroalimentación de la Entrega: Mi Primer Análisis con IA (Prompt Engineering)Grupo: Alejandra León Vargas, Sofia Giraldo Pico.Calificación Final: 45/50 (Equivalente a 4.5)Comentarios del Profesor:Buen trabajo, equipo. Han logrado aplicar correctamente la metodología de Prompt Engineering utilizando etiquetas XML para estructurar las instrucciones enviadas a la IA. El flujo del Notebook es claro y el código generado cumple con los objetivos técnicos planteados.Puntos Destacados:Estructura XML: El uso de las etiquetas &amp;lt;instruccion&amp;gt; y &amp;lt;explicacion&amp;gt; fue preciso y facilitó que la IA generara respuestas alineadas con lo solicitado.Lógica Técnica: El código generado por la IA es eficiente. El uso de la comprensión de listas para contar los días de altas ventas (sum(1 for venta in...)) y el manejo de index() + 1 para identificar el día son soluciones limpias.Documentación: Incluyeron una celda final de explicación que resume bien el uso de las funciones integradas de Python.Oportunidad de Mejora (Autogestión):Puntualidad: La tarea fue entregada 28 minutos tarde. Como hemos conversado, la autogestión del tiempo es una competencia crítica en este curso y en la vida profesional. Por este motivo, se aplica una penalización de -5 puntos sobre la nota final.Formato de Salida: Para futuros ejercicios financieros, les sugiero pedirle a la IA que use f-strings con formato de miles (ej: f"${valor:,.2f}") para que los resultados sean más legibles para un usuario de negocios.Motivación: Tienen un dominio claro de cómo guiar a la IA. No pierdan de vista que la disciplina en los tiempos de entrega es lo que separa a un buen analista de uno excepcional. ¡Sigan adelante con el mismo rigor técnico en el resto del corte!Rúbrica de CalificaciónCriterio de EvaluaciónRequisito TécnicoPuntaje MáximoPuntaje ObtenidoEstructura (Prompt Engineering)Uso correcto de etiquetas XML y redacción de instrucciones claras para las 4 tareas.15.015.0Funcionalidad PythonEl código generado resuelve correctamente los cálculos (total, promedio, conteo y máximo).15.015.0DocumentaciónInclusión de explicaciones en XML y comentarios en el código.10.010.0Autogestión y PresentaciónFormato .ipynb correcto y trabajo en equipo.10.010.0Penalización por RetrasoEntrega extemporánea (28 minutos tarde).-5.0-5.0TOTAL50.045.0Diego Mauricio Zuluaga Rodríguez Profesor - Departamento de Economía Universidad de La Sabana</t>
  </si>
  <si>
    <t>Retroalimentación de la Entrega: Mi Primer Análisis con IA (Prompt Engineering)Grupo: Maria Juliana Mejia Quintero, Valery Linares Hernandez, Maria Jose Botero Galviz.Calificación Final: 50/50 (Equivalente a 5.0)Comentarios del Profesor: ¡Excelente trabajo, equipo! Han elevado el nivel de la tarea al diseñar prompts con una estructura XML personalizada (&amp;lt;rol&amp;gt;, &amp;lt;entrada&amp;gt;, &amp;lt;tarea&amp;gt;, &amp;lt;salida&amp;gt;). Esta metodología no solo facilita el trabajo de la IA, sino que demuestra una capacidad de abstracción y organización lógica superior, fundamental para la toma de decisiones basada en datos.Puntos Destacados:Estructura de Prompts (XML): El uso de etiquetas específicas para definir el rol y la salida esperada es una práctica de nivel profesional en Prompt Engineering. Han logrado que la IA entienda el contexto exacto de la necesidad de negocio.Desafío Lógico: Es muy valioso que hayan solicitado a la IA resolver los problemas bajo restricciones (como calcular el total con while sin usar sum(), o encontrar el mayor sin usar max()). Esto demuestra que no solo buscan el resultado, sino que auditan la lógica algorítmica detrás de la solución.Precisión Técnica: El código es limpio, funcional y utiliza correctamente los tipos de datos y estructuras de control vistos en el corte. El formateo de salida con f-strings para el promedio (:.2f) es impecable.Autogestión: El Notebook está perfectamente organizado, facilitando la revisión y el seguimiento de cada instrucción.Motivación: Han demostrado que dominan la herramienta y, lo más importante, que mantienen el control sobre ella. En el mundo de la analítica, la IA es un multiplicador de fuerza, pero el criterio lo ponen ustedes. Sigan explorando estas estructuras lógicas complejas; tienen el potencial para liderar proyectos de automatización de alto impacto. ¡Felicitaciones!Rúbrica de CalificaciónCriterio de EvaluaciónRequisito TécnicoPuntaje MáximoPuntaje ObtenidoEstructura (Prompt Engineering)Uso avanzado de etiquetas XML para definir rol, entrada y tarea de forma precisa.15.015.0Funcionalidad PythonCódigo impecable. Resolución exitosa de las 4 tareas con restricciones lógicas.15.015.0Documentación y XMLExplicación clara de los prompts y uso correcto de etiquetas para documentar.10.010.0Autogestión y PresentaciónEntrega grupal puntual, formato .ipynb correcto y salida en consola profesional.10.010.0TOTAL50.050.0Diego Mauricio Zuluaga Rodríguez Profesor - Departamento de Economía Universidad de La Sabana</t>
  </si>
  <si>
    <t>Calificación: 0.0/50Retroalimentación:Estimado estudiante,He revisado el buzón de entrega y no se registra tu participación en la Tarea 2 Clase 5: Mi Primer Análisis con IA (Prompt Engineering).Como hemos enfatizado desde el inicio del semestre, la Autogestión es la competencia principal que buscamos desarrollar en este curso. En el mundo profesional, y especialmente en roles de liderazgo técnico (CTO), el cumplimiento de los cronogramas y la entrega de los "Checkpoints" es tan importante como la calidad del código mismo.Recuerda el análisis que vimos al cierre del Corte 1: las notas de seguimiento (20%) son las que definen si tu promedio refleja excelencia o simplemente suficiencia. Un 0.0 en esta actividad impacta directamente tu progreso en este segundo corte.Motivación:No permitas que este incumplimiento afecte tu ritmo de aprendizaje. Estamos entrando en temas de alta complejidad técnica y tu compromiso con las tareas semanales es lo único que garantizará tu éxito en el próximo parcial. Te invito a retomar la disciplina y asegurar la entrega de las próximas actividades a tiempo.Atentamente,Diego Mauricio Zuluaga RodríguezProfesor - Departamento de EconomíaUniversidad de La Sabana</t>
  </si>
  <si>
    <t>Retroalimentación de la Entrega: Modelando un Carrito de
Compras (POO)  Simón Restrepo, Mateo Pérez y Diego Hermida  Calificación Final: 50/50 (Equivalente a 5.0)  Comentarios del Profesor: ¡Excelente trabajo, equipo! Han entregado una solución que
refleja una comprensión profunda de la Programación Orientada a Objetos. El
código no solo es funcional, sino que cumple con todos los estándares de buenas
prácticas que hemos discutido en clase.  
 Puntos
     Destacados: 
  Planeación
      Rigurosa: El pseudocódigo en Markdown es impecable. Siguieron al pie
      de la letra la instrucción de planificar la lógica antes de programar, lo
      cual es la marca de un profesional en desarrollo. 
  Documentación
      de Alta Calidad: Documentaron absolutamente cada línea del código.
      Esto no solo facilita la corrección, sino que demuestra que entienden la
      intención detrás de cada instrucción. 
  Limpieza
      y UX: El uso de enumerate(self.items, start=1) es una práctica
      excelente para mejorar la experiencia del usuario final al listar los
      productos. La presentación del ver_carrito() es profesional y limpia. 
  Estructura
      de la Clase: La encapsulación de los atributos self.items y self.total
      es correcta, permitiendo que el objeto mantenga su propio estado de forma
      autónoma. 
 Oportunidad
     de Mejora: 
  El
      código es funcional y cumple con lo solicitado. Como reto adicional para
      futuros módulos, les sugiero intentar manejar los errores de entrada con try-except
      (por si el precio no fuera un número) y explorar cómo guardar el producto
      como un diccionario dentro de la lista para tener más control sobre las
      propiedades de cada artículo. 
  Motivación:  
Han demostrado un nivel de madurez técnica muy alto en esta actividad. Esta
forma de trabajar (planear, codificar y comentar) es la que les permitirá
afrontar con éxito los temas de Bases de Datos y Power BI que vienen a
continuación. ¡Sigan con este nivel de rigor!  Rúbrica de Calificación 
  Criterio de Evaluación 
  Requisito Técnico 
  Puntaje Máximo 
  Puntaje Obtenido 
  Planeación 
  Pseudocódigo detallado y coherente con la implementación
  final. 
  10.0 
  10.0 
  Encapsulamiento 
  Uso correcto de self para manejar atributos de instancia. 
  15.0 
  15.0 
  Documentación 
  Explicación detallada línea a línea de todo el script. 
  10.0 
  10.0 
  Funcionalidad 
  Métodos agregar_producto y ver_carrito funcionales. Prueba
  exitosa. 
  15.0 
  15.0 
  TOTAL 
  50.0 
  50.0 
 Diego Mauricio Zuluaga Rodríguez 
Profesor - Departamento de Economía 
Universidad de La Sabana</t>
  </si>
  <si>
    <t>🛒 Tarea 3 Clase 5 - Modelando un Carrito de Compras (POO)</t>
  </si>
  <si>
    <t>Retroalimentación de la Entrega: Modelando un Carrito de
Compras (POO)  Juan Sebastian Salas, Alan David Rossoff y Lukas Blanco  Calificación Final: 50/50 (Equivalente a 5.0)  Comentarios del Profesor: 
¡Excelente trabajo, equipo! Han implementado los conceptos fundamentales de la
Programación Orientada a Objetos (POO) con un nivel de precisión y orden digno
de un entorno profesional. 
 Puntos
     Destacados: 
  Estructuras
      de Datos Avanzadas: El uso de un diccionario {"nombre":
      nombre_producto, "precio": precio_producto} dentro de la lista self.items
      es la forma más óptima y escalable de guardar la información. Esto demuestra
      que están pensando en cómo se estructuran las bases de datos reales en un
      e-commerce. 
  Documentación
      Rigurosa: Cumplieron a la perfección la regla de documentar línea por
      línea. Además, la inclusión de Docstrings ("""
      """) en la clase y los métodos refleja buenas prácticas de
      ingeniería de software. 
  Encapsulamiento:
      La manipulación del estado interno del objeto (self.items y self.total)
      funciona sin errores, manteniendo la coherencia de los datos durante todo
      el ciclo de vida de mi_compra. 
 Observación
     de Autogestión (Atención al Detalle): 
  Aunque
      el pseudocódigo es excelente y muy claro, olvidaron incluir sus nombres
      completos dentro de la celda de Markdown al inicio del documento. En el
      mundo corporativo y académico, firmar sus entregables es el primer paso
      de la presentación profesional. Ténganlo en cuenta para el próximo
      proyecto. 
  Motivación: 
Han construido una base muy sólida. Entender cómo los objetos guardan su propio
estado (memoria) y ejecutan sus propias acciones es la clave para modelar
sistemas complejos. ¡Sigan con esta misma rigurosidad para los temas de
Herencia y Polimorfismo!  Rúbrica de Calificación 
  Criterio de Evaluación 
  Requisito Técnico 
  Puntaje Máximo 
  Puntaje Obtenido 
  Planeación 
  Pseudocódigo detallado en Markdown que coincide
  lógicamente con la implementación final. 
  10.0 
  10.0 
  Encapsulamiento 
  Uso correcto de self para inicializar, leer y modificar
  atributos internos (items, total). 
  15.0 
  15.0 
  Documentación 
  Código comentado línea por línea explicando la acción de
  cada instrucción. 
  10.0 
  10.0 
  Funcionalidad 
  Métodos agregar_producto y ver_carrito totalmente
  funcionales. Prueba de clase exitosa. 
  15.0 
  15.0 
  TOTAL 
  50.0 
  50.0 
 Diego Mauricio Zuluaga Rodríguez 
Profesor - Departamento de Economía 
Universidad de La Sabana</t>
  </si>
  <si>
    <t>Retroalimentación de la Entrega: Modelando un Carrito de
Compras (POO)  Martin Trujillo, Daniel Lopez y Juan Jose Caballero  Calificación Final: 50/50 (Equivalente a 5.0)  Comentarios del Profesor: 
Equipo, han realizado una ejecución sólida y precisa del ejercicio. El código
es funcional, la planeación es coherente y la documentación cumple con el
estándar solicitado. Han demostrado una comprensión clara de los fundamentos de
la Programación Orientada a Objetos.  
 Puntos
     Destacados: 
  Autogestión
      y Planeación: El pseudocódigo es claro y sigue una secuencia lógica
      que se ve reflejada directamente en el código final. Cumplieron a
      cabalidad la regla de "pensar antes de programar". 
  Documentación:
      La documentación línea por línea es excelente. Explica el "qué"
      hace cada instrucción, lo cual es vital para la trazabilidad y el trabajo
      en equipo. 
  Funcionalidad:
      El prototipo del carrito funciona exactamente como se solicitó. Los
      métodos agregar_producto y ver_carrito están bien implementados y la
      prueba de clase es exitosa. 
 Oportunidades
     de Mejora (Para el siguiente nivel técnico): 
  Formato
      de Salida (UX): El print() con comas funciona, pero para un acabado
      más profesional, les recomiendo empezar a usar f-strings. Por
      ejemplo: print(f"Total a pagar: ${self.total:,.2f}"). Esto les
      da control total sobre el formato (separadores de miles, decimales,
      etc.). 
  Robustez
      del Código (Sanity Check): En el método ver_carrito(), ¿qué pasaría
      si el carrito estuviera vacío? El ciclo for no se ejecutaría, pero el
      programa no le informaría al usuario que no tiene productos. Una buena
      práctica es añadir un if len(self.items) == 0: para manejar ese caso
      específico. 
  Motivación: 
Tienen una base técnica muy fuerte. Ahora que dominan la creación de una clase,
el siguiente paso es hacer que las clases interactúen entre sí (Herencia y
Polimorfismo), que es lo que veremos en la Clase 6. ¡Excelente trabajo!  Rúbrica de Calificación 
  Criterio de Evaluación 
  Requisito Técnico 
  Puntaje Máximo 
  Puntaje Obtenido 
  Planeación 
  Pseudocódigo claro y coherente con la implementación
  final. 
  10.0 
  10.0 
  Encapsulamiento 
  Uso correcto de self para inicializar y modificar
  atributos (items, total). 
  15.0 
  15.0 
  Documentación 
  Código comentado línea por línea explicando la acción de
  cada instrucción. 
  10.0 
  10.0 
  Funcionalidad 
  Métodos agregar_producto y ver_carrito funcionales. Prueba
  de clase exitosa. 
  15.0 
  15.0 
  TOTAL 
  50.0 
  50.0 
 Diego Mauricio Zuluaga Rodríguez 
Profesor - Departamento de Economía 
Universidad de La Sabana</t>
  </si>
  <si>
    <t>Retroalimentación de la Entrega: Carrito de Compras (POO)  Samuel David Simancas, Juan Sebastian Perdomo y Daniel
Felipe Camacho  Calificación Final: 50/50 (Equivalente a 5.0)  Comentarios del Profesor: ¡Excelente trabajo, equipo! Han entregado una solución de
nivel profesional. Se nota un esfuerzo genuino por no solo cumplir con la
funcionalidad, sino por entregar un código estéticamente impecable y muy bien
documentado.  
 Puntos
     Destacados: 
  Planeación
      (Diagrama de Flujo): El diagrama realizado en formato texto (ASCII)
      es una forma creativa y muy efectiva de visualizar el flujo lógico. Es
      claro, directo y cumple con el requisito de planeación previa. 
  Calidad
      del Código (Clean Code): Han utilizado técnicas avanzadas de formato
      (f-strings con alineación, como :&amp;lt;4 y :&amp;gt;12), lo que hace que la
      salida en consola parezca una factura real de un e-commerce. Esto
      demuestra una gran atención al detalle en la experiencia de usuario (UX). 
  Documentación:
      El uso de Docstrings (""" """) para
      describir la clase y los métodos, sumado a los comentarios internos, hace
      que el código sea muy fácil de mantener. 
  Validación
      de Estados: La implementación de if not self.items: para manejar el
      caso del carrito vacío es la forma más "Pythónica" y eficiente
      de realizar esta validación. 
 Sugerencia
     Técnica: 
  El
      código es excelente. Como siguiente paso en su aprendizaje, les sugiero
      investigar cómo manejar el caso en que el usuario intente ingresar un
      precio negativo (ej: -50000). Podrían agregar un pequeño if dentro de agregar_producto
      para validar que el precio sea mayor a cero. 
  Motivación:  
Han demostrado que dominan la estructura de clases, la gestión de atributos y
la lógica de métodos. Este nivel de organización es exactamente lo que se
espera de un analista que busca automatizar procesos de negocio. ¡Sigan con
este nivel de compromiso para el resto del corte!  Rúbrica de Calificación 
  Criterio de Evaluación 
  Requisito Técnico 
  Puntaje Máximo 
  Puntaje Obtenido 
  Planeación 
  Diagrama de flujo claro y coherente con la implementación. 
  10.0 
  10.0 
  Encapsulamiento 
  Uso correcto de self para gestionar atributos (items, total). 
  15.0 
  15.0 
  Documentación 
  Comentarios y Docstrings explicando la lógica de cada
  bloque. 
  10.0 
  10.0 
  Funcionalidad 
  Métodos funcionales, menú y lógica de suma correctos. 
  15.0 
  15.0 
  TOTAL 
  50.0 
  50.0 
 Diego Mauricio Zuluaga Rodríguez 
Profesor - Departamento de Economía 
Universidad de La Sabana</t>
  </si>
  <si>
    <t>Retroalimentación de la Entrega: Modelando un Carrito de
Compras (POO)  Gabriela Ruiz, María José Huertas y Alessandro Bonilla  Calificación Final: 40/50 (Equivalente a 4.0)  Comentarios del Profesor: 
Equipo, he revisado su entrega y tengo dos observaciones muy importantes: una
excelente a nivel técnico y una crítica a nivel de autogestión. 
 Lo
     Excelente (Técnica y Funcionalidad): 
     A nivel de código, su trabajo es impecable. Comprendieron a la perfección
     cómo funciona la Programación Orientada a Objetos. El uso de tuplas (nombre_producto,
     precio_producto) dentro de la lista self.items es una decisión de diseño
     brillante y muy eficiente. Además, la documentación línea por línea es
     clara y demuestra que entienden exactamente qué hace cada instrucción. Por
     la parte técnica, merecen un 5.0. 
 La
     Oportunidad de Mejora (Autogestión y Planeación): 
     Lamentablemente, omitieron la Regla de Oro de esta entrega. Las
     instrucciones indicaban explícitamente: "Planeación Obligatoria:
     Antes de escribir una sola línea de código, deben realizar el Pseudocódigo
     o Diagrama de Flujo... incluido en la primera celda". Su celda de
     Markdown solo tiene el título. Como hemos hablado desde el Corte 1, en este curso (y en la
vida profesional) seguir las instrucciones y planear antes de ejecutar es
innegociable. Un buen CTO diseña la arquitectura antes de programar. Esta
omisión les cuesta la totalidad de los puntos de la rúbrica de Planeación.  Motivación: 
Ustedes tienen una capacidad técnica altísima, el código que escribieron lo
demuestra. No permitan que saltarse un paso en las instrucciones afecte su
promedio. Tienen todo el potencial para liderar la curva de notas en este Corte
2. ¡Asegúrense de incluir la planeación en el próximo reto y el 5.0 será suyo!  Rúbrica de Calificación 
  Criterio de Evaluación 
  Requisito Técnico 
  Puntaje Máximo 
  Puntaje Obtenido 
  Planeación 
  Pseudocódigo detallado en Markdown que coincide con la
  implementación final. 
  10.0 
  0.0 (No se incluyó pseudocódigo ni diagrama) 
  Encapsulamiento 
  Uso correcto de self para inicializar y modificar
  atributos (items, total). 
  15.0 
  15.0 
  Documentación 
  Código comentado línea por línea explicando la acción de
  cada instrucción. 
  10.0 
  10.0 
  Funcionalidad 
  Métodos funcionales. Excelente uso de tuplas para
  almacenar los datos del producto. 
  15.0 
  15.0 
  TOTAL 
  50.0 
  40.0 
 Diego Mauricio Zuluaga Rodríguez 
Profesor - Departamento de Economía 
Universidad de La Sabana</t>
  </si>
  <si>
    <t>Retroalimentación de la Entrega: Modelando un Carrito de
Compras (POO)  Avril Ariza y Samantha Vanegas  Calificación Final: 50/50 (Equivalente a 5.0)  Comentarios del Profesor: 
¡Excelente trabajo, Avril y Samantha! Han logrado implementar los conceptos de
la Programación Orientada a Objetos (POO) de una forma muy limpia y
estructurada. El paso de programar de forma lineal a "pensar en
objetos" es el más retador del curso, y ustedes lo han resuelto con gran
nivel.  
 Puntos
     Destacados: 
  Estructuras
      de Datos Avanzadas: Me encantó que decidieran guardar cada producto
      como un diccionario ({"nombre": nombre_producto,
      "precio": precio_producto}) dentro de la lista self.items. Esta
      es una práctica profesional que facilita muchísimo la lectura de los
      datos en el método ver_carrito(). 
  Autogestión
      y Planeación: El pseudocódigo en Markdown es claro, secuencial y
      coincide exactamente con la lógica que programaron después. 
  Encapsulamiento:
      El uso de self para mantener el estado del objeto (self.total y self.items)
      fue implementado sin errores. 
  Documentación:
      Cumplieron a cabalidad con la regla de documentar línea por línea,
      explicando el qué y el porqué de cada instrucción. 
 Oportunidad
     de Mejora (UX y Sanity Check): 
  Formato
      Financiero: Al imprimir valores en pesos colombianos (COP), es ideal
      usar separadores de miles para facilitar la lectura. En lugar de $50000,
      pueden usar f-strings con formato: print(f"Total a pagar:
      ${self.total:,.0f}") para que imprima $50,000. 
  Validación
      de Vacíos: ¿Qué pasaría si un usuario llama a mi_compra.ver_carrito()
      antes de agregar productos? Sería excelente agregar un condicional if
      len(self.items) == 0: para mostrar un mensaje como "El carrito
      está vacío". 
  Motivación: 
Tienen una lógica de programación muy bien estructurada. Dominar la creación de
Clases y Objetos les abrirá las puertas para entender cómo funcionan las bases
de datos y el análisis de información a gran escala. ¡Sigan con este nivel de
excelencia!  Rúbrica de Calificación 
  Criterio de Evaluación 
  Requisito Técnico 
  Puntaje Máximo 
  Puntaje Obtenido 
  Planeación 
  Pseudocódigo detallado en Markdown que coincide con la
  implementación final. 
  10.0 
  10.0 
  Encapsulamiento 
  Uso correcto de self para inicializar y modificar
  atributos (items, total). 
  15.0 
  15.0 
  Documentación 
  Código comentado línea por línea explicando la acción de
  cada instrucción. 
  10.0 
  10.0 
  Funcionalidad 
  Métodos agregar_producto y ver_carrito funcionales. Uso de
  diccionarios. 
  15.0 
  15.0 
  TOTAL 
  50.0 
  50.0 
 Diego Mauricio Zuluaga Rodríguez 
Profesor - Departamento de Economía 
Universidad de La Sabana</t>
  </si>
  <si>
    <t>Retroalimentación de la Entrega: Modelando un Carrito de
Compras (POO)  Paula Andrea Arciniegas, Valeria Morales e Isabella
Carranza  Calificación Final: 50/50 (Equivalente a 5.0)  Comentarios del Profesor: 
¡Excelente trabajo, equipo! Han logrado dar el salto de la programación
estructurada a la Programación Orientada a Objetos (POO) de manera impecable.
Este ejercicio demuestra que comprenden cómo encapsular datos (atributos) y
acciones (métodos) dentro de una misma entidad.  
 Puntos
     Destacados: 
  Autogestión
      y Planeación: Su pseudocódigo es uno de los más detallados y
      estructurados que he revisado. El desglose numérico (1.0, 2.1.1, etc.)
      demuestra un pensamiento lógico riguroso antes de escribir código. 
  Encapsulamiento
      (self): Entendieron perfectamente que self.total permite que el
      método ver_carrito() sepa cuánto dinero sumó el método agregar_producto().
      Comparten la memoria interna del objeto de forma correcta. 
  Uso
      de Funciones Integradas: La implementación de enumerate(self.items,
      start=1) en el ciclo for es un toque avanzado y muy elegante para listar
      los productos. 
  Documentación:
      El uso de Docstrings (""" """) al
      inicio de la clase y de los métodos es una excelente práctica profesional
      que facilita la lectura del código. 
 Oportunidad
     de Mejora (Para próximos proyectos): 
  En
      este ejercicio guardaron solo el nombre del producto en la lista self.items.
      Aunque cumple con lo solicitado y el total se calcula bien, en un
      e-commerce real (o en futuras clases con bases de datos) necesitaremos
      ver el precio individual de cada ítem en el resumen final. Para el
      próximo reto, intenten guardar un diccionario en la lista: self.items.append({"nombre":
      nombre_producto, "precio": precio_producto}). 
  Motivación: 
Tienen una base muy sólida en POO. Entender cómo los objetos interactúan
consigo mismos es el paso más difícil, y ustedes lo han superado con éxito.
¡Sigan con este nivel de excelencia para el resto del Corte 2!  Rúbrica de Calificación 
  Criterio de Evaluación 
  Requisito Técnico 
  Puntaje Máximo 
  Puntaje Obtenido 
  Planeación 
  Pseudocódigo detallado en Markdown que coincide con la
  implementación final. 
  10.0 
  10.0 
  Encapsulamiento 
  Uso correcto de self para inicializar y modificar
  atributos (items, total). 
  15.0 
  15.0 
  Documentación 
  Código comentado línea por línea explicando la acción de
  cada instrucción. 
  10.0 
  10.0 
  Funcionalidad 
  Métodos agregar_producto y ver_carrito funcionales. Prueba
  de clase exitosa. 
  15.0 
  15.0 
  TOTAL 
  50.0 
  50.0 
 Diego Mauricio Zuluaga Rodríguez 
Profesor - Departamento de Economía 
Universidad de La Sabana</t>
  </si>
  <si>
    <t>Retroalimentación de la Entrega: Tarea Clase 5 -
Modelando un Carrito de Compras (POO)  Samuel Lozano, Sebastian Vanoy y Samuel Gonzales  Calificación Final: 16/50 (Equivalente a 1.6)  Comentarios del Profesor: Equipo, valoro el esfuerzo en la entrega. El archivo está
bien estructurado, incluyeron todas las secciones solicitadas (Markdown,
Pseudocódigo, Código) y demostraron iniciativa al agregar un método adicional (eliminar_producto).
Sin embargo, el proyecto presenta un error fundamental en la lógica de la
Programación Orientada a Objetos que debemos corregir de inmediato.  
 Punto
     Crítico (Error de Lógica): 
  El
      error principal está en el constructor (__init__). Un CarritoDeCompras se
      crea vacío, y los productos (con sus nombres y precios) se añaden después.
      Su diseño actual obliga a crear el carrito con un nombre y precio fijos. 
  Consecuencia:
      El método agregar_producto suma siempre el mismo precio con el que se
      creó el objeto, no el precio del producto que se está agregando. Ejemplo:
      si crean mi_compra con un precio de 10, y luego agregan un
      "Computador" de 3,000,000, el total solo aumenta en 10. Esto
      invalida la funcionalidad central del carrito. 
 Oportunidades
     de Mejora: 
  Planeación:
      El diagrama de flujo y el pseudocódigo son demasiado genéricos. Debían
      detallar la lógica específica de la clase CarritoDeCompras, no el proceso
      general de programar. 
  Requerimientos:
      Se solicitó un método ver_carrito que mostrara los productos y el total.
      El método calcular_total que crearon solo retorna el valor, pero no
      cumple con la función de mostrar el listado de ítems. 
  Motivación:  
Este es un error conceptual muy común y es una excelente oportunidad de
aprendizaje. Entender por qué el precio debe ser un parámetro del método agregar_producto
y no del constructor es la clave para dominar la POO. Les pido que revisen la
solución ideal que compartiré, la comparen con su código y anoten sus dudas
para la próxima clase. Superar este obstáculo ahora les garantizará el éxito en
los temas que vienen.  Rúbrica de Calificación 
  Criterio de Evaluación 
  Requisito Técnico 
  Puntaje Máximo 
  Puntaje Obtenido 
  Planeación 
  Pseudocódigo/Diagrama específico y coherente con la tarea. 
  10.0 
  2.0 
  Encapsulamiento y Estructura 
  Uso correcto de self y definición correcta de la clase y
  sus métodos. 
  15.0 
  5.0 
  Funcionalidad 
  El prototipo realiza las operaciones de agregar y mostrar
  correctamente. 
  15.0 
  3.0 
  Documentación 
  Claridad en las explicaciones línea a línea del código. 
  10.0 
  6.0 
  TOTAL 
  50.0 
  16.0 
 Diego Mauricio Zuluaga Rodríguez 
Profesor - Departamento de Economía 
Universidad de La Sabana</t>
  </si>
  <si>
    <t>Retroalimentación de la Entrega: Modelando un Carrito de
Compras (POO)  Cristian Bermudez, Camilo Leyton y Nicolas Torres  Calificación Final: 40/50 (Equivalente a 4.0)  Comentarios del Profesor: 
Equipo (Cristian, Camilo y Nicolás), su entrega tiene contrastes importantes.
Por un lado, el nivel técnico del código es excelente; por otro, hay fallas
críticas en la competencia de Autogestión y seguimiento de
instrucciones.  
 Puntos
     Destacados (Lo Técnico): 
  Estructura
      de Datos: La decisión de guardar cada producto como una tupla (nombre_producto,
      precio_producto) dentro de la lista self.items es una excelente práctica.
      Demuestra que entienden cómo anidar colecciones para mantener los datos
      organizados. 
  Encapsulamiento:
      El uso de self para mantener el estado del objeto (self.total y self.items)
      es impecable. 
  Documentación:
      Cumplieron a cabalidad con el requisito de comentar línea por línea el
      funcionamiento del código. 
 Oportunidades
     de Mejora (Autogestión y Sanity Check): 
  Planeación
      Inexistente (0/10 pts): Omitieron por completo el Pseudocódigo o
      Diagrama de Flujo en la celda de Markdown. Las instrucciones marcaban
      esto como una "Regla de Oro: Planeación Obligatoria". En
      la EICEA y en la vida real, no basta con que el código funcione; se debe
      demostrar la planeación lógica detrás de la solución. 
  Atención
      al Detalle: Titularon su entrega como "Análisis de Marketing
      con IA", el cual era el tema de una tarea anterior. Entregar un
      desarrollo técnico impecable con el título de otro proyecto resta
      profesionalismo frente a un cliente o jefe. ¡Cuidado con el copy-paste en
      las plantillas! 
  Motivación: 
Tienen la capacidad técnica y lógica para sacar la máxima nota. El código que
escribieron es de alto nivel. Para las próximas entregas, asegúrense de leer la
rúbrica completa y auditar sus entregables antes de subirlos. ¡Ajusten ese
detalle de planeación y llegarán a la excelencia!  Rúbrica de Calificación 
  Criterio de Evaluación 
  Requisito Técnico 
  Puntaje Máximo 
  Puntaje Obtenido 
  Planeación 
  Pseudocódigo detallado en Markdown que coincide con la
  implementación final. 
  10.0 
  0.0 (No se incluyó) 
  Encapsulamiento 
  Uso correcto de self para inicializar y modificar
  atributos (items, total). 
  15.0 
  15.0 
  Documentación 
  Código comentado línea por línea explicando la acción de
  cada instrucción. 
  10.0 
  10.0 
  Funcionalidad 
  Métodos agregar_producto y ver_carrito funcionales. Prueba
  de clase exitosa. 
  15.0 
  15.0 
  TOTAL 
  50.0 
  40.0 
 Diego Mauricio Zuluaga Rodríguez 
Profesor - Departamento de Economía 
Universidad de La Sabana</t>
  </si>
  <si>
    <t>Retroalimentación de la Entrega: Modelando un Carrito de
Compras (POO)  Juan David Neuta, Laura Fernanda Lopez y Jose Daniel
Escobar,  Calificación Final: 50/50 (Equivalente a 5.0)  Comentarios del Profesor: Equipo, han entregado un trabajo que va más allá de lo
solicitado, demostrando una excelente capacidad de investigación y un alto
nivel de autogestión. La lógica de POO es impecable, pero lo que realmente
destaca es la atención a la Experiencia de Usuario (UX) en la consola.  
 Puntos
     Destacados: 
  Autogestión
      y Creatividad (Valor Agregado): La implementación de la clase bcolors
      para darle formato y color a la salida de la terminal es un detalle de
      nivel avanzado. Esto demuestra que están explorando el ecosistema de
      Python más allá de lo visto en clase. 
  Planeación
      y Documentación: El pseudocódigo es claro y coincide perfectamente
      con la implementación final. Además, el uso de emojis en los comentarios
      (#) hace que el código sea muy amigable y fácil de leer. 
  Encapsulamiento
      y Funcionalidad: La estructura de la clase CarritoDeCompras, el uso
      de self y los métodos agregar_producto y ver_carrito son técnicamente
      perfectos. 
 Oportunidad
     de Mejora (Para próximos proyectos): 
  Al
      igual que otros grupos, guardaron solo el nombre del producto en
      la lista self.items. Para el próximo reto, intenten guardar un diccionario
      en la lista: self.items.append({"nombre": nombre_producto,
      "precio": precio_producto}). Esto les permitirá mostrar el
      precio individual de cada producto en el resumen final. 
  En
      el print del total, recuerden usar el formato de f-string para limitar
      los decimales a dos, como se hace en finanzas: print(f"Total:
      ${self.total:.2f}"). 
  Motivación:  
Tienen una excelente base en POO y, lo más importante, la curiosidad para
investigar y aplicar conceptos nuevos por su cuenta. Esa proactividad es lo que
distingue a un buen programador de uno excepcional. ¡Mantengan esa energía para
el resto del Corte 2!  Rúbrica de Calificación 
  Criterio de Evaluación 
  Requisito Técnico 
  Puntaje Máximo 
  Puntaje Obtenido 
  Planeación 
  Pseudocódigo detallado en Markdown que coincide con la
  implementación final. 
  10.0 
  10.0 
  Encapsulamiento 
  Uso correcto de self para inicializar y modificar
  atributos (items, total). 
  15.0 
  15.0 
  Documentación 
  Código comentado línea por línea explicando la acción de
  cada instrucción. 
  10.0 
  10.0 
  Funcionalidad 
  Métodos agregar_producto y ver_carrito funcionales. Prueba
  de clase exitosa. 
  15.0 
  15.0 
  TOTAL 
  50.0 
  50.0 
 Diego Mauricio Zuluaga Rodríguez 
Profesor - Departamento de Economía 
Universidad de La Sabana</t>
  </si>
  <si>
    <t>Retroalimentación de la Entrega: Clase 6 - Carrito de
Compras (POO)  Mariana Peña, Matías Mondragón y Arianne Amorocho  Calificación Final: 50/50  Comentarios del Profesor: ¡Excelente trabajo, equipo! Han alcanzado un nivel de
madurez técnica muy alto. Esta entrega es un ejemplo perfecto de cómo se debe
estructurar un proyecto de software: desde el pensamiento lógico inicial hasta
la implementación limpia y profesional.  
 Puntos
     Destacados: 
  Arquitectura
      de Datos: A diferencia de soluciones básicas, ustedes decidieron
      almacenar los items como diccionarios dentro de la lista ({"producto":
      nombre, "precio": precio}). Esto es un acierto técnico total;
      facilita enormemente la escalabilidad si mañana quisieran agregar más
      datos (como una descripción, marca o categoría) sin romper el código. 
  Pseudocódigo
      de Alto Nivel: La planeación en Markdown es impecable. El desglose
      1.0, 2.0, 3.0 es el estándar de oro para asegurar que la lógica sea
      coherente antes de escribir una sola línea de Python. 
  UX
      (Experiencia de Usuario): El formato del ticket final (🧾
      RESUMEN DE TU CARRITO) demuestra que entienden que el código no solo es
      para la máquina, sino para el usuario final. El uso de ljust y los
      separadores visuales lo hace lucir profesional. 
  Documentación:
      Comentar el código "línea a línea" no solo cumple con la
      instrucción, sino que ayuda a que cualquier persona (incluidos ustedes en
      el futuro) entienda la lógica al instante. 
  Motivación:  
Han dominado la base de la Programación Orientada a Objetos. Entender cómo
encapsular el estado de un carrito dentro de una clase es el primer paso para
construir sistemas empresariales. Mantengan este rigor; el siguiente paso será
conectar estas clases con bases de datos reales para que los productos no se
pierdan al cerrar el programa. ¡Felicitaciones!  Rúbrica de Calificación 
  Criterio de Evaluación 
  Requisito Técnico 
  Puntaje Máximo 
  Puntaje Obtenido 
  Planeación 
  Pseudocódigo detallado en Markdown que coincide con la
  implementación final. 
  10.0 
  10.0 
  Encapsulamiento 
  Uso correcto de self, atributos de instancia (items, total)
  y métodos de clase. 
  15.0 
  15.0 
  Documentación 
  Explicación clara y detallada de cada línea de código
  mediante comentarios. 
  10.0 
  10.0 
  Funcionalidad 
  Métodos agregar_producto y ver_carrito funcionales y
  robustos. 
  15.0 
  15.0 
  TOTAL 
  50.0 
  50.0 
 Diego Mauricio Zuluaga Rodríguez 
Profesor - Departamento de Economía 
Universidad de La Sabana</t>
  </si>
  <si>
    <t>Camacho Pedraza, Daniel Felipe  Le escribo para informarle que no se registró la entrega
de la "Tarea Clase 5: Modelando un Carrito de Compras (POO)"
antes de la fecha límite establecida.  Conforme a las reglas de autogestión y el contrato
pedagógico del curso, la nota registrada para esta actividad es 0.0 y no
es modificable.  Más allá del impacto en la nota, mi principal preocupación
es el vacío conceptual que esta omisión genera. La tarea de la Clase 5
era el pilar fundamental para introducirse en la Programación Orientada a
Objetos (POO). Sin haber modelado su primera clase, los temas que veremos en la
Clase 6 (Herencia, Polimorfismo y Arquitectura de Software) serán
extremadamente difíciles de asimilar.  Estructurar una clase es el prerrequisito para poder
conectar la lógica con bases de datos SQL, que es el objetivo final del Corte
2.  Plan de Acción Urgente (Requerido):  Para que puedan seguir el ritmo del curso, es imperativo
que realicen las siguientes acciones antes de la próxima clase:  
 Revisar
     la solución ideal que ya fue compartida en el módulo de la clase.
     Analicen la estructura, el uso de self y la lógica de los métodos. 
 Realizar
     el ejercicio por su cuenta (aunque no tenga calificación). La única
     forma de entender POO es programando. 
 Llegar
     a la Clase 6 habiendo entendido los conceptos de clase, __init__, self,
     atributos y métodos.  Mi objetivo es que no se queden atrás en el contenido, que
es acumulativo. Espero su compromiso para nivelarse esta semana.  Diego Mauricio Zuluaga Rodríguez 
Profesor - Departamento de Economía 
Universidad de La Sabana</t>
  </si>
  <si>
    <t>Retroalimentación de la Entrega: Carrito de Compras (POO)  Maria Juliana Mejia, Maria Juliana Herrera y Mariana
Carmona  Calificación Final: 45/50 (Equivalente a 4.5)  Comentarios del Profesor: Equipo, el ejercicio es funcional y cumple con la lógica
solicitada, pero debo hacerles una observación técnica importante sobre la
estructura de sus archivos .ipynb.  
 Puntos
     Destacados: 
  Planeación:
      Excelente uso de etiquetas XML (&amp;lt;planeacion&amp;gt;) para estructurar el
      pseudocódigo. Es una forma muy ordenada de documentar el pensamiento
      lógico. 
  Funcionalidad:
      El objeto mi_compra interactúa correctamente con los métodos y el ciclo for
      en ver_carrito es impecable. 
  Documentación:
      Comentaron cada línea de código de forma clara y coherente con las
      instrucciones. 
 Observación
     de Autogestión (Estructura de Notebooks): 
     En sus celdas de código, definieron la clase CarritoDeCompras de forma
     fragmentada (celdas 2 y 3 separadas de la declaración inicial). Si un
     estudiante o un colega intenta ejecutar solo la celda final, el código
     fallará porque no está todo integrado en un solo bloque coherente. 
  Consejo:
      En Jupyter Notebooks, siempre asegúrense de que el bloque completo de la
      clase esté en una sola celda para garantizar que el objeto pueda ser
      instanciado sin errores de referencia. 
  Motivación:  
Tienen una capacidad lógica muy alta y su código es limpio. Corrigiendo el
detalle de la estructura de las celdas, sus entregas serán perfectas.
¡Excelente desempeño en esta transición a la POO!  Rúbrica de Calificación 
  Criterio de Evaluación 
  Descripción Técnica 
  Puntaje Máximo 
  Puntaje Obtenido 
  Planeación 
  Pseudocódigo claro, estructurado y presentado en Markdown. 
  10.0 
  10.0 
  Encapsulamiento 
  Estructura de clase correcta con __init__, self y métodos
  definidos. 
  15.0 
  15.0 
  Documentación 
  Comentarios explicativos en cada línea del código. 
  10.0 
  10.0 
  Funcionalidad 
  El código corre sin errores y cumple con las operaciones
  solicitadas. 
  15.0 
  10.0 
  TOTAL 
  50.0 
  45.0 
 (La penalización de 5 puntos se debe a que el código
estaba fragmentado en múltiples celdas, lo que compromete la integridad y
ejecución limpia del prototipo). Diego Mauricio Zuluaga Rodríguez 
Profesor - Departamento de Economía 
Universidad de La Sabana</t>
  </si>
  <si>
    <t>El archivo adjunto no contiene la solución de la tarea.</t>
  </si>
  <si>
    <t>Retroalimentación de la Entrega: Modelando un Carrito de
Compras (POO)  Alejandra Leon Vargas y Sofia Giraldo Pico  Calificación Final: 50/50 (Equivalente a 5.0)  Comentarios del Profesor:  
¡Trabajo excepcional, equipo! Han entregado un prototipo que no solo cumple,
sino que supera con creces las expectativas del ejercicio. Demuestran una
comprensión profunda de la POO y una atención al detalle digna de un software
profesional.  
 Puntos
     Destacados (Nivel Avanzado): 
  Programación
      Defensiva: La validación de precios (isinstance y precio &amp;lt;= 0) es
      una práctica de nivel superior. Al incluirla, se aseguraron de que el
      programa no colapse ni acepte datos ilógicos, un "Sanity Check"
      fundamental en cualquier aplicación financiera. 
  Principio
      DRY (Don't Repeat Yourself): La creación de un método auxiliar (_formatear_moneda)
      para centralizar la lógica de formato de moneda es una técnica de
      arquitecto de software. Esto hace que el código sea más limpio, fácil de
      mantener y escalable. 
  Autogestión
      y Planeación: El pseudocódigo es claro, detallado y se alinea
      perfectamente con la implementación final. Demuestra que invirtieron
      tiempo en el diseño antes de la codificación. 
  Documentación
      y UX: El código está impecablemente documentado, y la presentación de
      los resultados en la consola es limpia y muy profesional. 
  Motivación:  
Este es el estándar de excelencia que buscamos en el curso. Han demostrado que
no solo pueden seguir instrucciones, sino que pueden anticipar problemas y
diseñar soluciones elegantes y robustas. Si mantienen este nivel de pensamiento
crítico y rigurosidad técnica, están más que preparadas para los retos de bases
de datos y análisis que vienen en el resto del semestre. ¡Felicitaciones!  Rúbrica de Calificación 
  Criterio de Evaluación 
  Requisito Técnico 
  Puntaje Máximo 
  Puntaje Obtenido 
  Planeación 
  Pseudocódigo detallado en Markdown que coincide con la
  implementación final. 
  10.0 
  10.0 
  Encapsulamiento 
  Uso correcto de self y estructura de la clase, incluyendo
  métodos auxiliares. 
  15.0 
  15.0 
  Documentación 
  Código comentado línea por línea explicando la acción de
  cada instrucción. 
  10.0 
  10.0 
  Funcionalidad 
  Prototipo funcional con validaciones de datos y formato de
  salida profesional. 
  15.0 
  15.0 
  TOTAL 
  50.0 
  50.0 
 Diego Mauricio Zuluaga Rodríguez 
Profesor - Departamento de Economía 
Universidad de La Sabana</t>
  </si>
  <si>
    <t>Retroalimentación de la Entrega: Modelando un Carrito de
Compras (POO)  Valery Linares Hernandez y Maria Jose Botero Galviz  Calificación Final: 50/50 (Equivalente a 5.0)  Comentarios del Profesor: 
Equipo, esta es una entrega de nivel excepcional. Han demostrado no solo que
pueden seguir instrucciones, sino que pueden pensar como arquitectos de
software, anticipando problemas y escribiendo código limpio, eficiente y
robusto. 
 Puntos
     Destacados (Lo que los diferencia): 
  Autogestión
      y Planeación: El pseudocódigo es impecable y demuestra que diseñaron
      la solución completa, incluyendo validaciones y métodos auxiliares, antes
      de programar. 
  Robustez
      del Código (Sanity Check): La validación if not isinstance(...) para
      el precio es una práctica de "programación defensiva" de nivel
      profesional. Evita que el programa colapse si el usuario ingresa texto o
      un precio negativo. Excelente iniciativa. 
  Código
      "Pythónico" Avanzado: El uso de enumerate con
      desempaquetado de tuplas (for posicion, (nombre, precio) in
      enumerate(...)) es una técnica elegante y muy eficiente que demuestra un
      dominio superior del lenguaje. 
  UX
      y Profesionalismo: El método auxiliar _formatear_moneda para
      estandarizar la salida de dinero es una decisión de diseño brillante.
      Muestra que están pensando en la experiencia del usuario final y en la
      mantenibilidad del código (principio DRY). 
 Oportunidad
     de Mejora (El Siguiente Nivel): 
  Su
      código es tan sólido que el siguiente paso natural es aplicar los
      conceptos de la Clase 6. ¿Cómo se vería esto si tuvieran una clase Producto
      de la que heredan ProductoFisico y ProductoDigital? ¿Cómo protegerían el total
      con encapsulamiento (__total) para que solo pueda ser modificado por los
      métodos de la clase? Sigan por esa línea de pensamiento. 
  Motivación: 
Este es el nivel de calidad que los diferenciará en el mercado laboral. Han
demostrado una capacidad de abstracción y atención al detalle que va más allá
de lo esperado. ¡Felicitaciones por una entrega sobresaliente!  Rúbrica de Calificación 
  Criterio de Evaluación 
  Requisito Técnico 
  Puntaje Máximo 
  Puntaje Obtenido 
  Planeación 
  Pseudocódigo detallado en Markdown que coincide con la
  implementación final. 
  10.0 
  10.0 
  Encapsulamiento 
  Uso correcto de self para inicializar y modificar
  atributos (items, total). 
  15.0 
  15.0 
  Documentación 
  Código comentado línea por línea explicando la acción de
  cada instrucción. 
  10.0 
  10.0 
  Funcionalidad 
  Métodos agregar_producto y ver_carrito funcionales. Prueba
  de clase exitosa. 
  15.0 
  15.0 
  TOTAL 
  50.0 
  50.0 
 Diego Mauricio Zuluaga Rodríguez 
Profesor - Departamento de Economía 
Universidad de La Sabana</t>
  </si>
  <si>
    <t>Carmona Romero, Mariana  Les escribo para informarles que no se registró la entrega
de la "Tarea Clase 5: Modelando un Carrito de Compras (POO)"
antes de la fecha límite establecida.  Conforme a las reglas de autogestión y el contrato
pedagógico del curso, la nota registrada para esta actividad es 0.0 y no
es modificable.  Más allá del impacto en la nota, mi principal preocupación
es el vacío conceptual que esta omisión genera. La tarea de la Clase 5
era el pilar fundamental para introducirse en la Programación Orientada a
Objetos (POO). Sin haber modelado su primera clase, los temas que veremos en la
Clase 6 (Herencia, Polimorfismo y Arquitectura de Software) serán
extremadamente difíciles de asimilar.  Estructurar una clase es el prerrequisito para poder
conectar la lógica con bases de datos SQL, que es el objetivo final del Corte
2.  Plan de Acción Urgente (Requerido):  Para que puedan seguir el ritmo del curso, es imperativo
que realicen las siguientes acciones antes de la próxima clase:  
 Revisar
     la solución ideal que ya fue compartida en el módulo de la clase.
     Analicen la estructura, el uso de self y la lógica de los métodos. 
 Realizar
     el ejercicio por su cuenta (aunque no tenga calificación). La única
     forma de entender POO es programando. 
 Llegar
     a la Clase 6 habiendo entendido los conceptos de clase, __init__, self,
     atributos y métodos.  Mi objetivo es que no se queden atrás en el contenido, que
es acumulativo. Espero su compromiso para nivelarse esta semana.  Diego Mauricio Zuluaga Rodríguez 
Profesor - Departamento de Economía 
Universidad de La Sabana</t>
  </si>
  <si>
    <t>Retroalimentación de la Entrega: Modelando un Carrito de
Compras (POO)  Paula Andrea Arciniegas, Valeria Morales e Isabella
Carranza   Calificación Final: 50/50 (Equivalente a 5.0)  Comentarios del Profesor: 
¡Excelente trabajo, equipo! Han logrado dar el salto de la programación
estructurada a la Programación Orientada a Objetos (POO) de manera impecable.
Este ejercicio demuestra que comprenden cómo encapsular datos (atributos) y
acciones (métodos) dentro de una misma entidad.  
 Puntos
     Destacados: 
  Autogestión
      y Planeación: Su pseudocódigo es uno de los más detallados y
      estructurados que he revisado. El desglose numérico (1.0, 2.1.1, etc.)
      demuestra un pensamiento lógico riguroso antes de escribir código. 
  Encapsulamiento
      (self): Entendieron perfectamente que self.total permite que el
      método ver_carrito() sepa cuánto dinero sumó el método agregar_producto().
      Comparten la memoria interna del objeto de forma correcta. 
  Uso
      de Funciones Integradas: La implementación de enumerate(self.items,
      start=1) en el ciclo for es un toque avanzado y muy elegante para listar
      los productos. 
  Documentación:
      El uso de Docstrings (""" """) al
      inicio de la clase y de los métodos es una excelente práctica profesional
      que facilita la lectura del código. 
 Oportunidad
     de Mejora (Para próximos proyectos): 
  En
      este ejercicio guardaron solo el nombre del producto en la lista self.items.
      Aunque cumple con lo solicitado y el total se calcula bien, en un
      e-commerce real (o en futuras clases con bases de datos) necesitaremos
      ver el precio individual de cada ítem en el resumen final. Para el
      próximo reto, intenten guardar un diccionario en la lista: self.items.append({"nombre":
      nombre_producto, "precio": precio_producto}). 
  Motivación: 
Tienen una base muy sólida en POO. Entender cómo los objetos interactúan
consigo mismos es el paso más difícil, y ustedes lo han superado con éxito.
¡Sigan con este nivel de excelencia para el resto del Corte 2!  Rúbrica de Calificación 
  Criterio de Evaluación 
  Requisito Técnico 
  Puntaje Máximo 
  Puntaje Obtenido 
  Planeación 
  Pseudocódigo detallado en Markdown que coincide con la
  implementación final. 
  10.0 
  10.0 
  Encapsulamiento 
  Uso correcto de self para inicializar y modificar
  atributos (items, total). 
  15.0 
  15.0 
  Documentación 
  Código comentado línea por línea explicando la acción de
  cada instrucción. 
  10.0 
  10.0 
  Funcionalidad 
  Métodos agregar_producto y ver_carrito funcionales. Prueba
  de clase exitosa. 
  15.0 
  15.0 
  TOTAL 
  50.0 
  50.0 
 Diego Mauricio Zuluaga Rodríguez 
Profesor - Departamento de Economía 
Universidad de La Sabana</t>
  </si>
  <si>
    <t>Asistencia Clase 6</t>
  </si>
  <si>
    <t>Asistencia Clase 7</t>
  </si>
  <si>
    <t>Retroalimentación: Tarea Clase 6 - Módulo de Proveedores Integrantes: Simon Gustavo Restrepo Alvarez, Mateo Perez Daza y Diego Alejandro Hermida Limas. ¡Hola, equipo! Qué gusto saludarlos. He revisado detalladamente su entrega y quiero empezar felicitándolos por el excelente nivel técnico que demostraron en este ejercicio. Se nota que se tomaron el tiempo de estructurar el código pensando no solo en que funcione, sino en que sea profesional y escalable.Su pseudocódigo es impecable. Es muy gratificante ver una planeación tan detallada que incluya no solo la clase solicitada (Proveedor), sino también la jerarquía de herencia completa con Bebida y Snack. Esta es la base de la autogestión: diseñar los planos antes de poner el primer ladrillo de código.Técnicamente, el uso del encapsulamiento fue muy acertado. Utilizaron correctamente los atributos privados (__) en la clase Proveedor para proteger los datos sensibles de la empresa. Además, la validación que incluyeron en el método set_nit usando .isdigit() es una práctica de "Sanity Check" fundamental para evitar que el sistema colapse con datos basura.Me gustó mucho cómo manejaron la interacción entre objetos. El método suministrar_producto refleja perfectamente cómo un proceso de negocio real (un proveedor entregando mercancía) se traduce a código, modificando el estado de un objeto Producto de forma segura a través de sus propios métodos.Sigan con ese entusiasmo y rigor. Están construyendo una base muy sólida que les facilitará enormemente la vida cuando empecemos a conectar estos objetos con bases de datos SQL reales. ¡Excelente trabajo, muchachos!A continuación, les comparto el desglose de su calificación: Rúbrica de Calificación (Total: 50 puntos)Criterio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errores.5.05.0TOTAL50.050.0Calificación Final: 50 / 50  Atentamente, Diego Mauricio Zuluaga RodríguezProfesor - Departamento de Economía Universidad de La Sabana</t>
  </si>
  <si>
    <t>📦 Tarea Clase 6: Módulo de Proveedores</t>
  </si>
  <si>
    <t>Retroalimentación de la Entrega: Módulo de Proveedores (Arquitectura Cafetería U. Sabana)Grupo: Juan Sebastián Salas Hinojosa, Alan David Rossoff Vanegas y Lukas Blanco Llanes.Calificación Final: 50/50 (Equivalente a 5.0)Comentarios del Profesor:¡Hola, equipo! Qué gusto saludarlos. He revisado a fondo su entrega y quiero felicitarlos porque han realizado un trabajo excepcional. Se nota que no solo se limitaron a cumplir con los requisitos, sino que realmente se detuvieron a entender cómo cada pieza del código construye un sistema profesional y robusto.Lo que más me gustó de su trabajo:Esa planeación previa: Su pseudocódigo es de los mejores que he visto. Es claro, está bien estructurado y sirvió como un mapa perfecto para lo que programaron después. Como siempre decimos: un buen arquitecto no pone un ladrillo sin antes ver los planos.Encapsulamiento real: Me alegra mucho ver que aplicaron el concepto de atributos privados (__) no solo en la clase Proveedor, sino que también refactorizaron la clase Producto. Esto es fundamental para proteger la integridad del negocio; evitaron que alguien "metiera mano" en los precios o el stock sin pasar por las validaciones.Validaciones inteligentes (Sanity Checks): Su método set_nit es impecable. Validar que el campo no esté vacío y que solo contenga dígitos demuestra que están pensando en los errores que un usuario real podría cometer. ¡Ese es el nivel de detalle que buscamos en la EICEA!Interacción entre objetos: Lograron que el Proveedor interactuara con el Producto de forma elegante, respetando la autonomía de cada clase. El uso de super() y el polimorfismo en los impuestos y descuentos muestra que ya dominan la lógica de herencia.Pequeña sugerencia para el futuro: Su código ya es de nivel profesional. Ahora que vamos hacia las bases de datos SQL, piensen en cómo esas validaciones que hicieron en el set_nit les ahorrarán muchísimos dolores de cabeza al momento de limpiar datos para Power BI.Motivación: Juan Sebastián, Alan y Lukas, sigan con ese ritmo. Tienen una capacidad analítica muy alta y su forma de documentar el código (explicando el self, el super y el porqué de cada acción) es una práctica que les servirá muchísimo en su vida laboral. Van por un camino excelente hacia la excelencia técnica.¡Nos vemos en la próxima clase para darle "memoria" a este gran proyecto con SQL!Diego Mauricio Zuluaga Rodríguez Profesor - Departamento de Economía Universidad de La Sabana</t>
  </si>
  <si>
    <t>¡Hola, Daniel, Martin y Juan! Qué buen trabajo han presentado.Es un gusto ver cómo han logrado integrar los conceptos de la Programación Orientada a Objetos con tanta claridad. Se nota que hubo una coordinación real en el grupo para cumplir con cada uno de los requisitos de la actividad, manteniendo un orden impecable en el archivo.En cuanto a la Autogestión, los felicito por el pseudocódigo inicial. Es un hábito de "Arquitecto de Software" que les ahorrará muchísimas horas de corrección en el futuro. El hecho de que su lógica en lenguaje humano coincida exactamente con lo que programaron en Python demuestra un pensamiento estructurado y analítico, muy valioso para su formación en la EICEA.Técnicamente, el Encapsulamiento es perfecto. Utilizaron correctamente el doble guion bajo para proteger los atributos y, lo más importante, entendieron que la comunicación entre objetos debe ser "educada": el Proveedor no entra a la fuerza a cambiar los datos del Producto, sino que le pide permiso a través de los métodos get_stock y set_stock. Esa es la base de un sistema robusto y profesional.También quiero destacar la validación en el método set_nit. El uso de .isdigit() para blindar el sistema contra errores de digitación es un "Sanity Check" excelente. Esas pequeñas validaciones son las que marcan la diferencia entre un programa que funciona y un software que está listo para el mundo real y para conectarse a una base de datos SQL sin fallar.Sigan con ese nivel de detalle y compromiso. Están construyendo una base lógica muy fuerte que les servirá no solo para este curso, sino para liderar proyectos tecnológicos en sus carreras. ¡Muy bien hecho!Rúbrica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formato.10.010.0Interacción de ObjetosMétodo suministrar_producto funcional, interactuando correctamente con la clase Producto.10.010.0Documentación y PruebasCódigo comentado y bloque de pruebas con casos de éxito y error.5.05.0TOTAL FINAL50.050.0Calificación: 50 / 50Diego Mauricio Zuluaga Rodríguez Profesor - Departamento de Economía Universidad de La Sabana</t>
  </si>
  <si>
    <t>Hola Juan Sebastián.   He revisado en Teams y no se registra tu entrega de la Tarea
Clase 6: Módulo de Proveedores.   Recuerda que en este curso la autogestión es
una competencia fundamental. Como analizamos en el cierre del Corte 1, omitir
estas entregas de bajo peso (checkpoints) puede afectar significativamente tu
promedio final, independientemente del resultado en el parcial.   Te invito a revisar el material y ponerte al día con los
conceptos con apoyo de tu grupo de trabajo, ya que esta actividad es la base
técnica para el Taller del Corte 2 y la integración con Bases de Datos SQL que
estamos desarrollando.   ¡Ánimo! Todavía estamos a tiempo de asegurar un excelente
desempeño en este segundo corte.   Atentamente,  Diego Mauricio Zuluaga Rodríguez 
Profesor - Departamento de Economía 
Universidad de La Sabana</t>
  </si>
  <si>
    <t>¡Hola, equipo! Qué buen trabajo han presentado Gabriela, Maria Jose y Alessandro.Me da mucho gusto ver cómo han integrado no solo lo solicitado en la tarea, sino que se adelantaron y aplicaron conceptos de herencia y polimorfismo que vimos en el Live Coding. Se nota que hay un compromiso real con el proyecto de la cafetería y que están entendiendo cómo estas piezas encajan en una arquitectura de software más grande.Puntos que quiero destacar de su entrega:Primero, la estructura de clases es impecable. El hecho de que hayan creado la clase padre "Producto" y las clases hijas "Bebida" y "Snack" demuestra que el principio DRY (No te repitas) quedó clarísimo. Además, el uso de super().__init__ está perfectamente implementado.Segundo, el encapsulamiento en la clase "Proveedor" es muy robusto. Utilizaron correctamente los atributos privados con el doble guion bajo (__) y el método set_nit tiene las validaciones exactas que buscábamos: que no sea un campo vacío y que sea estrictamente numérico. Esto es "Sanity Check" puro para proteger la integridad de los datos.Tercero, la interacción entre objetos en el método suministrar_producto funciona de maravilla. Es genial ver cómo el objeto proveedor "dialoga" con el objeto producto para actualizar el stock de forma segura a través de los métodos que ustedes mismos definieron.Como pequeña observación de mejora para el futuro: su pseudocódigo es más un resumen descriptivo que un paso a paso lógico. Para el taller del Corte 2, intenten que sea un poco más esquemático (paso 1, paso 2, etc.), ya que eso les ayudará a mapear mejor la lógica antes de tirar la primera línea de código. Sin embargo, la ejecución técnica compensa esto totalmente.¡Felicitaciones! Van por un excelente camino para lo que se viene con Bases de Datos SQL. Sigan con esa curiosidad y ese nivel de detalle.Rúbrica de Calificación (Total: 50/50)Criterio de EvaluaciónRequisito TécnicoPuntaje MáximoPuntaje ObtenidoPlaneación y LógicaPseudocódigo descriptivo que refleja la lógica del sistema.10.010.0EncapsulamientoClase Proveedor con atributos privados y uso correcto de self.15.015.0Métodos de SeguridadImplementación de get_nit y set_nit con validaciones de formato.10.010.0Interacción de ObjetosEl proveedor modifica el stock del producto exitosamente.10.010.0Documentación y PruebasCódigo bien comentado y batería de pruebas completa.5.05.0Puntaje FinalDiego Mauricio Zuluaga RodríguezProfesor - Departamento de EconomíaUniversidad de La Sabana</t>
  </si>
  <si>
    <t>¡Hola, Daniel, Martin y Juan! Qué buen trabajo han presentado. Es un gusto ver cómo han logrado integrar los conceptos de la Programación Orientada a Objetos con tanta claridad. Se nota que hubo una coordinación real en el grupo para cumplir con cada uno de los requisitos de la actividad, manteniendo un orden impecable en el archivo.En cuanto a la Autogestión, los felicito por el pseudocódigo inicial. Es un hábito de "Arquitecto de Software" que les ahorrará muchísimas horas de corrección en el futuro. El hecho de que su lógica en lenguaje humano coincida exactamente con lo que programaron en Python demuestra un pensamiento estructurado y analítico, muy valioso para su formación en la EICEA.Técnicamente, el Encapsulamiento es perfecto. Utilizaron correctamente el doble guion bajo para proteger los atributos y, lo más importante, entendieron que la comunicación entre objetos debe ser "educada": el Proveedor no entra a la fuerza a cambiar los datos del Producto, sino que le pide permiso a través de los métodos get_stock y set_stock. Esa es la base de un sistema robusto y profesional.También quiero destacar la validación en el método set_nit. El uso de .isdigit() para blindar el sistema contra errores de digitación es un "Sanity Check" excelente. Esas pequeñas validaciones son las que marcan la diferencia entre un programa que funciona y un software que está listo para el mundo real y para conectarse a una base de datos SQL sin fallar.Sigan con ese nivel de detalle y compromiso. Están construyendo una base lógica muy fuerte que les servirá no solo para este curso, sino para liderar proyectos tecnológicos en sus carreras. ¡Muy bien hecho!Rúbrica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formato.10.010.0Interacción de ObjetosMétodo suministrar_producto funcional, interactuando correctamente con la clase Producto.10.010.0Documentación y PruebasCódigo comentado y bloque de pruebas con casos de éxito y error.5.05.0TOTAL FINAL50.050.0Calificación: 50 / 50Diego Mauricio Zuluaga Rodríguez Profesor - Departamento de Economía Universidad de La Sabana</t>
  </si>
  <si>
    <t>Retroalimentación de la Entrega: Módulo de Proveedores (POO Avanzada)Grupo: Samantha Vanegas Russi, Avril Ariza Quitian.Calificación Final: 45/50 (Equivalente a 4.5)Comentarios del Profesor:Buen trabajo, equipo. Han demostrado un avance significativo en la estructuración de clases y en la aplicación de los pilares de la POO. Es notable el esfuerzo por integrar no solo el módulo de proveedores, sino también los conceptos de herencia (Bebida/Snack) y el carrito de compras en un solo archivo.Puntos Destacados (Lo excelente):Encapsulamiento: El uso de atributos privados (__) en la clase Proveedor es correcto y protege la integridad de los datos de la empresa.Validación de Datos: El método set_nit incluye un "Sanity Check" adecuado al verificar que la entrada sea numérica y no esté vacía.Lógica de Diseño: El pseudocódigo inicial es claro y sirvió como una hoja de ruta efectiva para la programación.Oportunidades de Mejora (Sanity Check y Autogestión): Al ejecutar su Notebook de principio a fin, se detectaron dos errores críticos que afectaron la nota final:Error de Redefinición (AttributeError): En la Celda 24 redefinieron la clase producto, pero olvidaron incluir el método aumentar_stock que sí estaba en la Celda 20. Al llegar a la prueba de la Celda 25, el programa colapsó porque el objeto ya no encontraba esa "acción".Lección: En un proyecto real, si borras una función en una actualización, rompes el sistema (Breaking Change).Error de Sintaxis (NameError): En la Celda 26 intentaron instanciar CarritoDecompras() (con 'd' minúscula), pero la clase fue definida como CarritoDeCompras (con 'D' mayúscula). Python es estrictamente sensible a mayúsculas y minúsculas.Autogestión: Antes de entregar, siempre deben reiniciar el kernel y ejecutar todas las celdas. Esto les habría permitido detectar estos errores de "dedo" y corregirlos a tiempo.Motivación: Tienen una capacidad técnica muy alta y se nota que entienden la lógica detrás de la interacción entre objetos. No permitan que pequeños detalles de escritura o falta de una revisión final empañen un trabajo tan bien estructurado. ¡Sigan con esa proactividad para el Taller del Corte 2!Rúbrica de CalificaciónCriterio de EvaluaciónRequisito TécnicoPuntaje MáximoPuntaje ObtenidoPlaneación y LógicaPseudocódigo detallado y coherente en Markdown.10.010.0EncapsulamientoAtributos privados (__) en la clase Proveedor.15.015.0Métodos de SeguridadImplementación de set_nit con validación funcional.10.010.0Interacción de ObjetosLógica de suministrar_producto. (Se penaliza caída en ejecución).10.07.0Documentación y PruebasComentarios claros. (Se penaliza por errores AttributeError y NameError).5.03.0TOTAL50.045.0Diego Mauricio Zuluaga Rodríguez Profesor - Departamento de Economía Universidad de La Sabana</t>
  </si>
  <si>
    <t>Retroalimentación de la Entrega: Módulo de Proveedores (POO Avanzada)Grupo 11: Valeria Morales, Isabella Carranza Tapiero, Paula Andrea Arciniegas Cárdenas.Calificación Final: 50/50 (Equivalente a 5.0)Comentarios del Profesor: ¡Excelente trabajo, equipo! Han logrado implementar una arquitectura orientada a objetos muy limpia y profesional. Este ejercicio demuestra que han comprendido a la perfección el concepto de Encapsulamiento y cómo los objetos interactúan entre sí en un ecosistema de software.Puntos Destacados:Autogestión y Planeación: El pseudocódigo entregado en la celda de Markdown es claro, estructurado y refleja exactamente la lógica que luego programaron en Python. Cumplieron la regla de oro: pensar antes de codificar.Encapsulamiento Avanzado: La protección de los atributos con doble guion bajo (__nit, __nombre_empresa, etc.) fue implementada correctamente.Validación Robusta (Sanity Check): La lógica que utilizaron en el método set_nit (isinstance(nuevo_nit, str) and nuevo_nit.isdigit() and nuevo_nit != "") es de nivel avanzado. Están blindando el sistema contra errores humanos, lo cual es vital antes de conectar esto a una base de datos.Interacción entre Objetos: Recrear la clase Producto para poder probar el método suministrar_producto fue una excelente iniciativa. Demuestra que entienden cómo un objeto (Proveedor) puede modificar el estado interno de otro objeto (Producto) a través de sus métodos públicos (aumentar_stock).Motivación: Tienen una base técnica sumamente sólida. Al proteger los datos desde la clase en Python, están garantizando que cuando conectemos este sistema a nuestra Base de Datos SQL (SQLite) en las próximas clases, la información que llegue a las tablas sea 100% íntegra y confiable. ¡Sigan con este nivel de excelencia y rigor técnico!Rúbrica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errores.5.05.0TOTAL50.050.0Diego Mauricio Zuluaga Rodríguez Profesor - Departamento de Economía Universidad de La Sabana</t>
  </si>
  <si>
    <t>Hola Samuel.   He revisado en Teams y no se registra tu entrega de la Tarea
Clase 6: Módulo de Proveedores.   Recuerda que en este curso la autogestión es
una competencia fundamental. Como analizamos en el cierre del Corte 1, omitir
estas entregas de bajo peso (checkpoints) puede afectar significativamente tu
promedio final, independientemente del resultado en el parcial.   Te invito a revisar el material y ponerte al día con los
conceptos con apoyo de tu grupo de trabajo, ya que esta actividad es la base
técnica para el Taller del Corte 2 y la integración con Bases de Datos SQL que
estamos desarrollando.   ¡Ánimo! Todavía estamos a tiempo de asegurar un excelente
desempeño en este segundo corte.   Atentamente,  Diego Mauricio Zuluaga Rodríguez 
Profesor - Departamento de Economía 
Universidad de La Sabana</t>
  </si>
  <si>
    <t>Retroalimentación: Módulo de Proveedores (POO Avanzada)Integrantes: Nicolas Torres Calderon, Juan Camilo Leyton Lancheros y Cristian Bermudez. Calificación Final: 50/50 (Equivalente a 5.0) ¡Hola, equipo! Qué buen trabajo han presentado. Se nota una evolución clara en su forma de estructurar el código y, sobre todo, en la aplicación de los conceptos de Programación Orientada a Objetos. Han logrado construir un sistema que no solo funciona, sino que es seguro y profesional.Me gustaría destacar especialmente la robustez de su método set_nit. El uso de isinstance(nit, str) and nit.isdigit() es una práctica de nivel avanzado que demuestra que están pensando en la integridad de los datos. En el mundo de los negocios, validar que la información sea correcta antes de guardarla es lo que evita desastres financieros o legales.También es muy valioso que en el método suministrar_producto hayan incluido la verificación isinstance(producto, Producto). Esto asegura que el proveedor solo intente entregar mercancía a objetos que realmente sean productos de la cafetería, evitando errores de lógica en el sistema. Es un gran ejemplo de "programación defensiva".Su pseudocódigo, aunque quedó ubicado al final del archivo, cumple con el objetivo de mostrar la planeación lógica del ejercicio. Recuerden que para el Taller del Corte 2, estos "planos" (Diagramas de Clases y ERD) serán la pieza fundamental para que su base de datos SQLite funcione correctamente sin redundancias.Sigan con esa disciplina y atención al detalle. Tienen una base técnica muy sólida para enfrentar lo que viene: la persistencia de datos en SQL. ¡Felicitaciones por este excelente resultado!Rúbrica de CalificaciónCriterio de EvaluaciónRequisito TécnicoPuntaje MáximoPuntaje ObtenidoPlaneación y LógicaPseudocódigo detallado en Markdown que refleja la lógica del sistema.10.010.0EncapsulamientoCreación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y bloque de pruebas ejecutado con éxito.5.05.0TOTAL50.050.0Diego Mauricio Zuluaga Rodríguez Profesor - Departamento de Economía Universidad de La Sabana</t>
  </si>
  <si>
    <t>Retroalimentación: Tarea Clase 6 - Módulo de ProveedoresIntegrantes: Juan David Neuta Medina, Laura Fernanda Lopez Parra y Jose Daniel Escobar Hurtado.¡Hola, equipo! Qué gusto saludarlos. He revisado detalladamente su entrega para el sistema de gestión de "Sabana Coffee" y quiero felicitarlos por el nivel de profesionalismo y orden que demostraron en este ejercicio.Se nota que no se limitaron a cumplir con los requisitos básicos, sino que pensaron en el proyecto como un sistema integral y escalable. El uso de herramientas adicionales como datetime para la trazabilidad y el type hinting (indicar si es str o int en los parámetros) le da a su código un estándar de calidad muy alto, propio de desarrolladores que cuidan el detalle.Su planeación en el pseudocódigo es impecable. Lograron estructurar la lógica de herencia antes de pasar al código, lo cual es la base de una buena autogestión. Además, la implementación de la clase Cafeteria como orquestadora de proveedores y productos es un paso adelante muy valioso que les facilitará enormemente el trabajo para el Taller del Corte 2.Un punto que me pareció excelente fue el manejo de errores mediante raise ValueError. En lugar de solo imprimir un mensaje, están obligando al programa a tratar el error de forma técnica, lo cual es una práctica fundamental en la arquitectura de software profesional. El "Sanity Check" del NIT con isdigit() quedó perfecto.Sigan con esa curiosidad técnica. Han construido una base muy sólida que les permitirá integrar bases de datos SQL de manera muy natural en las próximas clases. ¡Excelente trabajo!Rúbrica de Calificación (Sobre 50 puntos)Criterio de EvaluaciónRequisito TécnicoPuntaje MáximoPuntaje ObtenidoPlaneación y LógicaPseudocódigo detallado en Markdown que refleja la arquitectura POO.10.010.0EncapsulamientoUso correcto de atributos privados (__) y protección de datos sensibles.15.015.0Métodos de SeguridadImplementación de get_nit y set_nit con validaciones robustas.10.010.0Interacción de ObjetosMétodo suministrar_producto funcional que modifica el stock de Producto.10.010.0Documentación y EstiloCódigo limpio, documentado y uso de clases adicionales (Cafeteria).5.05.0TOTAL50.050.0Calificación Final: 50 / 50 (5.0)Diego Mauricio Zuluaga RodríguezProfesor - Departamento de EconomíaUniversidad de La Sabana</t>
  </si>
  <si>
    <t>Retroalimentación: Tarea Clase 6 - Módulo de ProveedoresIntegrantes: Juan David Neuta Medina, Laura Fernanda Lopez Parra y Jose Daniel Escobar Hurtado. ¡Hola, equipo! Qué gusto saludarlos. He revisado detalladamente su entrega para el sistema de gestión de "Sabana Coffee" y quiero felicitarlos por el nivel de profesionalismo y orden que demostraron en este ejercicio.Se nota que no se limitaron a cumplir con los requisitos básicos, sino que pensaron en el proyecto como un sistema integral y escalable. El uso de herramientas adicionales como datetime para la trazabilidad y el type hinting (indicar si es str o int en los parámetros) le da a su código un estándar de calidad muy alto, propio de desarrolladores que cuidan el detalle.Su planeación en el pseudocódigo es impecable. Lograron estructurar la lógica de herencia antes de pasar al código, lo cual es la base de una buena autogestión. Además, la implementación de la clase Cafeteria como orquestadora de proveedores y productos es un paso adelante muy valioso que les facilitará enormemente el trabajo para el Taller del Corte 2.Un punto que me pareció excelente fue el manejo de errores mediante raise ValueError. En lugar de solo imprimir un mensaje, están obligando al programa a tratar el error de forma técnica, lo cual es una práctica fundamental en la arquitectura de software profesional. El "Sanity Check" del NIT con isdigit() quedó perfecto.Sigan con esa curiosidad técnica. Han construido una base muy sólida que les permitirá integrar bases de datos SQL de manera muy natural en las próximas clases. ¡Excelente trabajo!Rúbrica de Calificación (Sobre 50 puntos)Criterio de EvaluaciónRequisito TécnicoPuntaje MáximoPuntaje ObtenidoPlaneación y LógicaPseudocódigo detallado en Markdown que refleja la arquitectura POO.10.010.0EncapsulamientoUso correcto de atributos privados (__) y protección de datos sensibles.15.015.0Métodos de SeguridadImplementación de get_nit y set_nit con validaciones robustas.10.010.0Interacción de ObjetosMétodo suministrar_producto funcional que modifica el stock de Producto.10.010.0Documentación y EstiloCódigo limpio, documentado y uso de clases adicionales (Cafeteria).5.05.0TOTAL50.050.0Calificación Final: 50 / 50 (5.0) Diego Mauricio Zuluaga Rodríguez Profesor - Departamento de Economía Universidad de La Sabana</t>
  </si>
  <si>
    <t>Retroalimentación de la Entrega: Módulo de Proveedores (POO Avanzada)Grupo: Mariana Peña Rodríguez, Matías Mondragón Osorio, Arianne Mariana Amorocho Quiroga.Calificación Final: 50/50 (Equivalente a 5.0)Comentarios del Profesor: ¡Excelente trabajo, equipo! Han entregado una solución con un nivel de madurez técnica sobresaliente. La arquitectura que diseñaron demuestra que comprenden perfectamente cómo proteger la información y cómo hacer que dos entidades distintas (Proveedor y Producto) se comuniquen de forma segura.Puntos Destacados:Autogestión y Planeación: El pseudocódigo presentado en la celda de Markdown es muy detallado y estructurado. Cumplieron a la perfección la regla de oro: planificar la arquitectura antes de escribir la primera línea de código.Encapsulamiento y Seguridad (Sanity Check): La validación que implementaron en el método set_nit (isinstance(nuevo_nit, str) and nuevo_nit.isdigit() and len(nuevo_nit) &amp;gt; 0) es robusta y profesional. Están blindando el sistema contra inyecciones de datos erróneos.Interacción entre Objetos: La implementación del método suministrar_producto es impecable. El proveedor no altera el stock directamente (lo cual violaría el encapsulamiento), sino que utiliza el método público y seguro aumentar_stock del objeto Producto.Pruebas Unitarias: El bloque de pruebas al final del script demuestra todos los escenarios posibles (caminos de éxito y de error), lo que evidencia una auditoría completa de su propio código.Motivación: Tienen la mentalidad exacta de un Arquitecto de Software. Al garantizar que los datos que ingresan a sus objetos son válidos y seguros, están preparando el terreno ideal para nuestra próxima etapa: la persistencia en Bases de Datos SQL. Si la lógica en Python es así de sólida, su base de datos será 100% confiable. ¡Sigan con este nivel de excelencia!Rúbrica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numérico y datos vacíos.10.010.0Interacción de ObjetosMétodo suministrar_producto funcional, modificando el stock de un objeto Producto de forma segura.10.010.0Documentación y PruebasCódigo comentado línea por línea y bloque de pruebas ejecutado demostrando los errores y aciertos.5.05.0TOTAL50.050.0Diego Mauricio Zuluaga Rodríguez Profesor - Departamento de Economía Universidad de La Sabana</t>
  </si>
  <si>
    <t>Hola Mateo. He revisado en Teams y no se registra tu entrega de la Tarea
Clase 6: Módulo de Proveedores.   Recuerda que en este curso la autogestión es
una competencia fundamental. Como analizamos en el cierre del Corte 1, omitir
estas entregas de bajo peso (checkpoints) puede afectar significativamente tu
promedio final, independientemente del resultado en el parcial.   Te invito a revisar el material y ponerte al día con los
conceptos con apoyo de tu grupo de trabajo, ya que esta actividad es la base
técnica para el Taller del Corte 2 y la integración con Bases de Datos SQL que
estamos desarrollando.   ¡Ánimo! Todavía estamos a tiempo de asegurar un excelente
desempeño en este segundo corte.   Atentamente,  Diego Mauricio Zuluaga Rodríguez 
Profesor - Departamento de Economía 
Universidad de La Sabana</t>
  </si>
  <si>
    <t>Calificación Tarea Clase 6: Módulo de ProveedoresIntegrantes:Samuel David Simancas ContrerasJuan Sebastian Perdomo HerreraDaniel Felipe Camacho Pedraza¡Hola, equipo! Qué buen trabajo han realizado con este módulo de proveedores. Se nota que han dedicado tiempo a entender cómo proteger la información de la empresa y cómo hacer que diferentes partes del programa interactúen entre sí de forma ordenada.Me alegra mucho ver que implementaron correctamente el concepto de Encapsulamiento. El uso de los dos guiones bajos (__) para los atributos como el NIT y el nombre de la empresa es fundamental para evitar que los datos se modifiquen por error desde fuera de la clase. Esto es lo que diferencia a un programador aficionado de uno profesional que diseña software robusto.La lógica que incluyeron en el set_nit para validar que el dato sea numérico y no esté vacío es un excelente "Sanity Check". Blindar el sistema contra errores de entrada es una de las mejores prácticas que pueden adoptar, especialmente ahora que nos preparamos para conectar estos datos con bases de datos reales en SQL.Tengo un par de observaciones para que sigan mejorando en su camino como "Arquitectos de Software": primero, recuerden que el pseudocódigo debía ir en una celda de tipo Markdown para que se vea como texto estructurado y no como código. Segundo, para las próximas entregas, asegúrense de comentar cada línea de código, ya que esa explicación detallada es lo que nos permite evaluar su proceso de pensamiento paso a paso (Autogestión).En el bloque de pruebas, veo que hicieron un excelente ejercicio de integración al intentar usar una clase bebida. Aunque para que el código funcione de forma independiente deben incluir la definición de esa clase en el mismo archivo, la lógica de interacción es totalmente acertada. ¡Sigan así, tienen una base muy sólida para el parcial del corte 2!A continuación, les comparto el desglose de su calificación basado en la rúbrica oficial:Criterio de EvaluaciónRequisito TécnicoPuntaje MáximoPuntaje ObtenidoPlaneación y LógicaPseudocódigo detallado (entregado en celda de código).10.08.0EncapsulamientoCreación de la clase con atributos privados (__).15.015.0Métodos de SeguridadImplementación de get y set con validación correcta.10.010.0Interacción de ObjetosMétodo suministrar_producto funcional y lógico.10.010.0Documentación y FormatoComentarios línea a línea y uso de Markdown.5.03.0TOTAL50.046.0Nota Final: 46/50 (Equivalente a 4.6)¡Felicitaciones por este resultado! Están demostrando un gran compromiso con su aprendizaje. Nos vemos en la próxima clase para llevar este proyecto al siguiente nivel con SQL.Diego Mauricio Zuluaga Rodríguez Profesor - Departamento de Economía Universidad de La Sabana</t>
  </si>
  <si>
    <t>Retroalimentación: Tarea Clase 6 - Módulo de ProveedoresIntegrantes: Simon Gustavo Restrepo Alvarez, Mateo Perez Daza y Diego Alejandro Hermida Limas.¡Hola, equipo! Qué gusto saludarlos. He revisado detalladamente su entrega y quiero empezar felicitándolos por el excelente nivel técnico que demostraron en este ejercicio. Se nota que se tomaron el tiempo de estructurar el código pensando no solo en que funcione, sino en que sea profesional y escalable.Su pseudocódigo es impecable. Es muy gratificante ver una planeación tan detallada que incluya no solo la clase solicitada (Proveedor), sino también la jerarquía de herencia completa con Bebida y Snack. Esta es la base de la autogestión: diseñar los planos antes de poner el primer ladrillo de código.Técnicamente, el uso del encapsulamiento fue muy acertado. Utilizaron correctamente los atributos privados (__) en la clase Proveedor para proteger los datos sensibles de la empresa. Además, la validación que incluyeron en el método set_nit usando .isdigit() es una práctica de "Sanity Check" fundamental para evitar que el sistema colapse con datos basura.Me gustó mucho cómo manejaron la interacción entre objetos. El método suministrar_producto refleja perfectamente cómo un proceso de negocio real (un proveedor entregando mercancía) se traduce a código, modificando el estado de un objeto Producto de forma segura a través de sus propios métodos.Sigan con ese entusiasmo y rigor. Están construyendo una base muy sólida que les facilitará enormemente la vida cuando empecemos a conectar estos objetos con bases de datos SQL reales. ¡Excelente trabajo, muchachos!A continuación, les comparto el desglose de su calificación:Rúbrica de Calificación (Total: 50 puntos)Criterio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errores.5.05.0TOTAL50.050.0Calificación Final: 50 / 50Atentamente,Diego Mauricio Zuluaga RodríguezProfesor - Departamento de EconomíaUniversidad de La Sabana</t>
  </si>
  <si>
    <t>Retroalimentación: Módulo de Proveedores (POO Avanzada)Integrantes: Maria Juliana Herrera Pulido y Mariana Carmona Romero. ¡Hola, equipo! Espero que se encuentren muy bien. He revisado detalladamente su entrega y quiero felicitarlas por el excelente trabajo técnico que realizaron. Han logrado aplicar de manera muy precisa los conceptos de Programación Orientada a Objetos que buscamos en este segundo corte.En primer lugar, las felicito por la estructura de su código. El uso del encapsulamiento mediante los atributos privados (con el doble guion bajo __) es impecable. Esto demuestra que entienden la importancia de proteger la integridad de los datos dentro de una clase, evitando que agentes externos modifiquen el stock o el NIT de forma indebida.La lógica implementada en el método set_nit es muy acertada. Al incluir la validación .isdigit(), están asegurando que el sistema no colapse si alguien intenta ingresar texto en un campo que debe ser estrictamente numérico. Este es el tipo de "Sanity Check" que separa a un programador básico de un arquitecto de software profesional.Además, la interacción entre la clase Proveedor y la clase Producto a través del método suministrar_producto funciona perfectamente. Es muy valioso ver cómo un objeto puede dar instrucciones a otro para actualizar su estado interno de forma segura. Su pseudocódigo inicial también fue una excelente guía que se reflejó fielmente en el resultado final.Como nota de autogestión, les recuerdo la importancia de la puntualidad en las entregas. En esta ocasión, el trabajo se recibió 19 minutos después del cierre, lo que genera una pequeña penalización según las reglas de nuestro contrato pedagógico. Sin embargo, la calidad técnica de lo que presentaron es de nivel superior. ¡Sigan con ese entusiasmo y rigor para los próximos retos de bases de datos!Rúbrica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formato.10.010.0Interacción de ObjetosMétodo suministrar_producto funcional, modificando el stock de un objeto Producto.10.010.0Documentación y PruebasCódigo claro y bloque de pruebas ejecutado satisfactoriamente.5.05.0PenalizaciónEntrega extemporánea (19 minutos tarde).-5.0-5.0TOTAL FINAL50.045.0Diego Mauricio Zuluaga Rodríguez Profesor - Departamento de Economía Universidad de La Sabana</t>
  </si>
  <si>
    <t>¡Hola, equipo! Qué buen trabajo han presentado Gabriela, Maria Jose y Alessandro. Me da mucho gusto ver cómo han integrado no solo lo solicitado en la tarea, sino que se adelantaron y aplicaron conceptos de herencia y polimorfismo que vimos en el Live Coding. Se nota que hay un compromiso real con el proyecto de la cafetería y que están entendiendo cómo estas piezas encajan en una arquitectura de software más grande. Puntos que quiero destacar de su entrega: Primero, la estructura de clases es impecable. El hecho de que hayan creado la clase padre "Producto" y las clases hijas "Bebida" y "Snack" demuestra que el principio DRY (No te repitas) quedó clarísimo. Además, el uso de super().__init__ está perfectamente implementado. Segundo, el encapsulamiento en la clase "Proveedor" es muy robusto. Utilizaron correctamente los atributos privados con el doble guion bajo (__) y el método set_nit tiene las validaciones exactas que buscábamos: que no sea un campo vacío y que sea estrictamente numérico. Esto es "Sanity Check" puro para proteger la integridad de los datos. Tercero, la interacción entre objetos en el método suministrar_producto funciona de maravilla. Es genial ver cómo el objeto proveedor "dialoga" con el objeto producto para actualizar el stock de forma segura a través de los métodos que ustedes mismos definieron. Como pequeña observación de mejora para el futuro: su pseudocódigo es más un resumen descriptivo que un paso a paso lógico. Para el taller del Corte 2, intenten que sea un poco más esquemático (paso 1, paso 2, etc.), ya que eso les ayudará a mapear mejor la lógica antes de tirar la primera línea de código. Sin embargo, la ejecución técnica compensa esto totalmente. ¡Felicitaciones! Van por un excelente camino para lo que se viene con Bases de Datos SQL. Sigan con esa curiosidad y ese nivel de detalle. Rúbrica de Calificación (Total: 50/50)Criterio de EvaluaciónRequisito TécnicoPuntaje MáximoPuntaje ObtenidoPlaneación y LógicaPseudocódigo descriptivo que refleja la lógica del sistema.10.010.0EncapsulamientoClase Proveedor con atributos privados y uso correcto de self.15.015.0Métodos de SeguridadImplementación de get_nit y set_nit con validaciones de formato.10.010.0Interacción de ObjetosEl proveedor modifica el stock del producto exitosamente.10.010.0Documentación y PruebasCódigo bien comentado y batería de pruebas completa.5.05.0Puntaje Final Diego Mauricio Zuluaga RodríguezProfesor - Departamento de EconomíaUniversidad de La Sabana</t>
  </si>
  <si>
    <t>Retroalimentación de la Entrega: Módulo de Proveedores (Arquitectura de Software)Integrantes: Alejandra León Vargas y Sofia Giraldo Pico.Calificación Final: 50/50 (Equivalente a 5.0)¡Hola, Alejandra y Sofia! Qué gusto saludarlas. He revisado detalladamente su entrega y quiero empezar felicitándolas por el altísimo nivel de profesionalismo que han demostrado en este Notebook. No se limitaron a cumplir con los puntos básicos de la tarea, sino que construyeron un ecosistema de software completo, coherente y muy bien estructurado.Me impresionó mucho la claridad de su Pseudocódigo. Es un hábito de autogestión excelente que les ahorrará muchísimas horas de trabajo en proyectos más complejos. El hecho de que hayan integrado las clases de Producto, Bebida, Snack y hasta el CarritoDeCompras en un solo flujo de pruebas demuestra que tienen una visión sistémica del negocio, algo fundamental para cualquier analista de la EICEA.Técnicamente, el Encapsulamiento está impecable. El uso de los atributos privados con doble guion bajo y el manejo de los métodos seguros para alterar el stock es exactamente lo que buscamos en esta unidad. Su validación en el método set_nit es robusta y "a prueba de errores", lo cual es vital para mantener la integridad de los datos antes de que pasemos a trabajar con bases de datos SQL.La forma en que el objeto Proveedor interactúa con el objeto Producto a través del método suministrar_producto es un ejemplo perfecto de cómo debe funcionar la comunicación entre clases. Además, la presentación de los resultados en la consola, con el uso de ljust y formatos de moneda, hace que su programa parezca un software real listo para ser usado en una empresa.Sigan con esa curiosidad y ese rigor técnico. Están construyendo una base muy fuerte para el Taller del Corte 2 y para el parcial. Si mantienen este nivel de detalle en el diseño y la implementación, les auguro un éxito total en lo que resta del semestre. ¡Excelente trabajo!Rúbrica de Calificación (Total: 50 Puntos)Criterio de EvaluaciónRequisito Técnico CumplidoPuntaje MáximoPuntaje ObtenidoPlaneación y DiseñoPseudocódigo detallado en Markdown que refleja la lógica del sistema.10.010.0POO y EncapsulamientoAtributos privados (__) y uso correcto de self en la clase Proveedor.15.015.0Seguridad y ValidaciónImplementación de get_nit y set_nit con validación de datos vacíos y numéricos.10.010.0Interacción entre ObjetosMétodo suministrar_producto que modifica el stock mediante métodos seguros.10.010.0Documentación y PruebasCódigo comentado línea por línea y batería de pruebas exhaustiva.5.05.0TOTAL50.050.0Diego Mauricio Zuluaga RodríguezProfesor - Departamento de EconomíaUniversidad de La Sabana</t>
  </si>
  <si>
    <t>Retroalimentación de la Entrega: Módulo de Proveedores (POO Avanzada)Grupo: María Juliana Mejía Quintero, Valery Linares Hernández, María José Botero Galviz.Calificación Final: 50/50 (Equivalente a 5.0)Comentarios del Profesor:¡Hola, María Juliana, Valery y María José! Quiero felicitarlas por el excelente trabajo que han realizado en esta entrega. Han logrado implementar una arquitectura orientada a objetos sumamente limpia, profesional y, sobre todo, segura.Me impresionó mucho ver que no solo se limitaron a crear la clase Proveedor, sino que integraron todo el ecosistema de la cafetería (Producto, Cliente, CarritoDeCompras). Esto demuestra una visión global del software, que es exactamente lo que hace un buen CTO.Puntos Destacados:Autogestión y Planeación: El pseudocódigo entregado en la celda de Markdown es claro, directo y refleja con precisión la lógica que luego programaron en Python. Cumplieron a la perfección la regla de pensar antes de codificar.Encapsulamiento Avanzado: La protección de los atributos con el doble guion bajo (__nit, __nombre_empresa, etc.) fue implementada de manera impecable. Entendieron muy bien por qué no debemos dejar los datos expuestos.Validación Robusta (Sanity Check): La lógica que utilizaron en el método set_nit (validando espacios vacíos con .strip() y caracteres numéricos con .isdigit()) es de nivel profesional. Están blindando el sistema contra errores humanos, lo cual es vital antes de conectar esto a una base de datos.Interacción entre Objetos: El método suministrar_producto es un ejemplo perfecto de cómo un objeto (Proveedor) modifica el estado interno de otro objeto (Producto) a través de sus métodos públicos (aumentar_stock), sin violar su privacidad. Además, las pruebas que diseñaron cubren todos los escenarios de error posibles.Motivación:Tienen una base técnica sumamente sólida y un gran criterio para diseñar sistemas. Al proteger los datos desde las clases en Python, están garantizando que cuando conectemos este sistema a nuestra Base de Datos SQL (SQLite) en las próximas clases, la información que llegue a las tablas sea 100% íntegra y confiable. ¡Sigan con este nivel de excelencia, rigor técnico y trabajo en equipo!Rúbrica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errores.5.05.0TOTAL50.050.0Diego Mauricio Zuluaga Rodríguez Profesor - Departamento de Economía Universidad de La Sabana</t>
  </si>
  <si>
    <t>Retroalimentación de la Entrega: Módulo de Proveedores (POO Avanzada)Integrantes: Sebastián Vanoy Gutiérrez, Samuel David Lozano Holguín y Samuel Mathias González Bernal.Calificación Final: 50/50 (Equivalente a 5.0)Comentarios del Profesor:¡Excelente trabajo, equipo! Han entregado una de las soluciones más robustas y mejor estructuradas que he revisado. Se nota un compromiso real con la autogestión y un entendimiento profundo de cómo la Programación Orientada a Objetos (POO) ayuda a modelar procesos de negocio reales.Puntos a destacar (Lo excelente):Planeación de Alto Nivel: Su pseudocódigo es impecable. No solo planificaron la nueva clase, sino que identificaron proactivamente que la clase Producto necesitaba un "punto de entrada" (aumentar_stock) para que el proveedor pudiera interactuar con ella. Ese es el pensamiento de un verdadero arquitecto de software.Validación Profesional: El uso de raise ValueError dentro del método set_nit es un estándar de la industria. Al lanzar un error cuando el NIT es inválido o está vacío, están garantizando que el sistema nunca procese datos basura. Además, llamar al setter desde el __init__ asegura que el objeto nazca "protegido".Robustez en las Pruebas: Me gustó mucho que en su bloque de ejecución utilizaran try-except para capturar los errores de validación. Esto demuestra que no solo escriben código que funciona, sino que diseñan software que sabe fallar con elegancia sin colapsar.Interacción entre Objetos: La forma en que el Proveedor utiliza los métodos del Producto para actualizar el inventario es el ejemplo perfecto de colaboración entre clases.Motivación:Tienen una base técnica muy fuerte. Al dominar el encapsulamiento y las validaciones de esta manera, la transición que haremos hacia las Bases de Datos Relacionales (SQL) será mucho más fluida para ustedes, ya que ya entienden la importancia de la integridad de los datos. ¡Sigan con esa curiosidad técnica y ese rigor en la documentación!Rúbrica de CalificaciónCriterio de EvaluaciónRequisito TécnicoPuntaje MáximoPuntaje ObtenidoPlaneación y LógicaPseudocódigo detallado y coherente en Markdown.10.010.0EncapsulamientoAtributos privados (__) y uso correcto de self.15.015.0Métodos de SeguridadImplementación de Getters/Setters con validaciones (isdigit, no vacío).10.010.0Interacción de ObjetosMétodo suministrar_producto funcional y lógico.10.010.0Documentación y PruebasCódigo comentado y batería de pruebas con manejo de errores.5.05.0TOTAL50.050.0Diego Mauricio Zuluaga Rodríguez Profesor - Departamento de Economía Universidad de La Sabana</t>
  </si>
  <si>
    <t>Hola Mariana.   He revisado en Teams y no se registra tu entrega de la Tarea
Clase 6: Módulo de Proveedores.   Recuerda que en este curso la autogestión es
una competencia fundamental. Como analizamos en el cierre del Corte 1, omitir
estas entregas de bajo peso (checkpoints) puede afectar significativamente tu
promedio final, independientemente del resultado en el parcial.   Te invito a revisar el material y ponerte al día con los
conceptos con apoyo de tu grupo de trabajo, ya que esta actividad es la base
técnica para el Taller del Corte 2 y la integración con Bases de Datos SQL que
estamos desarrollando.   ¡Ánimo! Todavía estamos a tiempo de asegurar un excelente
desempeño en este segundo corte.   Atentamente,  Diego Mauricio Zuluaga Rodríguez 
Profesor - Departamento de Economía 
Universidad de La Sabana</t>
  </si>
  <si>
    <t>Hola Cristian.   He revisado en Teams y no se registra tu entrega de la Tarea
Clase 6: Módulo de Proveedores.   Recuerda que en este curso la autogestión es
una competencia fundamental. Como analizamos en el cierre del Corte 1, omitir
estas entregas de bajo peso (checkpoints) puede afectar significativamente tu
promedio final, independientemente del resultado en el parcial.   Te invito a revisar el material y ponerte al día con los
conceptos con apoyo de tu grupo de trabajo, ya que esta actividad es la base
técnica para el Taller del Corte 2 y la integración con Bases de Datos SQL que
estamos desarrollando.   ¡Ánimo! Todavía estamos a tiempo de asegurar un excelente
desempeño en este segundo corte.   Atentamente,  Diego Mauricio Zuluaga Rodríguez 
Profesor - Departamento de Economía 
Universidad de La Sabana</t>
  </si>
  <si>
    <t>Retroalimentación: Módulo de Proveedores (POO Avanzada)Integrantes: Nicolas Torres Calderon, Juan Camilo Leyton Lancheros y Cristian Bermudez.Calificación Final: 50/50 (Equivalente a 5.0)¡Hola, equipo! Qué buen trabajo han presentado. Se nota una evolución clara en su forma de estructurar el código y, sobre todo, en la aplicación de los conceptos de Programación Orientada a Objetos. Han logrado construir un sistema que no solo funciona, sino que es seguro y profesional.Me gustaría destacar especialmente la robustez de su método set_nit. El uso de isinstance(nit, str) and nit.isdigit() es una práctica de nivel avanzado que demuestra que están pensando en la integridad de los datos. En el mundo de los negocios, validar que la información sea correcta antes de guardarla es lo que evita desastres financieros o legales.También es muy valioso que en el método suministrar_producto hayan incluido la verificación isinstance(producto, Producto). Esto asegura que el proveedor solo intente entregar mercancía a objetos que realmente sean productos de la cafetería, evitando errores de lógica en el sistema. Es un gran ejemplo de "programación defensiva".Su pseudocódigo, aunque quedó ubicado al final del archivo, cumple con el objetivo de mostrar la planeación lógica del ejercicio. Recuerden que para el Taller del Corte 2, estos "planos" (Diagramas de Clases y ERD) serán la pieza fundamental para que su base de datos SQLite funcione correctamente sin redundancias.Sigan con esa disciplina y atención al detalle. Tienen una base técnica muy sólida para enfrentar lo que viene: la persistencia de datos en SQL. ¡Felicitaciones por este excelente resultado!Rúbrica de CalificaciónCriterio de EvaluaciónRequisito TécnicoPuntaje MáximoPuntaje ObtenidoPlaneación y LógicaPseudocódigo detallado en Markdown que refleja la lógica del sistema.10.010.0EncapsulamientoCreación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y bloque de pruebas ejecutado con éxito.5.05.0TOTAL50.050.0Diego Mauricio Zuluaga RodríguezProfesor - Departamento de EconomíaUniversidad de La Sabana</t>
  </si>
  <si>
    <t>Retroalimentación de la Entrega: Módulo de Proveedores (Arquitectura de Software)Integrantes: Alejandra León Vargas y Sofia Giraldo Pico. Calificación Final: 50/50 (Equivalente a 5.0) ¡Hola, Alejandra y Sofia! Qué gusto saludarlas. He revisado detalladamente su entrega y quiero empezar felicitándolas por el altísimo nivel de profesionalismo que han demostrado en este Notebook. No se limitaron a cumplir con los puntos básicos de la tarea, sino que construyeron un ecosistema de software completo, coherente y muy bien estructurado.Me impresionó mucho la claridad de su Pseudocódigo. Es un hábito de autogestión excelente que les ahorrará muchísimas horas de trabajo en proyectos más complejos. El hecho de que hayan integrado las clases de Producto, Bebida, Snack y hasta el CarritoDeCompras en un solo flujo de pruebas demuestra que tienen una visión sistémica del negocio, algo fundamental para cualquier analista de la EICEA.Técnicamente, el Encapsulamiento está impecable. El uso de los atributos privados con doble guion bajo y el manejo de los métodos seguros para alterar el stock es exactamente lo que buscamos en esta unidad. Su validación en el método set_nit es robusta y "a prueba de errores", lo cual es vital para mantener la integridad de los datos antes de que pasemos a trabajar con bases de datos SQL.La forma en que el objeto Proveedor interactúa con el objeto Producto a través del método suministrar_producto es un ejemplo perfecto de cómo debe funcionar la comunicación entre clases. Además, la presentación de los resultados en la consola, con el uso de ljust y formatos de moneda, hace que su programa parezca un software real listo para ser usado en una empresa.Sigan con esa curiosidad y ese rigor técnico. Están construyendo una base muy fuerte para el Taller del Corte 2 y para el parcial. Si mantienen este nivel de detalle en el diseño y la implementación, les auguro un éxito total en lo que resta del semestre. ¡Excelente trabajo!Rúbrica de Calificación (Total: 50 Puntos)Criterio de EvaluaciónRequisito Técnico CumplidoPuntaje MáximoPuntaje ObtenidoPlaneación y DiseñoPseudocódigo detallado en Markdown que refleja la lógica del sistema.10.010.0POO y EncapsulamientoAtributos privados (__) y uso correcto de self en la clase Proveedor.15.015.0Seguridad y ValidaciónImplementación de get_nit y set_nit con validación de datos vacíos y numéricos.10.010.0Interacción entre ObjetosMétodo suministrar_producto que modifica el stock mediante métodos seguros.10.010.0Documentación y PruebasCódigo comentado línea por línea y batería de pruebas exhaustiva.5.05.0TOTAL50.050.0 Diego Mauricio Zuluaga Rodríguez Profesor - Departamento de Economía Universidad de La Sabana</t>
  </si>
  <si>
    <t>🚀 Retroalimentación de la Entrega: Taller Corte 2 - Arquitectura Profesional Integrantes: Simón Gustavo Restrepo Alvarez, Mateo Pérez Daza, Diego Alejandro Hermida Limas. Calificación Final: 60/50 (Equivalente a 5.0 con Bono) ¡Hola, equipo! He revisado su proyecto y debo decir que estoy genuinamente impresionado. Han ido más allá de los requerimientos del taller y han entregado una arquitectura de software de nivel profesional. Este es, sin duda, un trabajo de excelencia que demuestra un dominio absoluto de todos los conceptos del segundo corte.La planeación que realizaron en la carpeta design/ es impecable. El Diagrama de Clases y el Modelo Entidad-Relación (ERD) no solo son correctos, sino que reflejan una jerarquía de herencia y una normalización de datos muy bien pensada (Producto -&amp;gt; Bebida/Snack, Persona -&amp;gt; Proveedor, Registro -&amp;gt; Suministro). Esto demuestra que dedicaron tiempo a la fase de diseño, la habilidad más importante de un arquitecto de software.En la parte técnica, la decisión de modularizar el proyecto en archivos .py (producto.py, persona.py, database.py, etc.) y orquestar todo desde un main.py es una práctica avanzada que los diferencia enormemente. Esto no solo hace que el código sea más limpio y escalable, sino que facilita el trabajo en equipo en plataformas como GitHub. Por esta iniciativa, que va más allá de lo solicitado, se les otorga un bono de +10 puntos.La implementación de la base de datos SQLite es robusta y segura. El uso de try-except para manejar errores en cada operación CRUD, la correcta definición de Llaves Primarias y Foráneas, y la consulta JOIN para consolidar la información, son todos elementos ejecutados a la perfección.Sigan con este nivel de compromiso, curiosidad y rigor técnico. Están desarrollando un portafolio profesional de altísima calidad que les abrirá muchas puertas en el futuro. ¡Felicitaciones por un trabajo excepcional! Rúbrica de Calificación Criterio de EvaluaciónRequisito TécnicoPuntaje MáximoPuntaje ObtenidoLógica y Diseño (Arquitectura)Diagrama de Clases y ERD en la carpeta design/. Evidencia de planeación previa.10.010.0POO y EncapsulamientoCorrecta definición de Clases, uso de self, métodos get/set y encapsulamiento.15.015.0SQL y Relaciones (CRUD)Creación BD, PK/FK, 4 operaciones CRUD, uso de JOIN y mínimo 5 registros.15.015.0Robustez y GitHubUso de try-except, repositorio configurado con commits y README.md profesional.10.010.0Bono por ModularidadImplementación de arquitectura profesional con múltiples archivos .py.+10.0+10.0TOTAL50.060.0  Diego Mauricio Zuluaga RodríguezProfesor - Departamento de EconomíaUniversidad de La Sabana</t>
  </si>
  <si>
    <t>TALLER CORTE 2</t>
  </si>
  <si>
    <t>🚀 Entrega Final Taller Corte 2</t>
  </si>
  <si>
    <t>🚀 Retroalimentación de la Entrega: Taller Corte 2 - Arquitectura ProfesionalIntegrantes: Juan Sebastián Salas Hinojosa, Alan David Rossoff Vanegas, Lukas Blanco Llanes.Calificación Final: 50/50 (Equivalente a 5.0)¡Hola, equipo! Qué entrega tan espectacular han realizado. He revisado su proyecto "EconoApp" en detalle y quiero felicitarlos porque han superado con creces las expectativas de este corte. Han demostrado que no solo saben escribir código, sino que piensan y estructuran soluciones como verdaderos Arquitectos de Software (CTOs).Me dejó gratamente sorprendido el nivel de detalle en su carpeta design/. El Diagrama de Clases UML y el Modelo Entidad-Relación (ERD) son de una calidad profesional impecable. Reflejan exactamente la jerarquía que programaron en Python y la estructura relacional de SQLite, demostrando que planificaron cada detalle antes de teclear la primera línea de código.En cuanto a la Programación Orientada a Objetos (POO), la implementación de sus 3 clases padre y 6 clases hijo es perfecta. El uso estricto del encapsulamiento con atributos privados (__), la creación de getters/setters y la aplicación del polimorfismo en el método descripcion() evidencian un dominio total del paradigma orientado a objetos.Sobre la persistencia de datos y SQL, destaco enormemente su proactividad. No solo cumplieron con las 3 tablas y las llaves foráneas, sino que implementaron la restricción ON DELETE CASCADE, una práctica avanzada que protege la integridad de la base de datos. Además, la consulta JOIN que construyeron en resumen_financiero_por_cliente() utilizando COALESCE, SUM y CASE WHEN es de un nivel analítico superior, digno de un entorno empresarial real.Finalmente, la robustez de su sistema es a prueba de balas. El manejo de excepciones con try-except para capturar tanto errores de digitación (ValueError) como errores de base de datos (sqlite3.IntegrityError), sumado a su excelente archivo README.md, hace que este proyecto sea una pieza brillante para su portafolio en GitHub.Sigan trabajando con esta misma pasión, curiosidad y rigor técnico. Tienen un talento enorme para la tecnología y el análisis de datos, habilidades que los harán destacar indiscutiblemente en el mercado laboral. ¡Mucho éxito en su Segundo Parcial, están más que preparados!📝 Rúbrica de CalificaciónCriterio de EvaluaciónRequisito TécnicoPuntaje MáximoPuntaje ObtenidoLógica y Diseño (Arquitectura)Diagrama de Clases y ERD de altísima calidad en la carpeta design/. Evidencia de planeación previa perfecta.10.010.0POO y Encapsulamiento3 Clases Padre, 6 Hijos, uso impecable de self, métodos get/set, herencia y polimorfismo.15.015.0SQL y Relaciones (CRUD)Creación BD, PK/FK con CASCADE, 4 operaciones CRUD, uso de JOIN avanzado y función de auditoría (≥5 registros).15.015.0Robustez y GitHubUso exhaustivo de try-except, repositorio configurado con commits y un README.md sobresaliente.10.010.0TOTAL50.050.0</t>
  </si>
  <si>
    <t>🚀 Retroalimentación de la Entrega: Taller Corte 2 - Arquitectura ProfesionalIntegrantes: Martín Martín Trujillo Rodríguez, Daniel Camilo López Piraquive, Juan José Caballero Mantilla.Calificación Final: 13/50 (Equivalente a 1.3)Estimado equipo, espero que se encuentren muy bien. He revisado detalladamente su entrega para este segundo corte. Valoro el esfuerzo inicial por estructurar el proyecto, pero debo ser muy transparente con ustedes: la entrega está incompleta y no cumple con la mayoría de los requerimientos técnicos y de autogestión exigidos en la rúbrica.En primer lugar, me preocupa la evidencia de trabajo en equipo. Tanto en el archivo README.md como en los comentarios y salidas del código (print), únicamente aparece el nombre de Juan José Caballero. En un entorno profesional, el trabajo colaborativo es fundamental y todos los CTOs fundadores deben tener visibilidad y participación en el repositorio.Sobre la Autogestión y Planeación, la ausencia de la carpeta design/ con el Diagrama de Clases y el Modelo Entidad-Relación (ERD) es una falla crítica. Como lo advertimos en las instrucciones: "Un Arquitecto de Software no codifica sin planos". Esta omisión penaliza gravemente la nota, ya que el diseño previo es lo que garantiza que el código final tenga sentido.En cuanto a la Programación Orientada a Objetos (POO), el requerimiento exigía al menos 3 clases padre y 3 clases hijo. Ustedes implementaron únicamente 2 clases padre (Persona, ProductoBase) y 1 clase hijo (Cliente). Aunque hay un intento de encapsulamiento con _nombre y __correo, faltó desarrollar los métodos get y set para interactuar con estos datos de forma segura, así como la lógica de negocio que los conectara.Respecto a las Bases de Datos (SQL), el avance fue muy básico. Se pedían 3 tablas relacionadas, pero solo crearon 2 (proveedores y productos). Aunque insertaron 5 registros en proveedores, dejaron la tabla de productos vacía. Lo más crítico aquí es la ausencia total del Menú Interactivo con las operaciones CRUD (Crear, Leer, Actualizar, Eliminar) y la falta de la consulta JOIN, que era el corazón de la evaluación relacional.Equipo, sé que tienen la capacidad para dominar estos temas. La programación requiere tiempo, disciplina y seguir las instrucciones paso a paso. Tomen esta calificación como un diagnóstico (Sanity Check) de lo que deben reforzar urgentemente. El Segundo Parcial está muy cerca y evaluará exactamente estos mismos conceptos. Apóyense en los apuntes de clase, practiquen los Live Coding que les compartí y trabajen verdaderamente en equipo. ¡Ustedes pueden darle la vuelta a este resultado!Rúbrica de CalificaciónCriterio de EvaluaciónRequisito TécnicoPuntaje MáximoPuntaje ObtenidoLógica y Diseño (Arquitectura)Ausencia total de la carpeta design/, Diagrama de Clases y ERD. No hay evidencia de planeación.10.00.0POO y EncapsulamientoJerarquía incompleta (solo 2 padres y 1 hijo). Falta implementación de métodos get/set y lógica de negocio.15.05.0SQL y Relaciones (CRUD)Solo 2 tablas creadas. Faltan operaciones CRUD, consulta JOIN y registros en la tabla de productos.15.03.0Robustez y GitHubRepositorio creado y uso básico de try-except. Sin embargo, el README es incompleto y no refleja trabajo en equipo.10.05.0TOTAL50.013.0Diego Mauricio Zuluaga RodríguezProfesor - Departamento de EconomíaUniversidad de La Sabana</t>
  </si>
  <si>
    <t>⚠️ Seguimiento de entrega: Taller Corte 2Hola Sebastián,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t>
  </si>
  <si>
    <t>🚀 Retroalimentación de la
Entrega: Taller Corte 2 - Arquitectura Profesional  Integrantes: Gabriela Ruiz Pérez, María José Huertas
Osorio, Alessandro Di Mauro Bonilla Correa.  Calificación Final: 50/50 (Equivalente a 5.0)  ¡Hola, equipo! Qué excelente trabajo han realizado con la
refactorización de su proyecto "Bistro 9". Han logrado transformar un
MVP básico en un sistema de gestión gastronómica (Food-Tech) con una
arquitectura de software verdaderamente profesional y escalable. Me impresionó mucho la coherencia entre sus diagramas de la
carpeta design/ y el código final. El Modelo Entidad-Relación y el Diagrama de
Clases reflejan exactamente la estructura que programaron. Esto demuestra una
planeación impecable y confirma que entendieron la regla de oro: un arquitecto
de software no escribe código sin tener los planos listos. En cuanto a la Programación Orientada a Objetos (POO), la
jerarquía que diseñaron es brillante. Crear clases padre como Persona, Consumible
y Transaccion, para luego heredar a Comensal, PlatoGourmet y TicketRestaurante,
demuestra un dominio total del concepto de reutilización de código. Además, el
uso de atributos protegidos y privados (__) junto con sus respectivos métodos getters
asegura que la lógica de su negocio esté blindada. Sobre la persistencia de datos, el manejo de SQLite fue
impecable. La inicialización de la base de datos con PRAGMA foreign_keys = ON;
y la inserción de los 5 registros obligatorios usando INSERT OR IGNORE
garantizan que el sistema sea robusto y fácil de auditar. El menú interactivo
cumple con todas las operaciones CRUD, y la consulta INNER JOIN para generar
los tickets del restaurante cruza la información de las tres tablas de manera
perfecta. Finalmente, destaco la robustez de su aplicación. La
implementación de bloques try-except para capturar tanto errores de digitación
(ValueError) como fallos en la base de datos (sqlite3.Error) asegura que el
programa no colapse abruptamente, brindando una excelente experiencia de
usuario. Su repositorio en GitHub y el README.md son una gran adición a su
portafolio profesional. Sigan trabajando con este nivel de excelencia, curiosidad y
atención al detalle. Han construido una base técnica muy sólida que les será de
gran utilidad no solo para el Segundo Parcial, sino para cualquier proyecto de
análisis de datos o desarrollo que emprendan en sus carreras. ¡Felicitaciones!  
  Criterio de Evaluación 
  Descripción Técnica 
  Puntaje Máximo 
  Puntaje Obtenido 
  Lógica y Diseño (Arquitectura) 
  Diagrama de Clases y ERD en la carpeta design/. Evidencia
  clara de planeación previa. 
  10.0 
  10.0 
  POO y Encapsulamiento 
  3 Clases Padre, 3 Hijos, uso correcto de herencia, self y
  encapsulamiento de atributos. 
  15.0 
  15.0 
  SQL y Relaciones (CRUD) 
  Creación de BD, uso de PK/FK, 4 operaciones CRUD, uso de JOIN
  y mínimo 5 registros por tabla. 
  15.0 
  15.0 
  Robustez y GitHub 
  Uso de try-except para evitar caídas. Repositorio
  configurado con README.md profesional. 
  10.0 
  10.0 
  TOTAL 
  50.0 
  50.0 
  Diego Mauricio Zuluaga Rodríguez Profesor - Departamento de Economía Universidad de La Sabana</t>
  </si>
  <si>
    <t>🚀 Retroalimentación de la Entrega: Taller Corte 2 - Reingeniería de Software Integrantes: Martín Trujillo Rodríguez, Daniel Camilo López Piraquive, Juan José Caballero Mantilla. Calificación Final: 50/50 (Equivalente a 5.0) ¡Hola, equipo! He revisado su proyecto y quiero felicitarlos por la excelente arquitectura de software que han construido. Han logrado tomar un sistema simple y escalarlo a una solución profesional, demostrando un dominio claro de los conceptos de Programación Orientada a Objetos y Bases de Datos Relacionales.Me gustó mucho la calidad de su planeación en la carpeta design/. El Diagrama de Clases y el Modelo Entidad-Relación (ERD) son claros, profesionales y, lo más importante, se reflejan perfectamente en la estructura de su código en Python y en las tablas de SQLite. Esto demuestra una autogestión impecable y un entendimiento profundo de cómo se diseña el software antes de escribir una sola línea de código.En la implementación técnica, destaco varios puntos brillantes:POO y Encapsulamiento: La jerarquía de clases (Entidad -&amp;gt; Producto, Persona -&amp;gt; Proveedor, Operacion -&amp;gt; Venta) está perfectamente estructurada y cumple con los requisitos de la rúbrica. El uso de atributos protegidos (_) y privados (__) demuestra que comprenden cómo proteger la lógica de negocio.Persistencia de Datos (SQLite): La clase SistemaDaniel es una excelente implementación del patrón de encapsulamiento. Al centralizar toda la lógica de la base de datos en una sola clase, hacen que el sistema sea mucho más fácil de mantener y escalar. La creación de las 3 tablas relacionadas y la inserción de los 5 registros mínimos es impecable.Robustez y GitHub: El uso de try-except para la conexión a la base de datos y el INSERT OR IGNORE para poblar las tablas sin errores en ejecuciones repetidas son excelentes prácticas. Su repositorio en GitHub está muy bien organizado y el README.md es claro y profesional.Sigan con este nivel de excelencia y atención al detalle. Están desarrollando habilidades que los diferencian en el mercado laboral y los preparan para liderar proyectos tecnológicos en sus respectivas carreras. ¡Mucho éxito en el Segundo Parcial! 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  Diego Mauricio Zuluaga RodríguezProfesor - Departamento de EconomíaUniversidad de La Sabana</t>
  </si>
  <si>
    <t>🚀 Retroalimentación de la Entrega: Taller Corte 2 - Arquitectura Profesional Integrantes: Martín Martín Trujillo Rodríguez, Daniel Camilo López Piraquive, Juan José Caballero Mantilla. Calificación Final: 13/50 (Equivalente a 1.3) Estimado equipo, espero que se encuentren muy bien. He revisado detalladamente su entrega para este segundo corte. Valoro el esfuerzo inicial por estructurar el proyecto, pero debo ser muy transparente con ustedes: la entrega está incompleta y no cumple con la mayoría de los requerimientos técnicos y de autogestión exigidos en la rúbrica.En primer lugar, me preocupa la evidencia de trabajo en equipo. Tanto en el archivo README.md como en los comentarios y salidas del código (print), únicamente aparece el nombre de Juan José Caballero. En un entorno profesional, el trabajo colaborativo es fundamental y todos los CTOs fundadores deben tener visibilidad y participación en el repositorio.Sobre la Autogestión y Planeación, la ausencia de la carpeta design/ con el Diagrama de Clases y el Modelo Entidad-Relación (ERD) es una falla crítica. Como lo advertimos en las instrucciones: "Un Arquitecto de Software no codifica sin planos". Esta omisión penaliza gravemente la nota, ya que el diseño previo es lo que garantiza que el código final tenga sentido.En cuanto a la Programación Orientada a Objetos (POO), el requerimiento exigía al menos 3 clases padre y 3 clases hijo. Ustedes implementaron únicamente 2 clases padre (Persona, ProductoBase) y 1 clase hijo (Cliente). Aunque hay un intento de encapsulamiento con _nombre y __correo, faltó desarrollar los métodos get y set para interactuar con estos datos de forma segura, así como la lógica de negocio que los conectara.Respecto a las Bases de Datos (SQL), el avance fue muy básico. Se pedían 3 tablas relacionadas, pero solo crearon 2 (proveedores y productos). Aunque insertaron 5 registros en proveedores, dejaron la tabla de productos vacía. Lo más crítico aquí es la ausencia total del Menú Interactivo con las operaciones CRUD (Crear, Leer, Actualizar, Eliminar) y la falta de la consulta JOIN, que era el corazón de la evaluación relacional.Equipo, sé que tienen la capacidad para dominar estos temas. La programación requiere tiempo, disciplina y seguir las instrucciones paso a paso. Tomen esta calificación como un diagnóstico (Sanity Check) de lo que deben reforzar urgentemente. El Segundo Parcial está muy cerca y evaluará exactamente estos mismos conceptos. Apóyense en los apuntes de clase, practiquen los Live Coding que les compartí y trabajen verdaderamente en equipo. ¡Ustedes pueden darle la vuelta a este resultado! Rúbrica de CalificaciónCriterio de EvaluaciónRequisito TécnicoPuntaje MáximoPuntaje ObtenidoLógica y Diseño (Arquitectura)Ausencia total de la carpeta design/, Diagrama de Clases y ERD. No hay evidencia de planeación.10.00.0POO y EncapsulamientoJerarquía incompleta (solo 2 padres y 1 hijo). Falta implementación de métodos get/set y lógica de negocio.15.05.0SQL y Relaciones (CRUD)Solo 2 tablas creadas. Faltan operaciones CRUD, consulta JOIN y registros en la tabla de productos.15.03.0Robustez y GitHubRepositorio creado y uso básico de try-except. Sin embargo, el README es incompleto y no refleja trabajo en equipo.10.05.0TOTAL50.013.0  Diego Mauricio Zuluaga RodríguezProfesor - Departamento de EconomíaUniversidad de La Sabana</t>
  </si>
  <si>
    <t>🚀 Retroalimentación de la Entrega: Taller Corte 2 - Arquitectura Profesional Integrantes: Samantha Vanegas Russi, Avril Ariza Quitian. Calificación Final: 35/50 (Equivalente a 3.5) ¡Hola, equipo! He revisado detalladamente su entrega para el proyecto de la Librería "Páginas &amp;amp; Co.". A nivel de código, quiero felicitarlas sinceramente: han construido uno de los sistemas más robustos y completos que he visto en este corte. Sin embargo, tenemos oportunidades de mejora críticas en el área de autogestión y planeación.Empecemos por lo excelente: su implementación de la Programación Orientada a Objetos (POO) es impecable. La jerarquía que crearon con 3 clases padre (Autor, Libro, Venta) y sus respectivas clases hijo demuestra un dominio absoluto de la herencia y el polimorfismo. Además, el uso de atributos privados (__) y métodos getters/setters con validaciones internas (como evitar precios o stocks negativos) garantiza un encapsulamiento perfecto.En cuanto a la persistencia de datos, el trabajo con SQLite es sobresaliente. La creación de las tablas con sus respectivas Llaves Primarias y Foráneas (incluyendo reglas avanzadas como ON DELETE CASCADE y ON DELETE RESTRICT) protege la integridad de la información de manera muy profesional. Sus consultas con JOIN (especialmente el reporte de ventas por autor) y el manejo de errores con múltiples bloques try-except hacen que su aplicación sea a prueba de balas frente a los errores del usuario.Ahora, hablemos del aspecto a mejorar (El "Sanity Check" de Autogestión). Como se especificó en las reglas de oro del taller, un Arquitecto de Software no codifica sin planos. La ausencia total de la carpeta design/ (sin el Diagrama de Clases ni el Modelo Entidad-Relación) y la falta del archivo README.md en su repositorio de GitHub impactan fuertemente su calificación, tal como lo advertía la rúbrica.En el mundo real, si ustedes como CTOs entregan un código perfecto pero no lo documentan ni entregan los planos arquitectónicos, el resto del equipo de desarrollo no podrá entender ni escalar el proyecto. La planeación y la presentación del portafolio son tan importantes como la ejecución del código.A pesar de esta penalización en los componentes de diseño y documentación, quiero que se queden con la tranquilidad de que su nivel técnico en Python y SQL es excepcional. Tienen todas las herramientas, la lógica y el conocimiento para obtener un 5.0 rotundo en el Segundo Parcial de la próxima semana. ¡Mucho éxito y a seguir puliendo esa disciplina integral! Rúbrica de CalificaciónCriterio de EvaluaciónRequisito TécnicoPuntaje MáximoPuntaje ObtenidoLógica y Diseño (Arquitectura)Ausencia de la carpeta design/ (Sin Diagrama de Clases ni ERD). Penalización aplicada.10.00.0POO y EncapsulamientoExcelente definición de Clases Padre e Hijo, uso de self, métodos get/set y encapsulamiento.15.015.0SQL y Relaciones (CRUD)Creación de BD, PK/FK, 4 operaciones CRUD, uso avanzado de JOIN y 5 registros mínimos.15.015.0Robustez y GitHubExcelente uso de try-except. Penalización parcial por la ausencia del archivo README.md.10.05.0TOTAL50.035.0  Diego Mauricio Zuluaga RodríguezProfesor - Departamento de EconomíaUniversidad de La Sabana</t>
  </si>
  <si>
    <t>🚀 Retroalimentación de la Entrega: Taller Corte 2 - Arquitectura ProfesionalIntegrantes: Paula Andrea Arciniegas Cárdenas, Valeria Morales, Isabella Carranza Tapiero.Proyecto: Ruta Óptima App - Sistema LogísticoCalificación Final: 50/50 (Equivalente a 5.0)¡Hola, equipo! Qué excelente trabajo han realizado. Han logrado tomar el MVP del primer corte y transformarlo en una verdadera aplicación de software con una arquitectura sólida y escalable. Se nota el esfuerzo, la dedicación y, sobre todo, la excelente autogestión que tuvieron como grupo.Quiero destacar primero su trabajo de planeación. Los diagramas que incluyeron en la carpeta design/ (el Diagrama de Clases y el Modelo Entidad-Relación) son de nivel profesional. Como hemos hablado en clase, un buen CTO no escribe código a ciegas; ustedes planearon su estructura de 3 tablas y su jerarquía de herencia antes de programar, y eso se reflejó en un código limpio y sin improvisaciones.En cuanto a la Programación Orientada a Objetos (POO), la implementación es impecable. Cumplieron con creces al crear las clases padre (Cliente, Paquete, Envio) y sus respectivas clases hijas. El uso de atributos privados (__nombre, __peso) junto con los métodos Getters y Setters demuestra que comprendieron a la perfección el concepto de Encapsulamiento para proteger la información de su negocio.Sobre la persistencia de datos y SQL, lograron un CRUD completamente funcional y robusto. La inserción de los 5 registros iniciales (la Regla de Oro) funcionó perfectamente. Además, la consulta JOIN que cruza las tres tablas para mostrar el reporte de envíos es exactamente el tipo de consultas que un analista de datos necesita para conectar esta base de datos con herramientas como Power BI en el futuro.Como un pequeño "Sanity Check" o consejo técnico para sus futuros proyectos: noté que definieron muy bien las Llaves Foráneas (FK) al crear las tablas, pero en SQLite es altamente recomendable ejecutar el comando cursor.execute("PRAGMA foreign_keys = ON;") justo después de conectarse a la base de datos. Esto obliga al motor a respetar esas relaciones y evitar que alguien borre un cliente que ya tiene paquetes asignados. De igual forma, el manejo de errores con try-except que implementaron blindó muy bien el sistema.Las felicito por este gran resultado. Tienen todas las bases técnicas y lógicas para afrontar el Segundo Parcial con total tranquilidad. Sigan trabajando con esta misma disciplina y atención al detalle, ¡tienen un gran futuro como líderes en tecnología y negocios!Criterio de EvaluaciónDescripción TécnicaPuntaje MáximoPuntaje ObtenidoLógica y Diseño (Arquitectura)Diagrama de Clases y Modelo ERD impecables en la carpeta design/. Excelente planeación.10.010.0POO y EncapsulamientoSuperan el requisito de 3 Clases Padre y 3 Hijos. Uso perfecto de self, encapsulamiento (__) y métodos get/set.15.015.0SQL y Relaciones (CRUD)Tablas normalizadas con PK/FK, 4 operaciones CRUD funcionales, JOIN de 3 tablas y datos mínimos insertados.15.015.0Robustez y GitHubExcelente uso de try-except en todo el menú y operaciones. Repositorio público con README profesional.10.010.0TOTAL50.050.0Diego Mauricio Zuluaga RodríguezProfesor - Departamento de EconomíaUniversidad de La Sabana</t>
  </si>
  <si>
    <t>🚀 Retroalimentación de la Entrega: Taller Corte 2 - Arquitectura Profesional Integrantes: Sebastián Vanoy Gutiérrez, Samuel David Lozano Holguín, Samuel Mathias González Bernal. Calificación Final: 50/50 (Equivalente a 5.0) ¡Hola, equipo! Quiero felicitarlos por la excepcional calidad de su trabajo. Han logrado no solo cumplir, sino superar las expectativas de este taller, entregando una solución de software que demuestra un dominio impresionante de los conceptos de arquitectura, POO y bases de datos relacionales.Me complace enormemente ver la calidad de su planeación en la carpeta design/. El Diagrama de Clases y el Modelo Entidad-Relación (ERD) son claros, profesionales y reflejan a la perfección la estructura que implementaron en el código. Este es el sello de un equipo de desarrollo maduro: pensar y diseñar antes de programar.En la parte técnica, su implementación es impecable. La jerarquía de clases (Persona -&amp;gt; Cliente, Ruta -&amp;gt; Destino, Envio -&amp;gt; Paquete) está perfectamente estructurada, aplicando herencia para reutilizar código y encapsulamiento (__) para proteger los datos. Además, la integración de la lógica de negocio directamente en los métodos de las clases (ej. Paquete.actualizar()) es una práctica de POO avanzada que demuestra que no solo están escribiendo código, sino diseñando un sistema cohesivo.La interacción con la base de datos SQLite es robusta y segura. El uso de PRAGMA foreign_keys = ON;, la gestión de errores con try-except, y la consulta INNER JOIN para generar el manifiesto son de nivel profesional. Me gustó especialmente el detalle de usar conn.row_factory = sqlite3.Row, que permite acceder a los datos por el nombre de la columna, haciendo el código mucho más legible y mantenible.Sigan con este nivel de excelencia. Han demostrado que tienen la capacidad no solo de seguir instrucciones, sino de investigar, proponer y ejecutar soluciones técnicas elegantes y eficientes. ¡Están más que preparados para el Segundo Parcial y para cualquier reto de desarrollo que se les presente en el futuro! Rúbrica de Calificación 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  Diego Mauricio Zuluaga RodríguezProfesor - Departamento de EconomíaUniversidad de La Sabana</t>
  </si>
  <si>
    <t>⚠️ Seguimiento de entrega: Taller Corte 2Hola Juan Camilo,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t>
  </si>
  <si>
    <t>⚠️ Seguimiento de entrega: Taller Corte 2Hola Samuel,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t>
  </si>
  <si>
    <t>🚀 Retroalimentación de la Entrega: Taller Corte 2 - Arquitectura ProfesionalIntegrantes: Samantha Vanegas Russi, Avril Ariza Quitian.Calificación Final: 35/50 (Equivalente a 3.5)¡Hola, equipo! He revisado detalladamente su entrega para el proyecto de la Librería "Páginas &amp;amp; Co.". A nivel de código, quiero felicitarlas sinceramente: han construido uno de los sistemas más robustos y completos que he visto en este corte. Sin embargo, tenemos oportunidades de mejora críticas en el área de autogestión y planeación.Empecemos por lo excelente: su implementación de la Programación Orientada a Objetos (POO) es impecable. La jerarquía que crearon con 3 clases padre (Autor, Libro, Venta) y sus respectivas clases hijo demuestra un dominio absoluto de la herencia y el polimorfismo. Además, el uso de atributos privados (__) y métodos getters/setters con validaciones internas (como evitar precios o stocks negativos) garantiza un encapsulamiento perfecto.En cuanto a la persistencia de datos, el trabajo con SQLite es sobresaliente. La creación de las tablas con sus respectivas Llaves Primarias y Foráneas (incluyendo reglas avanzadas como ON DELETE CASCADE y ON DELETE RESTRICT) protege la integridad de la información de manera muy profesional. Sus consultas con JOIN (especialmente el reporte de ventas por autor) y el manejo de errores con múltiples bloques try-except hacen que su aplicación sea a prueba de balas frente a los errores del usuario.Ahora, hablemos del aspecto a mejorar (El "Sanity Check" de Autogestión). Como se especificó en las reglas de oro del taller, un Arquitecto de Software no codifica sin planos. La ausencia total de la carpeta design/ (sin el Diagrama de Clases ni el Modelo Entidad-Relación) y la falta del archivo README.md en su repositorio de GitHub impactan fuertemente su calificación, tal como lo advertía la rúbrica.En el mundo real, si ustedes como CTOs entregan un código perfecto pero no lo documentan ni entregan los planos arquitectónicos, el resto del equipo de desarrollo no podrá entender ni escalar el proyecto. La planeación y la presentación del portafolio son tan importantes como la ejecución del código.A pesar de esta penalización en los componentes de diseño y documentación, quiero que se queden con la tranquilidad de que su nivel técnico en Python y SQL es excepcional. Tienen todas las herramientas, la lógica y el conocimiento para obtener un 5.0 rotundo en el Segundo Parcial de la próxima semana. ¡Mucho éxito y a seguir puliendo esa disciplina integral!Rúbrica de CalificaciónCriterio de EvaluaciónRequisito TécnicoPuntaje MáximoPuntaje ObtenidoLógica y Diseño (Arquitectura)Ausencia de la carpeta design/ (Sin Diagrama de Clases ni ERD). Penalización aplicada.10.00.0POO y EncapsulamientoExcelente definición de Clases Padre e Hijo, uso de self, métodos get/set y encapsulamiento.15.015.0SQL y Relaciones (CRUD)Creación de BD, PK/FK, 4 operaciones CRUD, uso avanzado de JOIN y 5 registros mínimos.15.015.0Robustez y GitHubExcelente uso de try-except. Penalización parcial por la ausencia del archivo README.md.10.05.0TOTAL50.035.0Diego Mauricio Zuluaga RodríguezProfesor - Departamento de EconomíaUniversidad de La Sabana</t>
  </si>
  <si>
    <t>🚀 Retroalimentación de la Entrega: Taller Corte 2 - Arquitectura Profesional Integrantes: Juan Sebastián Salas Hinojosa, Alan David Rossoff Vanegas, Lukas Blanco Llanes. Calificación Final: 50/50 (Equivalente a 5.0) ¡Hola, equipo! Qué entrega tan espectacular han realizado. He revisado su proyecto "EconoApp" en detalle y quiero felicitarlos porque han superado con creces las expectativas de este corte. Han demostrado que no solo saben escribir código, sino que piensan y estructuran soluciones como verdaderos Arquitectos de Software (CTOs).Me dejó gratamente sorprendido el nivel de detalle en su carpeta design/. El Diagrama de Clases UML y el Modelo Entidad-Relación (ERD) son de una calidad profesional impecable. Reflejan exactamente la jerarquía que programaron en Python y la estructura relacional de SQLite, demostrando que planificaron cada detalle antes de teclear la primera línea de código.En cuanto a la Programación Orientada a Objetos (POO), la implementación de sus 3 clases padre y 6 clases hijo es perfecta. El uso estricto del encapsulamiento con atributos privados (__), la creación de getters/setters y la aplicación del polimorfismo en el método descripcion() evidencian un dominio total del paradigma orientado a objetos.Sobre la persistencia de datos y SQL, destaco enormemente su proactividad. No solo cumplieron con las 3 tablas y las llaves foráneas, sino que implementaron la restricción ON DELETE CASCADE, una práctica avanzada que protege la integridad de la base de datos. Además, la consulta JOIN que construyeron en resumen_financiero_por_cliente() utilizando COALESCE, SUM y CASE WHEN es de un nivel analítico superior, digno de un entorno empresarial real.Finalmente, la robustez de su sistema es a prueba de balas. El manejo de excepciones con try-except para capturar tanto errores de digitación (ValueError) como errores de base de datos (sqlite3.IntegrityError), sumado a su excelente archivo README.md, hace que este proyecto sea una pieza brillante para su portafolio en GitHub.Sigan trabajando con esta misma pasión, curiosidad y rigor técnico. Tienen un talento enorme para la tecnología y el análisis de datos, habilidades que los harán destacar indiscutiblemente en el mercado laboral. ¡Mucho éxito en su Segundo Parcial, están más que preparados!📝 Rúbrica de CalificaciónCriterio de EvaluaciónRequisito TécnicoPuntaje MáximoPuntaje ObtenidoLógica y Diseño (Arquitectura)Diagrama de Clases y ERD de altísima calidad en la carpeta design/. Evidencia de planeación previa perfecta.10.010.0POO y Encapsulamiento3 Clases Padre, 6 Hijos, uso impecable de self, métodos get/set, herencia y polimorfismo.15.015.0SQL y Relaciones (CRUD)Creación BD, PK/FK con CASCADE, 4 operaciones CRUD, uso de JOIN avanzado y función de auditoría (≥5 registros).15.015.0Robustez y GitHubUso exhaustivo de try-except, repositorio configurado con commits y un README.md sobresaliente.10.010.0TOTAL50.050.0</t>
  </si>
  <si>
    <t>🚀 Retroalimentación de la Entrega: Taller Corte 2 - Arquitectura Profesional Integrantes: Juan David Neuta Medina, Laura Fernanda Lopez Parra, Jose Daniel Escobar Hurtado. Calificación Final: 50/50 (Equivalente a 5.0) ¡Hola, equipo! He revisado su proyecto "Dolar Track Pro v3.0" y quiero felicitarlos. Lo que han entregado no es simplemente una tarea, es una pieza de software con una arquitectura profesional que va mucho más allá de lo solicitado en el enunciado. Han demostrado una comprensión excepcional de los principios de ingeniería de software.Su planeación en la carpeta design/ es de un nivel sobresaliente. El Diagrama de Clases no solo muestra la herencia y el encapsulamiento, sino que estructura el proyecto en capas (Repositorios, Servicios, Aplicación) y utiliza clases abstractas, lo cual es una práctica avanzada y muy valorada en la industria. De igual manera, su Modelo Entidad-Relación (ERD) es claro, preciso y refleja perfectamente la estructura normalizada de su base de datos.En la implementación técnica, han demostrado un dominio absoluto de todos los temas del corte. La separación del código en clases con responsabilidades únicas (como el DatabaseManager para la conexión, los Repositorios para las consultas SQL y los Servicios para la lógica de negocio) es impecable. El uso de clases abstractas, excepciones personalizadas y una interfaz de consola tan bien diseñada y robusta demuestra un nivel de autogestión y excelencia que define el perfil del egresado que buscamos en la EICEA.Este proyecto es, sin duda, una pieza central para su portafolio profesional en GitHub. El nivel de detalle, la robustez del código y la calidad de la arquitectura son el tipo de trabajo que impresiona a los reclutadores y abre puertas en el mundo de la tecnología y las finanzas. Sigan con este nivel de compromiso y curiosidad intelectual. ¡Felicitaciones por un trabajo excepcional! Rúbrica de Calificación Criterio de EvaluaciónRequisito TécnicoPuntaje MáximoPuntaje ObtenidoLógica y Diseño (Arquitectura)Diagrama de Clases y ERD profesionales, detallando capas y relaciones.10.010.0POO y EncapsulamientoUso avanzado de clases (abstractas, hijas), encapsulamiento y separación de responsabilidades.15.015.0SQL y Relaciones (CRUD)Creación de BD, PK/FK, 4 operaciones CRUD, uso de JOIN y mínimo 5 registros.15.015.0Robustez y GitHubUso de try-except con excepciones personalizadas, repositorio configurado y README.md profesional.10.010.0TOTAL50.050.0  Diego Mauricio Zuluaga RodríguezProfesor - Departamento de EconomíaUniversidad de La Sabana</t>
  </si>
  <si>
    <t>🚀 Retroalimentación de la Entrega: Taller Corte 2 - Arquitectura ProfesionalIntegrantes: Juan David Neuta Medina, Laura Fernanda Lopez Parra, Jose Daniel Escobar Hurtado.Calificación Final: 50/50 (Equivalente a 5.0)¡Hola, equipo! He revisado su proyecto "Dolar Track Pro v3.0" y quiero felicitarlos. Lo que han entregado no es simplemente una tarea, es una pieza de software con una arquitectura profesional que va mucho más allá de lo solicitado en el enunciado. Han demostrado una comprensión excepcional de los principios de ingeniería de software.Su planeación en la carpeta design/ es de un nivel sobresaliente. El Diagrama de Clases no solo muestra la herencia y el encapsulamiento, sino que estructura el proyecto en capas (Repositorios, Servicios, Aplicación) y utiliza clases abstractas, lo cual es una práctica avanzada y muy valorada en la industria. De igual manera, su Modelo Entidad-Relación (ERD) es claro, preciso y refleja perfectamente la estructura normalizada de su base de datos.En la implementación técnica, han demostrado un dominio absoluto de todos los temas del corte. La separación del código en clases con responsabilidades únicas (como el DatabaseManager para la conexión, los Repositorios para las consultas SQL y los Servicios para la lógica de negocio) es impecable. El uso de clases abstractas, excepciones personalizadas y una interfaz de consola tan bien diseñada y robusta demuestra un nivel de autogestión y excelencia que define el perfil del egresado que buscamos en la EICEA.Este proyecto es, sin duda, una pieza central para su portafolio profesional en GitHub. El nivel de detalle, la robustez del código y la calidad de la arquitectura son el tipo de trabajo que impresiona a los reclutadores y abre puertas en el mundo de la tecnología y las finanzas. Sigan con este nivel de compromiso y curiosidad intelectual. ¡Felicitaciones por un trabajo excepcional!Rúbrica de CalificaciónCriterio de EvaluaciónRequisito TécnicoPuntaje MáximoPuntaje ObtenidoLógica y Diseño (Arquitectura)Diagrama de Clases y ERD profesionales, detallando capas y relaciones.10.010.0POO y EncapsulamientoUso avanzado de clases (abstractas, hijas), encapsulamiento y separación de responsabilidades.15.015.0SQL y Relaciones (CRUD)Creación de BD, PK/FK, 4 operaciones CRUD, uso de JOIN y mínimo 5 registros.15.015.0Robustez y GitHubUso de try-except con excepciones personalizadas, repositorio configurado y README.md profesional.10.010.0TOTAL50.050.0Diego Mauricio Zuluaga RodríguezProfesor - Departamento de EconomíaUniversidad de La Sabana</t>
  </si>
  <si>
    <t>🚀 Retroalimentación de la Entrega: Taller Corte 2 - Arquitectura ProfesionalIntegrantes: Matías Mondragón Osorio, Arianne Amorocho, Mariana Peña.Calificación Final: 50/50 (Equivalente a 5.0)¡Hola, equipo! Qué excelente trabajo han realizado en la refactorización de su MVP "Ketoz". Han logrado integrar todos los conceptos complejos del segundo corte (POO, Encapsulamiento, Herencia y SQL) en una arquitectura de software robusta y escalable.Me impresionó mucho la calidad de su planeación. El Diagrama de Clases y el Modelo Entidad-Relación (ERD) que adjuntaron en la carpeta design/ son de nivel profesional. Reflejan exactamente la jerarquía que programaron en Python y la estructura de las tablas en SQLite. Esto demuestra una autogestión impecable y un entendimiento profundo de cómo se diseña el software antes de escribir código.En cuanto a la implementación técnica, destaco varios puntos brillantes:POO y Encapsulamiento: La jerarquía de clases (Persona -&amp;gt; ClienteB2B, Articulo -&amp;gt; RepuestoMoto, Transaccion -&amp;gt; OrdenVenta) está perfectamente estructurada. El uso de atributos protegidos (_) y privados (__) junto con los métodos Getters y Setters demuestra que comprenden cómo blindar la lógica de negocio.Persistencia de Datos (SQLite): La función inicializar_base_datos() es muy robusta. El uso de INSERT OR IGNORE para poblar las tablas con los 5 registros mínimos (Regla de Oro) sin que el programa colapse en ejecuciones posteriores es una excelente práctica. Además, la activación de PRAGMA foreign_keys = ON; garantiza la integridad referencial.Operaciones CRUD y Robustez: El menú interactivo es claro y funcional. La implementación de bloques try-except (especialmente capturando ValueError y sqlite3.Error) blinda el sistema contra errores de digitación del usuario o fallos en la base de datos. La consulta con INNER JOIN en la opción de lectura (READ) consolida la información de las tres tablas de forma elegante.Sigan con este nivel de excelencia y atención al detalle. Están desarrollando habilidades que los diferencian en el mercado laboral y los preparan para liderar proyectos tecnológicos en sus respectivas carreras. ¡Mucho éxito en el Segundo Parcial!Rúbrica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profesional.10.010.0TOTAL50.050.0Diego Mauricio Zuluaga RodríguezProfesor - Departamento de EconomíaUniversidad de La Sabana</t>
  </si>
  <si>
    <t>🚀 Retroalimentación de la Entrega: Taller Corte 2 - Arquitectura ProfesionalIntegrantes: Simón Gustavo Restrepo Alvarez, Mateo Pérez Daza, Diego Alejandro Hermida Limas.Calificación Final: 60/50 (Equivalente a 5.0 con Bono)¡Hola, equipo! He revisado su proyecto y debo decir que estoy genuinamente impresionado. Han ido más allá de los requerimientos del taller y han entregado una arquitectura de software de nivel profesional. Este es, sin duda, un trabajo de excelencia que demuestra un dominio absoluto de todos los conceptos del segundo corte.La planeación que realizaron en la carpeta design/ es impecable. El Diagrama de Clases y el Modelo Entidad-Relación (ERD) no solo son correctos, sino que reflejan una jerarquía de herencia y una normalización de datos muy bien pensada (Producto -&amp;gt; Bebida/Snack, Persona -&amp;gt; Proveedor, Registro -&amp;gt; Suministro). Esto demuestra que dedicaron tiempo a la fase de diseño, la habilidad más importante de un arquitecto de software.En la parte técnica, la decisión de modularizar el proyecto en archivos .py (producto.py, persona.py, database.py, etc.) y orquestar todo desde un main.py es una práctica avanzada que los diferencia enormemente. Esto no solo hace que el código sea más limpio y escalable, sino que facilita el trabajo en equipo en plataformas como GitHub. Por esta iniciativa, que va más allá de lo solicitado, se les otorga un bono de +10 puntos.La implementación de la base de datos SQLite es robusta y segura. El uso de try-except para manejar errores en cada operación CRUD, la correcta definición de Llaves Primarias y Foráneas, y la consulta JOIN para consolidar la información, son todos elementos ejecutados a la perfección.Sigan con este nivel de compromiso, curiosidad y rigor técnico. Están desarrollando un portafolio profesional de altísima calidad que les abrirá muchas puertas en el futuro. ¡Felicitaciones por un trabajo excepcional!Rúbrica de CalificaciónCriterio de EvaluaciónRequisito TécnicoPuntaje MáximoPuntaje ObtenidoLógica y Diseño (Arquitectura)Diagrama de Clases y ERD en la carpeta design/. Evidencia de planeación previa.10.010.0POO y EncapsulamientoCorrecta definición de Clases, uso de self, métodos get/set y encapsulamiento.15.015.0SQL y Relaciones (CRUD)Creación BD, PK/FK, 4 operaciones CRUD, uso de JOIN y mínimo 5 registros.15.015.0Robustez y GitHubUso de try-except, repositorio configurado con commits y README.md profesional.10.010.0Bono por ModularidadImplementación de arquitectura profesional con múltiples archivos .py.+10.0+10.0TOTAL50.060.0Diego Mauricio Zuluaga RodríguezProfesor - Departamento de EconomíaUniversidad de La Sabana</t>
  </si>
  <si>
    <t>🚀 Retroalimentación de la Entrega: Taller Corte 2 - Arquitectura Profesional Integrantes: Samuel David Simancas Contreras, Juan Sebastián Perdomo Herrera, Daniel Felipe Camacho Pedraza. Calificación Final: 45/50 (Equivalente a 4.5) ¡Hola, equipo! He revisado su proyecto y quiero felicitarlos por el gran esfuerzo y el avance técnico que han demostrado. Lograron dar el salto de un script simple a una arquitectura de software que integra Programación Orientada a Objetos (POO) y persistencia de datos con SQLite.Me gustó mucho cómo estructuraron su código, separando la lógica de conexión a la base de datos en una función conectar(). Esto es una excelente práctica de reutilización de código. La implementación de las clases con herencia (Persona -&amp;gt; Cliente, Producto -&amp;gt; Plato) y el encapsulamiento de los atributos con __ son impecables. Además, la consulta con JOIN para ver los pedidos funciona a la perfección y demuestra que entendieron cómo se relacionan las tablas.Sin embargo, hay dos puntos clave de la rúbrica que no se cumplieron en su totalidad y que son fundamentales para la autogestión y la arquitectura de software:Diseño Previo: En la carpeta design/ solo entregaron el Diagrama de Clases, pero faltó el Modelo Entidad-Relación (ERD) de la base de datos. Este plano es vital para entender cómo se conectan las tablas antes de escribir el código SQL.Robustez del Código: Aunque el try-except en la función conectar() es un buen inicio, el menú principal y las funciones CRUD no están protegidos contra errores del usuario (ej. si se ingresa texto en lugar de un ID numérico). Esto podría hacer que el programa colapse.A pesar de estos detalles, el núcleo del proyecto es muy sólido. Han construido una base técnica excelente sobre la cual pueden seguir creciendo. Para el próximo corte, les pido que no subestimen la importancia de la fase de diseño (los diagramas) y que siempre piensen en cómo proteger su código de posibles fallos. ¡Sigan adelante, van por muy buen camino! Rúbrica de CalificaciónCriterio de EvaluaciónRequisito TécnicoPuntaje MáximoPuntaje ObtenidoLógica y Diseño (Arquitectura)Diagrama de Clases correcto, pero ausencia del Modelo Entidad-Relación (ERD).10.05.0POO y EncapsulamientoCorrecta definición de Clases, uso de self, métodos get/set y encapsulamiento.15.015.0SQL y Relaciones (CRUD)Creación BD, PK/FK, 4 operaciones CRUD, uso de JOIN y mínimo 5 registros.15.015.0Robustez y GitHubRepositorio configurado y README.md profesional, pero falta de try-except en el menú.10.010.0TOTAL50.045.0Diego Mauricio Zuluaga RodríguezProfesor - Departamento de EconomíaUniversidad de La Sabana</t>
  </si>
  <si>
    <t>🚀 Retroalimentación de la Entrega: Taller Corte 2 - Arquitectura Profesional Integrantes: María Juliana Herrera Pulido, Mariana Carmona Romero. Calificación Final: 25/50 (Equivalente a 2.5)  Comentarios del Profesor:Hola, equipo. He revisado su entrega y, aunque lograron implementar varios de los componentes técnicos solicitados, el proyecto presenta fallas estructurales significativas que se alejan del objetivo principal de la actividad: construir una arquitectura de software integrada y robusta.Puntos a destacar (Lo que sí funcionó):Base de Datos Relacional: Crearon correctamente las tres tablas (clientes, pedidos, pagos) y establecieron las relaciones con Llaves Foráneas (FK). La inserción de los 5 registros mínimos y la consulta con INNER JOIN son técnicamente correctas.Programación Orientada a Objetos: Definieron una jerarquía de clases con un Padre (Usuario) y tres Hijos (Cliente, Repartidor, Admin), lo cual cumple con el requisito de POO.Oportunidades de Mejora (Fallas Críticas):Falta de Integración (El problema principal): El mayor problema de su proyecto es que la POO y la Base de Datos nunca se conectan. Crearon las clases por un lado y las tablas por otro, pero el menú interactivo solo opera sobre la base de datos, ignorando por completo los objetos. El objetivo era que los objetos (Cliente, Pedido) tuvieran métodos como .guardar_en_bd() que interactuaran con SQLite.Autogestión y Planeación: La ausencia de la carpeta design/ con el Diagrama de Clases y el Modelo Entidad-Relación (ERD) es una falta grave a la rúbrica. Esto evidencia que no hubo una fase de planeación, lo que probablemente causó la desconexión entre la POO y la BD. Un arquitecto de software no codifica sin planos.Encapsulamiento y Robustez: Las clases no implementan encapsulamiento (__) en sus atributos sensibles, y el código no utiliza bloques try-except para manejar errores de usuario, lo que lo hace vulnerable a colapsos.GitHub: El repositorio carece de un archivo README.md profesional que explique el proyecto, lo cual es un requisito explícito para la construcción de su portafolio.Motivación: Tienen la capacidad técnica para manejar SQL y POO por separado. Ahora, el gran reto para el Segundo Parcial y para su futuro profesional es aprender a integrar estas tecnologías para que trabajen juntas. Les recomiendo revisar la solución ideal que compartiré, donde verán cómo los objetos se convierten en los "gerentes" que le dan órdenes a la base de datos. No se desanimen, este es uno de los saltos conceptuales más difíciles. ¡Aprovechen esta retroalimentación para fortalecer sus bases!Rúbrica de CalificaciónCriterio de EvaluaciónRequisito TécnicoPuntaje MáximoPuntaje ObtenidoLógica y Diseño (Arquitectura)Diagrama de Clases y ERD en la carpeta design/.10.00.0POO y EncapsulamientoDefinición de Clases, uso de self, métodos get/set y encapsulamiento.15.05.0SQL y Relaciones (CRUD)Creación BD, PK/FK, 4 operaciones CRUD, uso de JOIN y mínimo 5 registros.15.015.0Robustez y GitHubUso de try-except, repositorio configurado con commits y README.md profesional.10.05.0TOTAL50.025.0Diego Mauricio Zuluaga RodríguezProfesor - Departamento de EconomíaUniversidad de La Sabana</t>
  </si>
  <si>
    <t>🚀 Retroalimentación de la Entrega: Taller Corte 2 - Arquitectura Profesional Integrantes: Matías Mondragón Osorio, Arianne Amorocho, Mariana Peña. Calificación Final: 50/50 (Equivalente a 5.0) ¡Hola, equipo! Qué excelente trabajo han realizado en la refactorización de su MVP "Ketoz". Han logrado integrar todos los conceptos complejos del segundo corte (POO, Encapsulamiento, Herencia y SQL) en una arquitectura de software robusta y escalable.Me impresionó mucho la calidad de su planeación. El Diagrama de Clases y el Modelo Entidad-Relación (ERD) que adjuntaron en la carpeta design/ son de nivel profesional. Reflejan exactamente la jerarquía que programaron en Python y la estructura de las tablas en SQLite. Esto demuestra una autogestión impecable y un entendimiento profundo de cómo se diseña el software antes de escribir código.En cuanto a la implementación técnica, destaco varios puntos brillantes:POO y Encapsulamiento: La jerarquía de clases (Persona -&amp;gt; ClienteB2B, Articulo -&amp;gt; RepuestoMoto, Transaccion -&amp;gt; OrdenVenta) está perfectamente estructurada. El uso de atributos protegidos (_) y privados (__) junto con los métodos Getters y Setters demuestra que comprenden cómo blindar la lógica de negocio.Persistencia de Datos (SQLite): La función inicializar_base_datos() es muy robusta. El uso de INSERT OR IGNORE para poblar las tablas con los 5 registros mínimos (Regla de Oro) sin que el programa colapse en ejecuciones posteriores es una excelente práctica. Además, la activación de PRAGMA foreign_keys = ON; garantiza la integridad referencial.Operaciones CRUD y Robustez: El menú interactivo es claro y funcional. La implementación de bloques try-except (especialmente capturando ValueError y sqlite3.Error) blinda el sistema contra errores de digitación del usuario o fallos en la base de datos. La consulta con INNER JOIN en la opción de lectura (READ) consolida la información de las tres tablas de forma elegante.Sigan con este nivel de excelencia y atención al detalle. Están desarrollando habilidades que los diferencian en el mercado laboral y los preparan para liderar proyectos tecnológicos en sus respectivas carreras. ¡Mucho éxito en el Segundo Parcial!Rúbrica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  Diego Mauricio Zuluaga RodríguezProfesor - Departamento de EconomíaUniversidad de La Sabana</t>
  </si>
  <si>
    <t>🚀 Retroalimentación de la Entrega: Taller Corte 2 - Arquitectura Profesional GRUPO: LEON VARGAS, ALEJANDRA GIRALDO PICO, SOFIA Calificación Final: 46/50 (Equivalente a 4.6) ¡Hola, Alejandra y Sofia! Espero que se encuentren muy bien. He revisado detalladamente su entrega para este segundo corte y quiero felicitarlas por el gran avance que han mostrado. Se nota un esfuerzo importante por pasar de la programación lineal a una estructura mucho más robusta y organizada.Su repositorio en GitHub está muy bien organizado y el archivo README es claro, lo cual es fundamental para su portafolio profesional. Los diagramas que incluyeron en la carpeta design/ son coherentes con lo que finalmente programaron, y eso demuestra una excelente capacidad de planeación y autogestión. "Dibujar" el código antes de escribirlo es lo que hace un verdadero arquitecto de software.En cuanto a la Programación Orientada a Objetos (POO), aplicaron muy bien el concepto de herencia con Persona -&amp;gt; Cliente y Producto -&amp;gt; Bebida/Comida. El uso de atributos privados (__nombre) y sus respectivos métodos get y set es correcto y protege la integridad de los datos. Como observación para mejorar, el enunciado solicitaba al menos tres clases padre con tres clases hijo; en su caso, implementaron dos jerarquías principales. Sin embargo, la lógica aplicada es impecable.Sobre la base de datos en SQLite, las tres tablas están bien relacionadas con sus llaves primarias y foráneas. Lograron cumplir con la "Regla de Oro" de los 5 registros iniciales y la consulta con JOIN funciona perfectamente para cruzar la información. Un pequeño detalle técnico para el futuro: recuerden siempre ejecutar el comando cursor.execute("PRAGMA foreign_keys = ON;") justo después de conectarse, para que SQLite obligue a respetar las llaves foráneas en todo momento.Finalmente, el manejo de errores con try-except en el menú hace que el programa sea mucho más amigable y no se "rompa" si el usuario comete un error de digitación. Sigan con esa mentalidad de mejora continua y atención al detalle. Tienen una base técnica muy sólida para afrontar el tercer corte y los retos de análisis de datos que vienen. ¡Excelente trabajo! Rúbrica de Calificación Criterio de EvaluaciónRequisito TécnicoPuntaje MáximoPuntaje ObtenidoLógica y DiseñoCalidad del Diagrama de Clases y ERD. Coherencia con el código.10.010.0POO y EncapsulamientoDefinición de clases, herencia y uso de atributos privados con get/set.15.013.0SQL y Relaciones (CRUD)Creación de BD, 3 tablas, PK/FK, JOIN y mínimo 5 registros.15.013.0Robustez y GitHubUso de try-except, repositorio profesional y README completo.10.010.0TOTAL50.046.0  Diego Mauricio Zuluaga RodríguezProfesor - Departamento de EconomíaUniversidad de La Sabana</t>
  </si>
  <si>
    <t>🚀 Retroalimentación de la Entrega: Taller Corte 2 - Arquitectura ProfesionalIntegrantes: María Juliana Mejía Quintero, Valery Linares Hernández, María José Botero Galviz.Calificación Final: 23/50 (Equivalente a 2.3)¡Hola, equipo! Espero que se encuentren muy bien. He revisado detalladamente su proyecto de la "Pastelería" y quiero compartirles mis comentarios. Valoro mucho el esfuerzo que hicieron para conectar Python con SQLite, ya que dar ese salto de la memoria RAM a una base de datos real es uno de los pasos más difíciles del curso.Puntos a destacar (Lo positivo):Lograron implementar correctamente la creación de la base de datos y las tablas con sus respectivas Llaves Primarias (PK) y Foráneas (FK). La consulta INNER JOIN que construyeron en la función ver_pedidos_completos() funciona a la perfección y demuestra que entienden cómo se relacionan los datos en un modelo relacional. Además, la inclusión de bloques try-except al momento de guardar en la base de datos es una excelente práctica de robustez.Oportunidades de Mejora (Por qué la calificación):Como Arquitectos de Software, debemos seguir los requerimientos técnicos al pie de la letra. En esta entrega hubo varias omisiones críticas respecto a las instrucciones de autogestión:Falta de Planeación (Carpeta Design): No incluyeron la carpeta design/ con el Diagrama de Clases ni el Modelo Entidad-Relación (ERD). Como lo advertía la rúbrica, un arquitecto no codifica sin planos, y esta ausencia penaliza fuertemente la nota.POO y Encapsulamiento Incompleto: Aunque usaron herencia (Persona -&amp;gt; Cliente), la rúbrica exigía al menos 3 clases padre y 3 clases hijo. Más importante aún, omitieron por completo el Encapsulamiento. Sus atributos son públicos (self.nombre = nombre) en lugar de privados (self.__nombre), y no implementaron los métodos get y set requeridos para proteger la información.Falta de Menú Interactivo y Registros: El sistema se ejecuta de forma secuencial y carece del menú interactivo (while) exigido para que el usuario pueda hacer las operaciones CRUD dinámicamente. Además, insertaron solo 3 registros por tabla, cuando la "Regla de Oro" del taller exigía un mínimo de 5 registros.Motivación:Sé que asimilar todos estos conceptos de arquitectura de software al mismo tiempo es un reto grande. Tienen la lógica de bases de datos muy clara, lo cual es un gran avance. Les sugiero revisar los apuntes sobre Encapsulamiento y Menús Interactivos para que puedan aplicar estos conceptos con éxito en el Segundo Parcial. ¡No se desanimen, de los errores en el código es de donde más se aprende!Rúbrica de CalificaciónCriterio de EvaluaciónRequisito TécnicoPuntaje MáximoPuntaje ObtenidoLógica y Diseño (Arquitectura)Diagrama de Clases y ERD en la carpeta design/. (No se entregó la carpeta design/).10.00.0POO y Encapsulamiento3 Clases Padre, 3 Hijos, uso de self, métodos get/set y encapsulamiento. (Faltó encapsulamiento, getters/setters y la cantidad de clases requeridas).15.05.0SQL y Relaciones (CRUD)Creación BD, PK/FK, 4 operaciones CRUD, uso de JOIN y mínimo 5 registros. (Buen SQL y JOIN, pero faltó el menú interactivo y solo insertaron 3 registros).15.010.0Robustez y GitHubUso de try-except, repositorio configurado con commits y README.md profesional. (Buen uso de try-except y entrega de repositorio).10.08.0TOTAL50.023.0Diego Mauricio Zuluaga RodríguezProfesor - Departamento de EconomíaUniversidad de La Sabana</t>
  </si>
  <si>
    <t>🚀 Retroalimentación de la Entrega: Taller Corte 2 - Arquitectura Profesional Integrantes: María Juliana Mejía Quintero, Valery Linares Hernández, María José Botero Galviz. Calificación Final: 23/50 (Equivalente a 2.3) ¡Hola, equipo! Espero que se encuentren muy bien. He revisado detalladamente su proyecto de la "Pastelería" y quiero compartirles mis comentarios. Valoro mucho el esfuerzo que hicieron para conectar Python con SQLite, ya que dar ese salto de la memoria RAM a una base de datos real es uno de los pasos más difíciles del curso.Puntos a destacar (Lo positivo):Lograron implementar correctamente la creación de la base de datos y las tablas con sus respectivas Llaves Primarias (PK) y Foráneas (FK). La consulta INNER JOIN que construyeron en la función ver_pedidos_completos() funciona a la perfección y demuestra que entienden cómo se relacionan los datos en un modelo relacional. Además, la inclusión de bloques try-except al momento de guardar en la base de datos es una excelente práctica de robustez. Oportunidades de Mejora (Por qué la calificación): Como Arquitectos de Software, debemos seguir los requerimientos técnicos al pie de la letra. En esta entrega hubo varias omisiones críticas respecto a las instrucciones de autogestión:Falta de Planeación (Carpeta Design): No incluyeron la carpeta design/ con el Diagrama de Clases ni el Modelo Entidad-Relación (ERD). Como lo advertía la rúbrica, un arquitecto no codifica sin planos, y esta ausencia penaliza fuertemente la nota.POO y Encapsulamiento Incompleto: Aunque usaron herencia (Persona -&amp;gt; Cliente), la rúbrica exigía al menos 3 clases padre y 3 clases hijo. Más importante aún, omitieron por completo el Encapsulamiento. Sus atributos son públicos (self.nombre = nombre) en lugar de privados (self.__nombre), y no implementaron los métodos get y set requeridos para proteger la información.Falta de Menú Interactivo y Registros: El sistema se ejecuta de forma secuencial y carece del menú interactivo (while) exigido para que el usuario pueda hacer las operaciones CRUD dinámicamente. Además, insertaron solo 3 registros por tabla, cuando la "Regla de Oro" del taller exigía un mínimo de 5 registros.Motivación:Sé que asimilar todos estos conceptos de arquitectura de software al mismo tiempo es un reto grande. Tienen la lógica de bases de datos muy clara, lo cual es un gran avance. Les sugiero revisar los apuntes sobre Encapsulamiento y Menús Interactivos para que puedan aplicar estos conceptos con éxito en el Segundo Parcial. ¡No se desanimen, de los errores en el código es de donde más se aprende!Rúbrica de CalificaciónCriterio de EvaluaciónRequisito TécnicoPuntaje MáximoPuntaje ObtenidoLógica y Diseño (Arquitectura)Diagrama de Clases y ERD en la carpeta design/. (No se entregó la carpeta design/).10.00.0POO y Encapsulamiento3 Clases Padre, 3 Hijos, uso de self, métodos get/set y encapsulamiento. (Faltó encapsulamiento, getters/setters y la cantidad de clases requeridas).15.05.0SQL y Relaciones (CRUD)Creación BD, PK/FK, 4 operaciones CRUD, uso de JOIN y mínimo 5 registros. (Buen SQL y JOIN, pero faltó el menú interactivo y solo insertaron 3 registros).15.010.0Robustez y GitHubUso de try-except, repositorio configurado con commits y README.md profesional. (Buen uso de try-except y entrega de repositorio).10.08.0TOTAL50.023.0Diego Mauricio Zuluaga RodríguezProfesor - Departamento de EconomíaUniversidad de La Sabana</t>
  </si>
  <si>
    <t>🚀 Retroalimentación de la Entrega: Taller Corte 2 - Arquitectura ProfesionalIntegrantes: Sebastián Vanoy Gutiérrez, Samuel David Lozano Holguín, Samuel Mathias González Bernal.Calificación Final: 50/50 (Equivalente a 5.0)¡Hola, equipo! Quiero felicitarlos por la excepcional calidad de su trabajo. Han logrado no solo cumplir, sino superar las expectativas de este taller, entregando una solución de software que demuestra un dominio impresionante de los conceptos de arquitectura, POO y bases de datos relacionales.Me complace enormemente ver la calidad de su planeación en la carpeta design/. El Diagrama de Clases y el Modelo Entidad-Relación (ERD) son claros, profesionales y reflejan a la perfección la estructura que implementaron en el código. Este es el sello de un equipo de desarrollo maduro: pensar y diseñar antes de programar.En la parte técnica, su implementación es impecable. La jerarquía de clases (Persona -&amp;gt; Cliente, Ruta -&amp;gt; Destino, Envio -&amp;gt; Paquete) está perfectamente estructurada, aplicando herencia para reutilizar código y encapsulamiento (__) para proteger los datos. Además, la integración de la lógica de negocio directamente en los métodos de las clases (ej. Paquete.actualizar()) es una práctica de POO avanzada que demuestra que no solo están escribiendo código, sino diseñando un sistema cohesivo.La interacción con la base de datos SQLite es robusta y segura. El uso de PRAGMA foreign_keys = ON;, la gestión de errores con try-except, y la consulta INNER JOIN para generar el manifiesto son de nivel profesional. Me gustó especialmente el detalle de usar conn.row_factory = sqlite3.Row, que permite acceder a los datos por el nombre de la columna, haciendo el código mucho más legible y mantenible.Sigan con este nivel de excelencia. Han demostrado que tienen la capacidad no solo de seguir instrucciones, sino de investigar, proponer y ejecutar soluciones técnicas elegantes y eficientes. ¡Están más que preparados para el Segundo Parcial y para cualquier reto de desarrollo que se les presente en el futuro!Rúbrica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profesional.10.010.0TOTAL50.050.0Diego Mauricio Zuluaga RodríguezProfesor - Departamento de EconomíaUniversidad de La Sabana</t>
  </si>
  <si>
    <t>🚀 Retroalimentación de la Entrega: Taller Corte 2 - Arquitectura ProfesionalIntegrantes: Matías Mondragón Osorio, Arianne Amorocho, Mariana Peña.Calificación Final: 50/50 (Equivalente a 5.0)¡Hola, equipo! Qué excelente trabajo han realizado en la refactorización de su MVP "Ketoz". Han logrado integrar todos los conceptos complejos del segundo corte (POO, Encapsulamiento, Herencia y SQL) en una arquitectura de software robusta y escalable.Me impresionó mucho la calidad de su planeación. El Diagrama de Clases y el Modelo Entidad-Relación (ERD) que adjuntaron en la carpeta design/ son de nivel profesional. Reflejan exactamente la jerarquía que programaron en Python y la estructura de las tablas en SQLite. Esto demuestra una autogestión impecable y un entendimiento profundo de cómo se diseña el software antes de escribir código.En cuanto a la implementación técnica, destaco varios puntos brillantes:POO y Encapsulamiento: La jerarquía de clases (Persona -&amp;gt; ClienteB2B, Articulo -&amp;gt; RepuestoMoto, Transaccion -&amp;gt; OrdenVenta) está perfectamente estructurada. El uso de atributos protegidos (_) y privados (__) junto con los métodos Getters y Setters demuestra que comprenden cómo blindar la lógica de negocio.Persistencia de Datos (SQLite): La función inicializar_base_datos() es muy robusta. El uso de INSERT OR IGNORE para poblar las tablas con los 5 registros mínimos (Regla de Oro) sin que el programa colapse en ejecuciones posteriores es una excelente práctica. Además, la activación de PRAGMA foreign_keys = ON; garantiza la integridad referencial.Operaciones CRUD y Robustez: El menú interactivo es claro y funcional. La implementación de bloques try-except (especialmente capturando ValueError y sqlite3.Error) blinda el sistema contra errores de digitación del usuario o fallos en la base de datos. La consulta con INNER JOIN en la opción de lectura (READ) consolida la información de las tres tablas de forma elegante.Sigan con este nivel de excelencia y atención al detalle. Están desarrollando habilidades que los diferencian en el mercado laboral y los preparan para liderar proyectos tecnológicos en sus respectivas carreras. ¡Mucho éxito en el Segundo Parcial! 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profesional.10.010.0TOTAL50.050.0Diego Mauricio Zuluaga RodríguezProfesor - Departamento de EconomíaUniversidad de La Sabana</t>
  </si>
  <si>
    <t>⚠️ Seguimiento de entrega: Taller Corte 2Hola Mariana,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t>
  </si>
  <si>
    <t>⚠️ Seguimiento de entrega: Taller Corte 2 Hola Cristian, espero que estés muy bien. Al realizar la auditoría de entregas en Teams, he notado que tu buzón para el Taller del Corte 2 (30%) se encuentra vacío. Como recordarás, la fecha límite innegociable fue el pasado miércoles 8 de abril a las 16:00. 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 ¿Tuviste algún inconveniente de fuerza mayor que te impidiera realizar la carga del repositorio de GitHub a tiempo? Quedo atento a tus comentarios. Saludos,Diego Mauricio Zuluaga Rodríguez Profesor - Departamento de Economía Universidad de La Sabana</t>
  </si>
  <si>
    <t>🚀 Retroalimentación de la Entrega: Taller Corte 2 - Arquitectura Profesional GRUPO:TORRES CALDERON, NICOLAS LEYTON LANCHEROS, JUAN CAMILO BERMUDEZ , CRISTIAN ¡Hola, equipo! Espero que se encuentren muy bien. He revisado con detenimiento su entrega para este segundo corte y tengo varios puntos importantes que compartirles sobre su desempeño técnico y su autogestión.En primer lugar, quiero felicitarlos por la solidez técnica de su código. Lograron cumplir con creces el requerimiento de la Programación Orientada a Objetos (POO), implementando las tres jerarquías solicitadas (Persona, ProductoBase y Transaccion) con sus respectivos hijos. El uso del encapsulamiento con atributos privados y métodos getter/setter es impecable y demuestra que han asimilado muy bien cómo proteger la integridad de los datos en una aplicación profesional.En cuanto a la base de datos, su implementación en SQLite es excelente. El uso de PRAGMA foreign_keys = ON; es un detalle de alta calidad que asegura que las relaciones entre tablas sean reales y se respeten. El CRUD está completo y la consulta JOIN funciona perfectamente para consolidar la información de clientes y productos en un solo reporte. Además, cumplieron con la "Regla de Oro" de los 5 registros iniciales, lo cual facilitó la auditoría de su lógica.Sin embargo, debemos hablar de la Autogestión, que es una competencia central de este curso y una meta del Departamento de Economía. El taller exigía explícitamente la creación de un repositorio público en GitHub con una estructura específica (README y carpeta Design). Al realizar la entrega únicamente por Teams, están perdiendo la oportunidad de construir su portafolio profesional y demostrar el dominio de herramientas de control de versiones. Aunque la imagen de los diagramas que adjuntaron es de muy buena calidad y demuestra planeación, la ausencia del repositorio y del archivo README afecta significativamente la nota en el rubro de profesionalismo y seguimiento de instrucciones.Tienen un potencial técnico muy alto. El código es limpio, robusto gracias al uso de bloques try-except y está muy bien estructurado. Si logran alinear esa capacidad técnica con una disciplina rigurosa en el cumplimiento de los formatos de entrega y el uso de GitHub, sus perfiles como analistas de decisiones serán excepcionales.¡Mucho ánimo para el parcial! Si aplican esta misma lógica de POO y SQL en el examen presencial, estoy seguro de que obtendrán un gran resultado. Rúbrica de Calificación (Sobre 50 puntos) CriterioDescripciónPuntaje MáximoPuntaje ObtenidoLógica y DiseñoCalidad del Diagrama de Clases y ERD. (Se penaliza por no entregar en la carpeta design de GitHub).10.07.0POO y Encapsulamiento3 Clases Padre, 3 Hijos, uso de self, métodos get/set y encapsulamiento.15.015.0SQL y Relaciones (CRUD)Creación de BD, PK/FK, 4 operaciones CRUD, uso de JOIN y mínimo 5 registros.15.015.0Robustez y GitHubUso de try-except. (Se penaliza por ausencia total de Repositorio GitHub y README).10.03.0TOTALCalificación Final: 4.050.040.0  Diego Mauricio Zuluaga RodríguezProfesor - Departamento de EconomíaUniversidad de La Sabana</t>
  </si>
  <si>
    <t>🚀 Retroalimentación de la Entrega: Taller Corte 2 - Arquitectura ProfesionalIntegrantes: María Juliana Mejía Quintero, Valery Linares Hernández, María José Botero Galviz.Calificación Final: 23/50 (Equivalente a 2.3)¡Hola, equipo! Espero que se encuentren muy bien. He revisado detalladamente su proyecto de la "Pastelería" y quiero compartirles mis comentarios. Valoro mucho el esfuerzo que hicieron para conectar Python con SQLite, ya que dar ese salto de la memoria RAM a una base de datos real es uno de los pasos más difíciles del curso.Puntos a destacar (Lo positivo):Lograron implementar correctamente la creación de la base de datos y las tablas con sus respectivas Llaves Primarias (PK) y Foráneas (FK). La consulta INNER JOIN que construyeron en la función ver_pedidos_completos() funciona a la perfección y demuestra que entienden cómo se relacionan los datos en un modelo relacional. Además, la inclusión de bloques try-except al momento de guardar en la base de datos es una excelente práctica de robustez.Oportunidades de Mejora (Por qué la calificación):Como Arquitectos de Software, debemos seguir los requerimientos técnicos al pie de la letra. En esta entrega hubo varias omisiones críticas respecto a las instrucciones de autogestión:Falta de Planeación (Carpeta Design): No incluyeron la carpeta design/ con el Diagrama de Clases ni el Modelo Entidad-Relación (ERD). Como lo advertía la rúbrica, un arquitecto no codifica sin planos, y esta ausencia penaliza fuertemente la nota.POO y Encapsulamiento Incompleto: Aunque usaron herencia (Persona -&amp;gt; Cliente), la rúbrica exigía al menos 3 clases padre y 3 clases hijo. Más importante aún, omitieron por completo el Encapsulamiento. Sus atributos son públicos (self.nombre = nombre) en lugar de privados (self.__nombre), y no implementaron los métodos get y set requeridos para proteger la información.Falta de Menú Interactivo y Registros: El sistema se ejecuta de forma secuencial y carece del menú interactivo (while) exigido para que el usuario pueda hacer las operaciones CRUD dinámicamente. Además, insertaron solo 3 registros por tabla, cuando la "Regla de Oro" del taller exigía un mínimo de 5 registros.Motivación:Sé que asimilar todos estos conceptos de arquitectura de software al mismo tiempo es un reto grande. Tienen la lógica de bases de datos muy clara, lo cual es un gran avance. Les sugiero revisar los apuntes sobre Encapsulamiento y Menús Interactivos para que puedan aplicar estos conceptos con éxito en el Segundo Parcial. ¡No se desanimen, de los errores en el código es de donde más se aprende!Rúbrica de CalificaciónCriterio de EvaluaciónRequisito TécnicoPuntaje MáximoPuntaje ObtenidoLógica y Diseño (Arquitectura)Diagrama de Clases y ERD en la carpeta design/. (No se entregó la carpeta design/).10.00.0POO y Encapsulamiento3 Clases Padre, 3 Hijos, uso de self, métodos get/set y encapsulamiento. (Faltó encapsulamiento, getters/setters y la cantidad de clases requeridas).15.05.0SQL y Relaciones (CRUD)Creación BD, PK/FK, 4 operaciones CRUD, uso de JOIN y mínimo 5 registros. (Buen SQL y JOIN, pero faltó el menú interactivo y solo insertaron 3 registros).15.010.0Robustez y GitHubUso de try-except, repositorio configurado con commits y README.md profesional. (Buen uso de try-except y entrega de repositorio).10.08.0TOTAL50.023.0  Diego Mauricio Zuluaga RodríguezProfesor - Departamento de EconomíaUniversidad de La Sabana</t>
  </si>
  <si>
    <t>⚠️ Seguimiento de entrega: Taller Corte 2Hola Sofía,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t>
  </si>
  <si>
    <t>🚀 Retroalimentación de la Entrega: Taller Corte 2 - Arquitectura Profesional Integrantes: Paula Andrea Arciniegas Cárdenas, Valeria Morales, Isabella Carranza Tapiero. Proyecto: Ruta Óptima App - Sistema Logístico Calificación Final: 50/50 (Equivalente a 5.0) ¡Hola, equipo! Qué excelente trabajo han realizado. Han logrado tomar el MVP del primer corte y transformarlo en una verdadera aplicación de software con una arquitectura sólida y escalable. Se nota el esfuerzo, la dedicación y, sobre todo, la excelente autogestión que tuvieron como grupo.Quiero destacar primero su trabajo de planeación. Los diagramas que incluyeron en la carpeta design/ (el Diagrama de Clases y el Modelo Entidad-Relación) son de nivel profesional. Como hemos hablado en clase, un buen CTO no escribe código a ciegas; ustedes planearon su estructura de 3 tablas y su jerarquía de herencia antes de programar, y eso se reflejó en un código limpio y sin improvisaciones.En cuanto a la Programación Orientada a Objetos (POO), la implementación es impecable. Cumplieron con creces al crear las clases padre (Cliente, Paquete, Envio) y sus respectivas clases hijas. El uso de atributos privados (__nombre, __peso) junto con los métodos Getters y Setters demuestra que comprendieron a la perfección el concepto de Encapsulamiento para proteger la información de su negocio.Sobre la persistencia de datos y SQL, lograron un CRUD completamente funcional y robusto. La inserción de los 5 registros iniciales (la Regla de Oro) funcionó perfectamente. Además, la consulta JOIN que cruza las tres tablas para mostrar el reporte de envíos es exactamente el tipo de consultas que un analista de datos necesita para conectar esta base de datos con herramientas como Power BI en el futuro.Como un pequeño "Sanity Check" o consejo técnico para sus futuros proyectos: noté que definieron muy bien las Llaves Foráneas (FK) al crear las tablas, pero en SQLite es altamente recomendable ejecutar el comando cursor.execute("PRAGMA foreign_keys = ON;") justo después de conectarse a la base de datos. Esto obliga al motor a respetar esas relaciones y evitar que alguien borre un cliente que ya tiene paquetes asignados. De igual forma, el manejo de errores con try-except que implementaron blindó muy bien el sistema.Las felicito por este gran resultado. Tienen todas las bases técnicas y lógicas para afrontar el Segundo Parcial con total tranquilidad. Sigan trabajando con esta misma disciplina y atención al detalle, ¡tienen un gran futuro como líderes en tecnología y negocios! Criterio de EvaluaciónDescripción TécnicaPuntaje MáximoPuntaje ObtenidoLógica y Diseño (Arquitectura)Diagrama de Clases y Modelo ERD impecables en la carpeta design/. Excelente planeación.10.010.0POO y EncapsulamientoSuperan el requisito de 3 Clases Padre y 3 Hijos. Uso perfecto de self, encapsulamiento (__) y métodos get/set.15.015.0SQL y Relaciones (CRUD)Tablas normalizadas con PK/FK, 4 operaciones CRUD funcionales, JOIN de 3 tablas y datos mínimos insertados.15.015.0Robustez y GitHubExcelente uso de try-except en todo el menú y operaciones. Repositorio público con README profesional.10.010.0TOTAL50.050.0  Diego Mauricio Zuluaga RodríguezProfesor - Departamento de EconomíaUniversidad de La Sabana</t>
  </si>
  <si>
    <t>🗄️ Calificación Tarea 1 - Clase 7: CRUD en SQLite Integrantes: Simon Gustavo Restrepo Alvarez, Mateo Perez Daza y Diego Alejandro Hermida Limas. Calificación Final: 50/50 (Equivalente a 5.0) ¡Hola, equipo! Qué gusto saludarles. He revisado detalladamente su entrega y quiero felicitarlos porque han realizado un trabajo impecable. Se nota que hubo una planeación concienzuda y que comprendieron a la perfección cómo llevar la lógica de nuestra cafetería a un entorno de persistencia real con SQLite.Un punto que me pareció excelente y que demuestra un nivel de autogestión superior fue la inclusión de las sentencias DROP TABLE IF EXISTS. Aunque parece un detalle menor, en el mundo del desarrollo es una práctica muy útil para entornos de prueba, ya que permite ejecutar el notebook varias veces desde cero sin que el programa colapse porque las tablas ya existen. Eso es pensar como programadores profesionales.La implementación de las operaciones CRUD para los cuatro módulos (Clientes, Proveedores, Productos y Ventas) es totalmente funcional. El uso de consultas parametrizadas con el símbolo ? es el estándar de seguridad que buscamos para proteger la base de datos, y ustedes lo aplicaron correctamente en cada función. Además, activar el PRAGMA foreign_keys = ON; fue el toque final necesario para que las relaciones entre ventas, clientes y productos no fueran solo nombres, sino vínculos reales y protegidos.Como pequeña recomendación para su crecimiento técnico, en el módulo de Ventas podrían haber incluido una función de actualización (UPDATE), aunque entiendo que en registros transaccionales no siempre es común modificar una venta ya realizada. Sin embargo, para efectos de un CRUD completo, siempre es bueno tener la herramienta lista.Sigan con ese entusiasmo y esa rigurosidad. Están muy bien preparados para el Taller del Corte 2, donde el reto será integrar todo esto en una arquitectura de objetos aún más robusta. ¡Excelente camino el que están construyendo! Rúbrica de CalificaciónCriterio de EvaluaciónRequisito TécnicoPuntaje MáximoPuntaje ObtenidoCreación de Tablas y RelacionesTablas bien definidas con tipos de datos correctos y Llaves Foráneas (FK) funcionales.15.015.0Operaciones CRUDImplementación completa de Crear, Leer, Actualizar y Eliminar para los módulos solicitados.15.015.0Seguridad y ParámetrosUso correcto de ? para evitar inyección SQL en todas las consultas.10.010.0Pruebas y DocumentaciónEjecución exitosa de las pruebas en el Notebook y claridad en las explicaciones.10.010.0TOTAL50.050.0  Diego Mauricio Zuluaga RodríguezProfesor - Departamento de EconomíaUniversidad de La Sabana</t>
  </si>
  <si>
    <t>🚀 Tarea 1 - Clase 7 - CRUD en SQLite</t>
  </si>
  <si>
    <t>⚠️ Seguimiento de Autogestión: Tarea CRUD en SQLiteHola Alan,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</si>
  <si>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Retroalimentación de la Entrega: CRUD y Arquitectura Relacional en SQLiteIntegrantes: Martin Martin Trujillo Rodriguez, Daniel Camilo Lopez Piraquive, Juan Jose Caballero Mantilla.Calificación Final: 46/50 (Equivalente a 4.6)¡Hola, equipo! Qué gusto saludarlos. He revisado detalladamente su entrega y quiero empezar felicitándolos por la limpieza y el orden de su código. Se nota que hay una intención clara de profesionalismo en la forma en que presentan los resultados, especialmente con ese reporte final tan bien tabulado que facilita enormemente el "Sanity Check" de los datos.Un punto muy valioso en su desarrollo fue la implementación del bloque de "Limpieza Total" al inicio. El uso de DROP TABLE IF EXISTS es una práctica excelente durante la fase de desarrollo, ya que les permite iterar y probar el código sin que los errores de "tabla ya existente" o datos duplicados bloqueen la ejecución. Además, la activación de PRAGMA foreign_keys = ON; demuestra que entendieron la importancia de que el motor de la base de datos sea quien vigile la integridad de las relaciones.Técnicamente, el uso de executemany para la inserción de datos es impecable. Es la forma más eficiente de poblar una base de datos y el uso de los placeholders ? garantiza que su aplicación sea segura contra ataques de inyección SQL. El INNER JOIN que realizaron para el reporte final está perfectamente estructurado, logrando cruzar la información de productos con sus respectivos proveedores de manera lógica y natural.Como única observación para alcanzar la excelencia total, noté que se centraron principalmente en la relación entre Productos y Proveedores (que era el núcleo de la Tarea 2). Sin embargo, la instrucción de la Tarea 1 solicitaba replicar el CRUD también para las entidades de Cliente y Ventas. Aunque la lógica que aplicaron es totalmente escalable a esos módulos, para esta entrega específica nos faltó cubrir esas tablas adicionales que se pedían en el enunciado original.Sigan con ese nivel de detalle. Tienen una capacidad muy clara para estructurar bases de datos relacionales y eso es una ventaja competitiva inmensa en el mundo de la analítica y la economía. ¡Están muy bien preparados para el reto de escalabilidad que se viene en el Taller del Corte 2!Rúbrica de CalificaciónCriterio de EvaluaciónRequisito TécnicoPuntaje MáximoPuntaje ObtenidoCreación de Tablas y RelacionesTablas con PK/FK y tipos de datos correctos.15.015.0Operaciones CRUDImplementación de creación, lectura y borrado funcional.15.011.0Seguridad y RobustezUso de parámetros seguros (?) y placeholders.10.010.0Pruebas y DocumentaciónReporte final profesional y código organizado.10.010.0TOTAL50.046.0Diego Mauricio Zuluaga RodríguezProfesor - Departamento de EconomíaUniversidad de La Sabana</t>
  </si>
  <si>
    <t>⚠️ Seguimiento de Autogestión: Tarea CRUD en SQLiteHola Juan Sebastián,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</si>
  <si>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Seguimiento de Autogestión: Tarea CRUD en SQLiteHola Gabriela,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</si>
  <si>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Retroalimentación de la Entrega: CRUD y Arquitectura Relacional en SQLite Integrantes: Martin Martin Trujillo Rodriguez, Daniel Camilo Lopez Piraquive, Juan Jose Caballero Mantilla. Calificación Final: 46/50 (Equivalente a 4.6) ¡Hola, equipo! Qué gusto saludarlos. He revisado detalladamente su entrega y quiero empezar felicitándolos por la limpieza y el orden de su código. Se nota que hay una intención clara de profesionalismo en la forma en que presentan los resultados, especialmente con ese reporte final tan bien tabulado que facilita enormemente el "Sanity Check" de los datos.Un punto muy valioso en su desarrollo fue la implementación del bloque de "Limpieza Total" al inicio. El uso de DROP TABLE IF EXISTS es una práctica excelente durante la fase de desarrollo, ya que les permite iterar y probar el código sin que los errores de "tabla ya existente" o datos duplicados bloqueen la ejecución. Además, la activación de PRAGMA foreign_keys = ON; demuestra que entendieron la importancia de que el motor de la base de datos sea quien vigile la integridad de las relaciones.Técnicamente, el uso de executemany para la inserción de datos es impecable. Es la forma más eficiente de poblar una base de datos y el uso de los placeholders ? garantiza que su aplicación sea segura contra ataques de inyección SQL. El INNER JOIN que realizaron para el reporte final está perfectamente estructurado, logrando cruzar la información de productos con sus respectivos proveedores de manera lógica y natural.Como única observación para alcanzar la excelencia total, noté que se centraron principalmente en la relación entre Productos y Proveedores (que era el núcleo de la Tarea 2). Sin embargo, la instrucción de la Tarea 1 solicitaba replicar el CRUD también para las entidades de Cliente y Ventas. Aunque la lógica que aplicaron es totalmente escalable a esos módulos, para esta entrega específica nos faltó cubrir esas tablas adicionales que se pedían en el enunciado original.Sigan con ese nivel de detalle. Tienen una capacidad muy clara para estructurar bases de datos relacionales y eso es una ventaja competitiva inmensa en el mundo de la analítica y la economía. ¡Están muy bien preparados para el reto de escalabilidad que se viene en el Taller del Corte 2! Rúbrica de CalificaciónCriterio de EvaluaciónRequisito TécnicoPuntaje MáximoPuntaje ObtenidoCreación de Tablas y RelacionesTablas con PK/FK y tipos de datos correctos.15.015.0Operaciones CRUDImplementación de creación, lectura y borrado funcional.15.011.0Seguridad y RobustezUso de parámetros seguros (?) y placeholders.10.010.0Pruebas y DocumentaciónReporte final profesional y código organizado.10.010.0TOTAL50.046.0  Diego Mauricio Zuluaga RodríguezProfesor - Departamento de EconomíaUniversidad de La Sabana</t>
  </si>
  <si>
    <t>🗄️ Retroalimentación de la Entrega: Tarea 1 - Clase 7 - CRUD en SQLiteIntegrantes del Grupo: Samantha Vanegas Russi, Avril Ariza Quitian.Calificación Final: 23/50 (Equivalente a 2.3)(Nota: Se aplicó una penalización de -10 puntos por entrega extemporánea).¡Hola, equipo! Espero que se encuentren muy bien. He revisado su entrega y quiero compartirles mis comentarios para que sigamos mejorando en este proceso de aprendizaje.Primero, quiero destacar su iniciativa y capacidad de investigación. Noté que al final de su Notebook incluyeron configuraciones avanzadas como timeout=20 y PRAGMA journal_mode = WAL. Esto me demuestra que se enfrentaron al famoso error de base de datos bloqueada (database is locked) y buscaron activamente cómo solucionarlo. ¡Esa es la actitud de unas verdaderas CTOs! Además, aplicaron correctamente los parámetros seguros (?) en sus consultas, lo cual es excelente para la seguridad del sistema.Sin embargo, el código presentó varios errores de ejecución que detuvieron el programa. El primero fue un IntegrityError al intentar crear un cliente con un correo que ya existía; para evitar que el programa colapse aquí, es vital usar un bloque try-except.El segundo error fue un OperationalError: no such table: main.Producto. Aunque crearon la tabla de Ventas con sus Llaves Foráneas, olvidaron incluir el código para crear la tabla Producto antes de intentar insertar datos en ella o relacionarla. Recuerden que en SQL el orden importa mucho: no podemos hacer referencia a una tabla que aún no existe.También noté la ausencia de documentación y comentarios explicativos en el código, lo cual era un requisito de la rúbrica. Comentar el código no solo es para el profesor, es para que ustedes mismas entiendan su lógica cuando vuelvan a leer el archivo semanas después.Finalmente, debo mencionar el aspecto de la Autogestión. La tarea fue entregada el miércoles 8 de abril a las 4:28 p.m., superando la fecha límite establecida. En el desarrollo de software y en los negocios, el cumplimiento de los tiempos de entrega es tan importante como que el código funcione. Por respeto a las reglas del juego, se aplica la penalización correspondiente de -10 puntos.No se desanimen por los errores técnicos, son parte fundamental de aprender a programar. Tienen una buena base lógica, solo necesitan afinar los detalles, estructurar mejor el orden de ejecución y planificar sus tiempos. ¡Mucho ánimo para los próximos retos, sé que tienen el potencial para lograr la excelencia!Rúbrica de CalificaciónCriterio de EvaluaciónRequisito TécnicoPuntaje MáximoPuntaje ObtenidoCreación de Tablas y RelacionesTablas creadas con los tipos de datos correctos y FK. (Faltó crear la tabla Producto, lo que rompió la ejecución).15.010.0Operaciones CRUDImplementación de Create, Read, Update y Delete. (Las funciones están bien estructuradas lógicamente).15.012.0Seguridad y RobustezUso de parámetros seguros (?) y manejo de excepciones. (Faltó el try-except para el IntegrityError).10.07.0Pruebas y DocumentaciónPruebas ejecutables y comentarios explicativos. (Las pruebas colapsaron y faltó documentación).10.04.0Penalización por AutogestiónEntrega extemporánea (8 de abril a las 4:28 p.m.).-10.0-10.0TOTAL50.023.0Diego Mauricio Zuluaga RodríguezProfesor - Departamento de EconomíaUniversidad de La Sabana</t>
  </si>
  <si>
    <t>🗄️ Calificación: Tarea 1 - Clase 7 - CRUD en SQLiteIntegrantes: Valeria Morales, Isabella Carranza Tapiero y Paula Andrea Arciniegas Cárdenas.Calificación Final: 50/50 (5.0)¡Hola, equipo! Qué gusto saludarlas. He revisado detalladamente su entrega y quiero felicitarlas por el excelente nivel técnico que han demostrado en este ejercicio. Han logrado capturar la esencia de la persistencia de datos, transformando un código que antes "olvidaba" todo al cerrarse, en un sistema con memoria sólida y estructurada.Uno de los puntos más destacados de su trabajo es la rigurosidad con la que aplicaron el comando PRAGMA foreign_keys = ON. Muchas veces este detalle se pasa por alto, pero es lo que realmente garantiza que las relaciones entre sus tablas (como la de Ventas con Clientes y Productos) funcionen con integridad profesional. Sin esto, la base de datos sería solo un conjunto de tablas aisladas.Me pareció muy acertado y profesional el uso de cursor.lastrowid en las pruebas finales. Esta es una técnica avanzada que demuestra que entienden cómo fluye la información en tiempo real: capturan el ID que la base de datos acaba de generar automáticamente para usarlo de inmediato en la siguiente transacción. Eso es "Sanity Check" de alto nivel.El código está impecablemente documentado y el uso de los parámetros ? para evitar la inyección SQL cumple con los estándares de seguridad que exigimos en el curso. Han construido una base muy fuerte para el Taller del Corte 2. Sigan con esa misma disciplina y atención al detalle; tienen todo para ser las mejores CTOs de sus proyectos.¡Excelente trabajo y disfruten su merecido descanso de Semana Santa!📊 Rúbrica de Calificación (Total: 50 puntos)CriterioDescripciónPuntaje MáximoPuntaje ObtenidoEstructura y RelacionesCreación correcta de tablas con PK, AUTOINCREMENT y al menos 2 FK funcionales.15.015.0Operaciones CRUDImplementación completa de Crear, Leer, Actualizar y Eliminar para todos los módulos.15.015.0Seguridad SQLUso correcto de parámetros seguros (?) para prevenir inyecciones.10.010.0Pruebas y ValidaciónInclusión de un bloque de pruebas funcional que demuestra el éxito de cada operación.5.05.0Documentación y FormatoComentarios claros en cada celda y entrega en formato .ipynb.5.05.0TOTAL50.050.0Diego Mauricio Zuluaga RodríguezProfesor - Departamento de EconomíaUniversidad de La Sabana</t>
  </si>
  <si>
    <t>🗄️ Calificación: Tarea 1 - Clase 7 - CRUD en SQLite Integrantes: Sebastián Vanoy Gutiérrez, Samuel David Lozano Holguín, Samuel Mathias González Bernal. Calificación Final: 50/50 (Equivalente a 5.0) ¡Hola, equipo! Qué gusto saludarles. He revisado detalladamente su entrega y quiero empezar felicitándoles por el nivel técnico demostrado. Han ido un paso más allá de lo básico, integrando conceptos avanzados que no solo cumplen con la tarea, sino que demuestran una mentalidad de desarrolladores profesionales.Me pareció excelente el uso de conn.row_factory = sqlite3.Row. Esta es una práctica de alto nivel que permite acceder a los datos por el nombre de la columna en lugar de por índice, lo que hace que el código sea mucho más legible y menos propenso a errores. Además, la implementación del CHECK en la tabla de clientes para restringir los tipos permitidos ('Estudiante', 'Profesor', 'Admin') es un detalle de validación de datos impecable que protege la integridad de la base de datos desde su creación.En cuanto a la funcionalidad CRUD, el trabajo es impecable. El uso de los parámetros seguros (?) para evitar la inyección SQL es correcto en todas las funciones. También destaco la función leer_ventas, donde utilizaron de forma magistral la cláusula INNER JOIN para cruzar las tablas de ventas, clientes y productos. Esto permite que el reporte final sea verdaderamente útil para un usuario de negocios, mostrando nombres reales en lugar de simples números de ID.La documentación mediante docstrings y comentarios es clara y facilita mucho el seguimiento de la lógica. Las pruebas de ejecución son exhaustivas y cubren todos los escenarios de creación, consulta, actualización y borrado, demostrando que el sistema es robusto y está listo para ser escalado.Sigan con esa curiosidad técnica y ese rigor. Tienen una base muy sólida para el proyecto final del Corte 2, donde deberán integrar esta persistencia de datos con la lógica de objetos que ya dominan. ¡Excelente trabajo, emprendedores! 📊 Rúbrica de CalificaciónCriterio de EvaluaciónRequisito TécnicoPuntaje MáximoPuntaje ObtenidoCreación de Tablas y RelacionesTablas creadas con tipos correctos, PK, AUTOINCREMENT y al menos 2 FK funcionales.15.015.0Operaciones CRUD CompletasImplementación funcional de Create, Read, Update y Delete para todos los módulos.15.015.0Seguridad y RobustezUso de parámetros seguros (?) y validaciones adicionales (como el uso de CHECK).10.010.0Pruebas y DocumentaciónPruebas de ejecución claras para cada operación y código bien comentado.10.010.0TOTAL50.050.0  Diego Mauricio Zuluaga RodríguezProfesor - Departamento de EconomíaUniversidad de La Sabana</t>
  </si>
  <si>
    <t>⚠️ Seguimiento de Autogestión: Tarea CRUD en SQLiteHola Juan Camilo,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</si>
  <si>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Seguimiento de Autogestión: Tarea CRUD en SQLiteHola Maria Jose,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</si>
  <si>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Seguimiento de Autogestión: Tarea CRUD en SQLiteHola Samuel,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</si>
  <si>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Retroalimentación de la Entrega: Tarea 1 - Clase 7 - CRUD en SQLite Integrantes del Grupo: Samantha Vanegas Russi, Avril Ariza Quitian. Calificación Final: 23/50 (Equivalente a 2.3) (Nota: Se aplicó una penalización de -10 puntos por entrega extemporánea). ¡Hola, equipo! Espero que se encuentren muy bien. He revisado su entrega y quiero compartirles mis comentarios para que sigamos mejorando en este proceso de aprendizaje.Primero, quiero destacar su iniciativa y capacidad de investigación. Noté que al final de su Notebook incluyeron configuraciones avanzadas como timeout=20 y PRAGMA journal_mode = WAL. Esto me demuestra que se enfrentaron al famoso error de base de datos bloqueada (database is locked) y buscaron activamente cómo solucionarlo. ¡Esa es la actitud de unas verdaderas CTOs! Además, aplicaron correctamente los parámetros seguros (?) en sus consultas, lo cual es excelente para la seguridad del sistema.Sin embargo, el código presentó varios errores de ejecución que detuvieron el programa. El primero fue un IntegrityError al intentar crear un cliente con un correo que ya existía; para evitar que el programa colapse aquí, es vital usar un bloque try-except.El segundo error fue un OperationalError: no such table: main.Producto. Aunque crearon la tabla de Ventas con sus Llaves Foráneas, olvidaron incluir el código para crear la tabla Producto antes de intentar insertar datos en ella o relacionarla. Recuerden que en SQL el orden importa mucho: no podemos hacer referencia a una tabla que aún no existe.También noté la ausencia de documentación y comentarios explicativos en el código, lo cual era un requisito de la rúbrica. Comentar el código no solo es para el profesor, es para que ustedes mismas entiendan su lógica cuando vuelvan a leer el archivo semanas después.Finalmente, debo mencionar el aspecto de la Autogestión. La tarea fue entregada el miércoles 8 de abril a las 4:28 p.m., superando la fecha límite establecida. En el desarrollo de software y en los negocios, el cumplimiento de los tiempos de entrega es tan importante como que el código funcione. Por respeto a las reglas del juego, se aplica la penalización correspondiente de -10 puntos.No se desanimen por los errores técnicos, son parte fundamental de aprender a programar. Tienen una buena base lógica, solo necesitan afinar los detalles, estructurar mejor el orden de ejecución y planificar sus tiempos. ¡Mucho ánimo para los próximos retos, sé que tienen el potencial para lograr la excelencia! Rúbrica de Calificación Criterio de EvaluaciónRequisito TécnicoPuntaje MáximoPuntaje ObtenidoCreación de Tablas y RelacionesTablas creadas con los tipos de datos correctos y FK. (Faltó crear la tabla Producto, lo que rompió la ejecución).15.010.0Operaciones CRUDImplementación de Create, Read, Update y Delete. (Las funciones están bien estructuradas lógicamente).15.012.0Seguridad y RobustezUso de parámetros seguros (?) y manejo de excepciones. (Faltó el try-except para el IntegrityError).10.07.0Pruebas y DocumentaciónPruebas ejecutables y comentarios explicativos. (Las pruebas colapsaron y faltó documentación).10.04.0Penalización por AutogestiónEntrega extemporánea (8 de abril a las 4:28 p.m.).-10.0-10.0TOTAL50.023.0  Diego Mauricio Zuluaga RodríguezProfesor - Departamento de EconomíaUniversidad de La Sabana</t>
  </si>
  <si>
    <t>🗄️ Retroalimentación de la Entrega: Tarea 1 - Clase 7 - CRUD en SQLiteIntegrantes: Juan Sebastian Salas Hinojosa, Alan David Rossoff Vanegas, Lukas Blanco Llanes.Calificación Final: 50/50 (Equivalente a 5.0)¡Hola, equipo! Qué gusto saludarles. He revisado a fondo su entrega y debo decir que han realizado un trabajo de un nivel técnico excepcional. No solo cumplieron con los requisitos básicos de la tarea, sino que demostraron una atención al detalle que es fundamental para cualquier analista de datos o arquitecto de software profesional.Me llamó gratamente la atención el uso de restricciones avanzadas en la creación de las tablas, específicamente el CHECK(tipo_cliente IN (...)). Esto garantiza que la base de datos sea íntegra desde su origen, evitando que se ingresen categorías que no existen en el negocio. Es un "Sanity Check" preventivo de gran valor.En el módulo de Ventas (Carrito de Compras), su lógica es impecable. El hecho de que la función crear_venta busque primero el precio en la tabla de productos para calcular el total automáticamente, y que la función actualizar_venta recalcule ese total si cambia la cantidad, demuestra que entienden perfectamente cómo debe fluir la información en un sistema real. Además, el uso de JOIN en las consultas de lectura para mostrar nombres en lugar de simples números de ID hace que el reporte sea verdaderamente útil para un usuario final.La seguridad mediante el uso de parámetros ? y el manejo de excepciones con IntegrityError cierran con broche de oro una entrega muy robusta. Han demostrado que dominan la persistencia de datos y la arquitectura relacional, lo cual les da una ventaja competitiva enorme para el Taller del Corte 2.Sigan con esa curiosidad técnica y ese rigor. Están construyendo una base muy sólida para lo que resta del semestre. ¡Felicitaciones por este excelente resultado!Rúbrica de CalificaciónCriterio de EvaluaciónRequisito TécnicoPuntaje MáximoPuntaje ObtenidoCreación de Tablas y RelacionesTablas normalizadas, uso correcto de PK/FK y activación de PRAGMA.15.015.0Operaciones CRUDImplementación funcional y lógica de las 4 operaciones en todos los módulos.15.015.0Seguridad y RobustezUso de parámetros seguros y validación de existencia de registros.10.010.0Pruebas y DocumentaciónBatería de pruebas exhaustiva y comentarios claros en el código.10.010.0TOTAL50.050.0Diego Mauricio Zuluaga RodríguezProfesor - Departamento de EconomíaUniversidad de La Sabana</t>
  </si>
  <si>
    <t>🗄️ Retroalimentación de la Entrega: Tarea 1 - Clase 7 - CRUD en SQLiteIntegrantes: Juan Sebastian Salas Hinojosa, Alan David Rossoff Vanegas, Lukas Blanco Llanes. Calificación Final: 50/50 (Equivalente a 5.0) ¡Hola, equipo! Qué gusto saludarles. He revisado a fondo su entrega y debo decir que han realizado un trabajo de un nivel técnico excepcional. No solo cumplieron con los requisitos básicos de la tarea, sino que demostraron una atención al detalle que es fundamental para cualquier analista de datos o arquitecto de software profesional.Me llamó gratamente la atención el uso de restricciones avanzadas en la creación de las tablas, específicamente el CHECK(tipo_cliente IN (...)). Esto garantiza que la base de datos sea íntegra desde su origen, evitando que se ingresen categorías que no existen en el negocio. Es un "Sanity Check" preventivo de gran valor.En el módulo de Ventas (Carrito de Compras), su lógica es impecable. El hecho de que la función crear_venta busque primero el precio en la tabla de productos para calcular el total automáticamente, y que la función actualizar_venta recalcule ese total si cambia la cantidad, demuestra que entienden perfectamente cómo debe fluir la información en un sistema real. Además, el uso de JOIN en las consultas de lectura para mostrar nombres en lugar de simples números de ID hace que el reporte sea verdaderamente útil para un usuario final.La seguridad mediante el uso de parámetros ? y el manejo de excepciones con IntegrityError cierran con broche de oro una entrega muy robusta. Han demostrado que dominan la persistencia de datos y la arquitectura relacional, lo cual les da una ventaja competitiva enorme para el Taller del Corte 2.Sigan con esa curiosidad técnica y ese rigor. Están construyendo una base muy sólida para lo que resta del semestre. ¡Felicitaciones por este excelente resultado! Rúbrica de CalificaciónCriterio de EvaluaciónRequisito TécnicoPuntaje MáximoPuntaje ObtenidoCreación de Tablas y RelacionesTablas normalizadas, uso correcto de PK/FK y activación de PRAGMA.15.015.0Operaciones CRUDImplementación funcional y lógica de las 4 operaciones en todos los módulos.15.015.0Seguridad y RobustezUso de parámetros seguros y validación de existencia de registros.10.010.0Pruebas y DocumentaciónBatería de pruebas exhaustiva y comentarios claros en el código.10.010.0TOTAL50.050.0  Diego Mauricio Zuluaga RodríguezProfesor - Departamento de EconomíaUniversidad de La Sabana</t>
  </si>
  <si>
    <t>🚀 Calificación Tarea 1 - Clase 7: CRUD en SQLiteIntegrantes: Juan David Neuta Medina, Laura Fernanda Lopez Parra, Jose Daniel Escobar Hurtado.Calificación Final: 50/50 (Equivalente a 5.0)¡Hola, equipo! Qué gusto saludarles. He revisado detalladamente su entrega y debo decir que han realizado un trabajo excepcional, de nivel profesional. Han demostrado no solo que comprenden la sintaxis de SQL en Python, sino que tienen la capacidad de aplicar lógica de negocio real a una arquitectura de datos.Me impresionó gratamente la profundidad que le dieron al módulo de Ventas. No se limitaron a insertar una fila; implementaron validaciones de stock antes de vender y, lo más avanzado, programaron la actualización y eliminación de ventas de modo que el inventario se restaure o ajuste automáticamente. Ese manejo de la consistencia de datos es lo que separa a un programador básico de un verdadero arquitecto de software.Otro punto muy alto fue el uso de la cláusula JOIN en la lectura de ventas. Mostrar los nombres reales de los clientes y productos en lugar de solo los IDs numéricos es fundamental para que un sistema sea útil para el usuario final (UX). Además, el manejo de errores con try-except para capturar violaciones de unicidad en los correos y restricciones de llaves foráneas demuestra que su código es robusto y "a prueba de balas".Sigan con este nivel de compromiso y atención al detalle. Tienen una base técnica sumamente sólida para enfrentar el Taller del Corte 2. Este archivo que construyeron hoy es prácticamente el motor que necesitan para que su Startup sea exitosa. ¡Felicitaciones por este gran resultado!Rúbrica de CalificaciónCriterio de EvaluaciónRequisito TécnicoPuntaje MáximoPuntaje ObtenidoCreación de Tablas y RelacionesTablas creadas con tipos correctos, PK, FK y activación de PRAGMA.15.015.0Operaciones CRUDImplementación funcional de Create, Read, Update y Delete en todos los módulos.15.015.0Seguridad y RobustezUso de parámetros seguros (?) y manejo avanzado de lógica de stock y excepciones.10.010.0Pruebas y DocumentaciónPruebas exhaustivas, formato visual impecable y comentarios claros.10.010.0TOTAL50.050.0Diego Mauricio Zuluaga RodríguezProfesor - Departamento de EconomíaUniversidad de La Sabana</t>
  </si>
  <si>
    <t>🗄️ Retroalimentación de la Entrega: Tarea 1 - Clase 7 - CRUD en SQLiteGrupo: Mariana Peña Rodríguez, Matías Mondragón Osorio, Arianne Mariana Amorocho Quiroga.Calificación Final: 40/50 (Equivalente a 4.0 - Se restan 10 puntos por entrega tardía de 2 días).¡Excelente trabajo, equipo! Han demostrado una comprensión sólida de cómo interactuar con bases de datos relacionales desde Python. La persistencia de datos es un pilar fundamental en cualquier proyecto de software, y ustedes han logrado implementarla de forma segura y estructurada.Me complace ver que aplicaron correctamente el uso de parámetros seguros (?) en sus consultas SQL. Esta es una práctica profesional innegociable para prevenir ataques de Inyección SQL, y ustedes la dominaron a la perfección. Además, la inclusión del bloque try-except para capturar el sqlite3.IntegrityError cuando un email se repite demuestra que están pensando en la robustez del sistema y en la experiencia del usuario final.La estructura de sus tablas es correcta y el uso de PRAGMA foreign_keys = ON; asegura que las relaciones entre Ventas, Cliente y Producto se respeten a nivel de motor de base de datos. Las pruebas de ejecución (Sanity Check) al final del Notebook confirman que sus funciones CRUD operan exactamente como se espera.Sigan con este nivel de rigurosidad técnica. Este conocimiento será la base de su Taller del Corte 2, donde escalarán su MVP a una arquitectura profesional. ¡Están haciendo un gran trabajo como futuros CTOs!Rúbrica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Delete.15.015.0Seguridad y RobustezUso de parámetros seguros (?) y manejo de excepciones (IntegrityError).10.010.0Pruebas y DocumentaciónPruebas ejecutables en el código y comentarios explicativos claros.10.010.0TOTAL50.040.0Diego Mauricio Zuluaga RodríguezProfesor - Departamento de EconomíaUniversidad de La Sabana</t>
  </si>
  <si>
    <t>🗄️ Calificación Tarea 1 - Clase 7: CRUD en SQLiteIntegrantes: Simon Gustavo Restrepo Alvarez, Mateo Perez Daza y Diego Alejandro Hermida Limas.Calificación Final: 30/50 (Equivalente a 4.0 - Se restan 20 puntos por entregar 5 días tarde)¡Hola, equipo! Qué gusto saludarles. He revisado detalladamente su entrega y quiero felicitarlos porque han realizado un trabajo impecable. Se nota que hubo una planeación concienzuda y que comprendieron a la perfección cómo llevar la lógica de nuestra cafetería a un entorno de persistencia real con SQLite.Un punto que me pareció excelente y que demuestra un nivel de autogestión superior fue la inclusión de las sentencias DROP TABLE IF EXISTS. Aunque parece un detalle menor, en el mundo del desarrollo es una práctica muy útil para entornos de prueba, ya que permite ejecutar el notebook varias veces desde cero sin que el programa colapse porque las tablas ya existen. Eso es pensar como programadores profesionales.La implementación de las operaciones CRUD para los cuatro módulos (Clientes, Proveedores, Productos y Ventas) es totalmente funcional. El uso de consultas parametrizadas con el símbolo ? es el estándar de seguridad que buscamos para proteger la base de datos, y ustedes lo aplicaron correctamente en cada función. Además, activar el PRAGMA foreign_keys = ON; fue el toque final necesario para que las relaciones entre ventas, clientes y productos no fueran solo nombres, sino vínculos reales y protegidos.Como pequeña recomendación para su crecimiento técnico, en el módulo de Ventas podrían haber incluido una función de actualización (UPDATE), aunque entiendo que en registros transaccionales no siempre es común modificar una venta ya realizada. Sin embargo, para efectos de un CRUD completo, siempre es bueno tener la herramienta lista.Sigan con ese entusiasmo y esa rigurosidad. Están muy bien preparados para el Taller del Corte 2, donde el reto será integrar todo esto en una arquitectura de objetos aún más robusta. ¡Excelente camino el que están construyendo!Rúbrica de CalificaciónCriterio de EvaluaciónRequisito TécnicoPuntaje MáximoPuntaje ObtenidoCreación de Tablas y RelacionesTablas bien definidas con tipos de datos correctos y Llaves Foráneas (FK) funcionales.15.015.0Operaciones CRUDImplementación completa de Crear, Leer, Actualizar y Eliminar para los módulos solicitados.15.015.0Seguridad y ParámetrosUso correcto de ? para evitar inyección SQL en todas las consultas.10.010.0Pruebas y DocumentaciónEjecución exitosa de las pruebas en el Notebook y claridad en las explicaciones.10.010.0TOTAL50.030.0Diego Mauricio Zuluaga RodríguezProfesor - Departamento de EconomíaUniversidad de La Sabana</t>
  </si>
  <si>
    <t>🗄️ Retroalimentación de la Entrega: Tarea 1 - Clase 7 - CRUD en SQLiteGrupo: Samuel David Simancas Contreras, Juan Sebastian Perdomo Herrera, Daniel Felipe Camacho Pedraza. Calificación Final: 40/50 (Equivalente a 4.0) ¡Hola, equipo! Han realizado un buen trabajo estructurando las funciones CRUD para las diferentes entidades del sistema "Cafetería U. Sabana". El código demuestra que comprenden cómo interactuar con SQLite desde Python y cómo utilizar parámetros seguros (?) para proteger la base de datos contra inyecciones SQL. Puntos Destacados:Creación de Tablas y Relaciones: La estructura de las tablas es correcta y la implementación de las Llaves Foráneas (FK) en la tabla Ventas está muy bien definida, respetando la integridad referencial con PRAGMA foreign_keys = ON;.Integración POO - SQL: Me pareció excelente el enfoque que le dieron a las funciones crear_producto_db y leer_productos_db. El hecho de que la función de lectura recupere los datos de la base de datos y los convierta nuevamente en objetos instanciados de la clase Producto es una práctica avanzada y muy profesional.Seguridad: El uso de parámetros seguros en todas las consultas INSERT, UPDATE y DELETE es impecable.Oportunidades de Mejora (Autogestión):Pruebas de Ejecución: La rúbrica exigía incluir pruebas ejecutables de cada operación. Aunque definieron todas las funciones correctamente, el Notebook no contiene ninguna celda donde se llamen a estas funciones para insertar, leer, actualizar o eliminar datos reales. Un código no probado es un código que no se puede auditar.Documentación: Faltó incluir comentarios (#) explicando la lógica de cada sección, así como celdas Markdown que contextualizaran el trabajo realizado. Recuerden que el código debe ser legible tanto para la máquina como para otros desarrolladores.CRUD de Ventas: Definieron la tabla Ventas, pero faltaron las funciones CRUD específicas para esta entidad.Motivación: Tienen una excelente base técnica y la lógica de integración entre POO y SQL que demostraron es de muy alto nivel. Para el Taller del Corte 2, asegúrense de documentar su código y de incluir pruebas exhaustivas que demuestren que su sistema funciona de principio a fin. ¡Sigan adelante, tienen un gran potencial! 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 (Faltó el CRUD de Ventas).15.010.0Seguridad y RobustezUso de parámetros seguros (?) en las consultas.10.010.0Pruebas y DocumentaciónPruebas ejecutables en el código y comentarios explicativos claros (Ausentes en la entrega).10.05.0TOTAL50.040.0  Diego Mauricio Zuluaga RodríguezProfesor - Departamento de EconomíaUniversidad de La Sabana</t>
  </si>
  <si>
    <t>🗄️ Calificación Tarea 1 - Clase 7: CRUD en SQLiteIntegrantes: Simon Gustavo Restrepo Alvarez, Mateo Perez Daza y Diego Alejandro Hermida Limas.Calificación Final: 50/50 (Equivalente a 5.0)¡Hola, equipo! Qué gusto saludarles. He revisado detalladamente su entrega y quiero felicitarlos porque han realizado un trabajo impecable. Se nota que hubo una planeación concienzuda y que comprendieron a la perfección cómo llevar la lógica de nuestra cafetería a un entorno de persistencia real con SQLite.Un punto que me pareció excelente y que demuestra un nivel de autogestión superior fue la inclusión de las sentencias DROP TABLE IF EXISTS. Aunque parece un detalle menor, en el mundo del desarrollo es una práctica muy útil para entornos de prueba, ya que permite ejecutar el notebook varias veces desde cero sin que el programa colapse porque las tablas ya existen. Eso es pensar como programadores profesionales.La implementación de las operaciones CRUD para los cuatro módulos (Clientes, Proveedores, Productos y Ventas) es totalmente funcional. El uso de consultas parametrizadas con el símbolo ? es el estándar de seguridad que buscamos para proteger la base de datos, y ustedes lo aplicaron correctamente en cada función. Además, activar el PRAGMA foreign_keys = ON; fue el toque final necesario para que las relaciones entre ventas, clientes y productos no fueran solo nombres, sino vínculos reales y protegidos.Como pequeña recomendación para su crecimiento técnico, en el módulo de Ventas podrían haber incluido una función de actualización (UPDATE), aunque entiendo que en registros transaccionales no siempre es común modificar una venta ya realizada. Sin embargo, para efectos de un CRUD completo, siempre es bueno tener la herramienta lista.Sigan con ese entusiasmo y esa rigurosidad. Están muy bien preparados para el Taller del Corte 2, donde el reto será integrar todo esto en una arquitectura de objetos aún más robusta. ¡Excelente camino el que están construyendo!Rúbrica de CalificaciónCriterio de EvaluaciónRequisito TécnicoPuntaje MáximoPuntaje ObtenidoCreación de Tablas y RelacionesTablas bien definidas con tipos de datos correctos y Llaves Foráneas (FK) funcionales.15.015.0Operaciones CRUDImplementación completa de Crear, Leer, Actualizar y Eliminar para los módulos solicitados.15.015.0Seguridad y ParámetrosUso correcto de ? para evitar inyección SQL en todas las consultas.10.010.0Pruebas y DocumentaciónEjecución exitosa de las pruebas en el Notebook y claridad en las explicaciones.10.010.0TOTAL50.050.0Diego Mauricio Zuluaga RodríguezProfesor - Departamento de EconomíaUniversidad de La Sabana</t>
  </si>
  <si>
    <t>🗄️ Retroalimentación de la Entrega: Tarea 1 - Clase 7 - CRUD en SQLite Integrantes: Maria Juliana Herrera Pulido y Mariana Carmona Romero. Calificación Final: 48/50 (Equivalente a 4.8) ¡Hola, Juliana y Mariana! Qué buen trabajo han presentado. Han logrado estructurar de manera muy clara y organizada las operaciones fundamentales de una base de datos relacional para nuestro proyecto de la cafetería. El uso de Markdown para separar cada sección hace que el código sea muy fácil de seguir y auditar, lo cual es una excelente práctica de documentación.Técnicamente, la creación de las tablas es impecable. Utilizaron correctamente los tipos de datos, las llaves primarias con autoincremento y, muy importante, las llaves foráneas para relacionar las ventas con los clientes y productos. Esto demuestra que han comprendido cómo se conecta la información en un entorno relacional para evitar la redundancia.Un punto muy positivo es el uso de los marcadores de posición ? en las consultas. Como vimos en clase, esta es la barrera principal contra ataques de inyección SQL, y aplicarlo en todas sus funciones CRUD les da un perfil de desarrolladoras muy profesional y consciente de la seguridad de la información.Noté en las pruebas de la sección de Clientes que el programa arrojó un error de IntegrityError: UNIQUE constraint failed. ¡No se asusten por eso! En realidad, ese error es la prueba de que su base de datos quedó bien configurada, ya que intentaron registrar un correo que ya existía y el sistema lo impidió. Sin embargo, para obtener la nota máxima en robustez, el siguiente paso es "atrapar" ese error con un bloque try-except (como lo mencionamos en la clase de manejo de errores) para que el programa le dé un mensaje amable al usuario en lugar de detenerse abruptamente.Las pruebas de Proveedores y Ventas funcionaron a la perfección y muestran un flujo lógico completo. Están muy cerca de dominar por completo la persistencia de datos. Sigan con esa curiosidad y ese orden; estas bases son las que les permitirán construir el Taller del Corte 2 con total éxito. ¡Felicitaciones por este gran avance! Rúbrica de CalificaciónCriterio de EvaluaciónRequisito TécnicoPuntaje MáximoPuntaje ObtenidoCreación de Tablas y RelacionesTablas bien definidas con PK, FK y restricciones de integridad (UNIQUE/NOT NULL).15.015.0Operaciones CRUDImplementación funcional de las 4 operaciones para cada entidad solicitada.15.015.0Seguridad (Placeholders)Uso correcto de ? para prevenir inyección SQL en todas las funciones.10.010.0Pruebas y RobustezEjecución de pruebas evidenciada. Se resta un margen pequeño por el crash no manejado en la celda 17.10.08.0TOTAL50.048.0  Diego Mauricio Zuluaga RodríguezProfesor - Departamento de EconomíaUniversidad de La Sabana</t>
  </si>
  <si>
    <t>🗄️ Retroalimentación de la Entrega: Tarea 1 - Clase 7 - CRUD en SQLiteGrupo: Mariana Peña Rodríguez, Matías Mondragón Osorio, Arianne Mariana Amorocho Quiroga. Calificación Final: 50/50 (Equivalente a 5.0) ¡Excelente trabajo, equipo! Han demostrado una comprensión sólida de cómo interactuar con bases de datos relacionales desde Python. La persistencia de datos es un pilar fundamental en cualquier proyecto de software, y ustedes han logrado implementarla de forma segura y estructurada.Me complace ver que aplicaron correctamente el uso de parámetros seguros (?) en sus consultas SQL. Esta es una práctica profesional innegociable para prevenir ataques de Inyección SQL, y ustedes la dominaron a la perfección. Además, la inclusión del bloque try-except para capturar el sqlite3.IntegrityError cuando un email se repite demuestra que están pensando en la robustez del sistema y en la experiencia del usuario final.La estructura de sus tablas es correcta y el uso de PRAGMA foreign_keys = ON; asegura que las relaciones entre Ventas, Cliente y Producto se respeten a nivel de motor de base de datos. Las pruebas de ejecución (Sanity Check) al final del Notebook confirman que sus funciones CRUD operan exactamente como se espera.Sigan con este nivel de rigurosidad técnica. Este conocimiento será la base de su Taller del Corte 2, donde escalarán su MVP a una arquitectura profesional. ¡Están haciendo un gran trabajo como futuros CTOs! 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Delete.15.015.0Seguridad y RobustezUso de parámetros seguros (?) y manejo de excepciones (IntegrityError).10.010.0Pruebas y DocumentaciónPruebas ejecutables en el código y comentarios explicativos claros.10.010.0TOTAL50.050.0 Diego Mauricio Zuluaga RodríguezProfesor - Departamento de EconomíaUniversidad de La Sabana</t>
  </si>
  <si>
    <t>⚠️ Seguimiento de Autogestión: Tarea CRUD en SQLiteHola Alessandro ,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</si>
  <si>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Seguimiento de Autogestión: Tarea CRUD en SQLiteHola Alejandra,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</si>
  <si>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Retroalimentación: CRUD en SQLite — Cafetería U. SabanaIntegrantes: Maria Juliana Mejia Quintero, Valery Linares Hernandez, Maria Jose Botero Galviz.Calificación Final: 48/50 (Equivalente a 4.8)¡Hola, equipo! Qué gusto leer un trabajo tan bien estructurado. Han demostrado un dominio muy sólido de la persistencia de datos y una capacidad analítica que va más allá de lo básico. Se nota que se tomaron el tiempo de planear la arquitectura de la base de datos antes de lanzarse a escribir el código.Quiero destacar especialmente el uso de la restricción CHECK en la tabla de Clientes para validar el tipo_cliente. Es un detalle de nivel profesional que asegura que la base de datos solo acepte valores válidos desde su origen. Asimismo, la lógica implementada en el módulo de Ventas es brillante: el hecho de que el sistema busque automáticamente el precio en la tabla de Productos para calcular el total, en lugar de pedírselo al usuario, demuestra un pensamiento de arquitectura de software muy maduro.La implementación de los JOIN en la consulta de ventas es impecable, permitiendo transformar IDs numéricos en información legible y útil para un administrador de la cafetería. También es muy valioso que hayan incluido el manejo de excepciones con IntegrityError, lo que blinda al sistema contra correos duplicados o fallos en las llaves foráneas.El único detalle que impidió la nota perfecta fue un pequeño error de "Autogestión" en la última celda de pruebas. Noté que definieron las funciones con nombres como obtener_ventas, editar_venta y borrar_venta, pero en la celda final intentaron ejecutarlas como leer_ventas, actualizar_venta y eliminar_venta. Esto genera un error de ejecución (NameError) que habrían detectado con un último "Sanity Check" antes de entregar.Más allá de ese detalle técnico menor, el trabajo es de una calidad excepcional. Tienen una base técnica muy fuerte para enfrentar el Taller del Corte 2. Sigan con esa curiosidad y ese rigor en la validación de datos, ¡van por un excelente camino!Rúbrica de CalificaciónCriterio de EvaluaciónRequisito TécnicoPuntaje MáximoPuntaje ObtenidoCreación de Tablas y RelacionesEstructura correcta, uso de PK/FK y restricciones (CHECK/UNIQUE).15.015.0Operaciones CRUDImplementación de las 4 funciones por módulo con lógica de negocio.15.014.0Seguridad y RobustezUso de parámetros seguros (?) y manejo de try-except.10.010.0Pruebas y DocumentaciónComentarios claros y batería de pruebas (con observación de nombres).10.09.0TOTAL50.048.0Diego Mauricio Zuluaga RodríguezProfesor - Departamento de EconomíaUniversidad de La Sabana</t>
  </si>
  <si>
    <t>🗄️ Retroalimentación: CRUD en SQLite — Cafetería U. Sabana Integrantes: Maria Juliana Mejia Quintero, Valery Linares Hernandez, Maria Jose Botero Galviz. Calificación Final: 48/50 (Equivalente a 4.8) ¡Hola, equipo! Qué gusto leer un trabajo tan bien estructurado. Han demostrado un dominio muy sólido de la persistencia de datos y una capacidad analítica que va más allá de lo básico. Se nota que se tomaron el tiempo de planear la arquitectura de la base de datos antes de lanzarse a escribir el código.Quiero destacar especialmente el uso de la restricción CHECK en la tabla de Clientes para validar el tipo_cliente. Es un detalle de nivel profesional que asegura que la base de datos solo acepte valores válidos desde su origen. Asimismo, la lógica implementada en el módulo de Ventas es brillante: el hecho de que el sistema busque automáticamente el precio en la tabla de Productos para calcular el total, en lugar de pedírselo al usuario, demuestra un pensamiento de arquitectura de software muy maduro.La implementación de los JOIN en la consulta de ventas es impecable, permitiendo transformar IDs numéricos en información legible y útil para un administrador de la cafetería. También es muy valioso que hayan incluido el manejo de excepciones con IntegrityError, lo que blinda al sistema contra correos duplicados o fallos en las llaves foráneas.El único detalle que impidió la nota perfecta fue un pequeño error de "Autogestión" en la última celda de pruebas. Noté que definieron las funciones con nombres como obtener_ventas, editar_venta y borrar_venta, pero en la celda final intentaron ejecutarlas como leer_ventas, actualizar_venta y eliminar_venta. Esto genera un error de ejecución (NameError) que habrían detectado con un último "Sanity Check" antes de entregar.Más allá de ese detalle técnico menor, el trabajo es de una calidad excepcional. Tienen una base técnica muy fuerte para enfrentar el Taller del Corte 2. Sigan con esa curiosidad y ese rigor en la validación de datos, ¡van por un excelente camino! Rúbrica de CalificaciónCriterio de EvaluaciónRequisito TécnicoPuntaje MáximoPuntaje ObtenidoCreación de Tablas y RelacionesEstructura correcta, uso de PK/FK y restricciones (CHECK/UNIQUE).15.015.0Operaciones CRUDImplementación de las 4 funciones por módulo con lógica de negocio.15.014.0Seguridad y RobustezUso de parámetros seguros (?) y manejo de try-except.10.010.0Pruebas y DocumentaciónComentarios claros y batería de pruebas (con observación de nombres).10.09.0TOTAL50.048.0  Diego Mauricio Zuluaga RodríguezProfesor - Departamento de EconomíaUniversidad de La Sabana</t>
  </si>
  <si>
    <t>🚀 Calificación Tarea 1 - Clase 7: CRUD en SQLite Integrantes: Juan David Neuta Medina, Laura Fernanda Lopez Parra, Jose Daniel Escobar Hurtado. Calificación Final: 50/50 (Equivalente a 5.0) ¡Hola, equipo! Qué gusto saludarles. He revisado detalladamente su entrega y debo decir que han realizado un trabajo excepcional, de nivel profesional. Han demostrado no solo que comprenden la sintaxis de SQL en Python, sino que tienen la capacidad de aplicar lógica de negocio real a una arquitectura de datos.Me impresionó gratamente la profundidad que le dieron al módulo de Ventas. No se limitaron a insertar una fila; implementaron validaciones de stock antes de vender y, lo más avanzado, programaron la actualización y eliminación de ventas de modo que el inventario se restaure o ajuste automáticamente. Ese manejo de la consistencia de datos es lo que separa a un programador básico de un verdadero arquitecto de software.Otro punto muy alto fue el uso de la cláusula JOIN en la lectura de ventas. Mostrar los nombres reales de los clientes y productos en lugar de solo los IDs numéricos es fundamental para que un sistema sea útil para el usuario final (UX). Además, el manejo de errores con try-except para capturar violaciones de unicidad en los correos y restricciones de llaves foráneas demuestra que su código es robusto y "a prueba de balas".Sigan con este nivel de compromiso y atención al detalle. Tienen una base técnica sumamente sólida para enfrentar el Taller del Corte 2. Este archivo que construyeron hoy es prácticamente el motor que necesitan para que su Startup sea exitosa. ¡Felicitaciones por este gran resultado! Rúbrica de CalificaciónCriterio de EvaluaciónRequisito TécnicoPuntaje MáximoPuntaje ObtenidoCreación de Tablas y RelacionesTablas creadas con tipos correctos, PK, FK y activación de PRAGMA.15.015.0Operaciones CRUDImplementación funcional de Create, Read, Update y Delete en todos los módulos.15.015.0Seguridad y RobustezUso de parámetros seguros (?) y manejo avanzado de lógica de stock y excepciones.10.010.0Pruebas y DocumentaciónPruebas exhaustivas, formato visual impecable y comentarios claros.10.010.0TOTAL50.050.0  Diego Mauricio Zuluaga RodríguezProfesor - Departamento de EconomíaUniversidad de La Sabana</t>
  </si>
  <si>
    <t>🗄️ Calificación: Tarea 1 - Clase 7 - CRUD en SQLiteIntegrantes: Sebastián Vanoy Gutiérrez, Samuel David Lozano Holguín, Samuel Mathias González Bernal.Calificación Final: 50/50 (Equivalente a 5.0)¡Hola, equipo! Qué gusto saludarles. He revisado detalladamente su entrega y quiero empezar felicitándoles por el nivel técnico demostrado. Han ido un paso más allá de lo básico, integrando conceptos avanzados que no solo cumplen con la tarea, sino que demuestran una mentalidad de desarrolladores profesionales.Me pareció excelente el uso de conn.row_factory = sqlite3.Row. Esta es una práctica de alto nivel que permite acceder a los datos por el nombre de la columna en lugar de por índice, lo que hace que el código sea mucho más legible y menos propenso a errores. Además, la implementación del CHECK en la tabla de clientes para restringir los tipos permitidos ('Estudiante', 'Profesor', 'Admin') es un detalle de validación de datos impecable que protege la integridad de la base de datos desde su creación.En cuanto a la funcionalidad CRUD, el trabajo es impecable. El uso de los parámetros seguros (?) para evitar la inyección SQL es correcto en todas las funciones. También destaco la función leer_ventas, donde utilizaron de forma magistral la cláusula INNER JOIN para cruzar las tablas de ventas, clientes y productos. Esto permite que el reporte final sea verdaderamente útil para un usuario de negocios, mostrando nombres reales en lugar de simples números de ID.La documentación mediante docstrings y comentarios es clara y facilita mucho el seguimiento de la lógica. Las pruebas de ejecución son exhaustivas y cubren todos los escenarios de creación, consulta, actualización y borrado, demostrando que el sistema es robusto y está listo para ser escalado.Sigan con esa curiosidad técnica y ese rigor. Tienen una base muy sólida para el proyecto final del Corte 2, donde deberán integrar esta persistencia de datos con la lógica de objetos que ya dominan. ¡Excelente trabajo, emprendedores!📊 Rúbrica de CalificaciónCriterio de EvaluaciónRequisito TécnicoPuntaje MáximoPuntaje ObtenidoCreación de Tablas y RelacionesTablas creadas con tipos correctos, PK, AUTOINCREMENT y al menos 2 FK funcionales.15.015.0Operaciones CRUD CompletasImplementación funcional de Create, Read, Update y Delete para todos los módulos.15.015.0Seguridad y RobustezUso de parámetros seguros (?) y validaciones adicionales (como el uso de CHECK).10.010.0Pruebas y DocumentaciónPruebas de ejecución claras para cada operación y código bien comentado.10.010.0TOTAL50.050.0Diego Mauricio Zuluaga RodríguezProfesor - Departamento de EconomíaUniversidad de La Sabana</t>
  </si>
  <si>
    <t>🗄️ Retroalimentación de la Entrega: Tarea 1 - Clase 7 - CRUD en SQLiteGrupo: Mariana Peña Rodríguez, Matías Mondragón Osorio, Arianne Mariana Amorocho Quiroga.Calificación Final: 50/50 (Equivalente a 5.0)¡Excelente trabajo, equipo! Han demostrado una comprensión sólida de cómo interactuar con bases de datos relacionales desde Python. La persistencia de datos es un pilar fundamental en cualquier proyecto de software, y ustedes han logrado implementarla de forma segura y estructurada.Me complace ver que aplicaron correctamente el uso de parámetros seguros (?) en sus consultas SQL. Esta es una práctica profesional innegociable para prevenir ataques de Inyección SQL, y ustedes la dominaron a la perfección. Además, la inclusión del bloque try-except para capturar el sqlite3.IntegrityError cuando un email se repite demuestra que están pensando en la robustez del sistema y en la experiencia del usuario final.La estructura de sus tablas es correcta y el uso de PRAGMA foreign_keys = ON; asegura que las relaciones entre Ventas, Cliente y Producto se respeten a nivel de motor de base de datos. Las pruebas de ejecución (Sanity Check) al final del Notebook confirman que sus funciones CRUD operan exactamente como se espera.Sigan con este nivel de rigurosidad técnica. Este conocimiento será la base de su Taller del Corte 2, donde escalarán su MVP a una arquitectura profesional. ¡Están haciendo un gran trabajo como futuros CTOs!Rúbrica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Delete.15.015.0Seguridad y RobustezUso de parámetros seguros (?) y manejo de excepciones (IntegrityError).10.010.0Pruebas y DocumentaciónPruebas ejecutables en el código y comentarios explicativos claros.10.010.0TOTAL50.050.0Diego Mauricio Zuluaga RodríguezProfesor - Departamento de EconomíaUniversidad de La Sabana</t>
  </si>
  <si>
    <t>⚠️ Seguimiento de Autogestión: Tarea CRUD en SQLiteHola Mariana,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</si>
  <si>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Seguimiento de Autogestión: Tarea CRUD en SQLiteHola Cristian,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</si>
  <si>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Retroalimentación de la Entrega: Tarea 1 - Clase 7 - CRUD en SQLite Integrantes: Nicolas Torres Calderon, Juan Camilo Leyton Lancheros y Cristian Bermudez. Calificación Final: 46/50 (Equivalente a 4.6) ¡Hola, equipo! Espero que se encuentren muy bien. Quiero felicitarlos por la entrega de esta tarea. Han logrado construir un sistema de persistencia de datos funcional y completo, cubriendo todas las entidades solicitadas para la "Cafetería U. Sabana". Es muy gratificante ver cómo han aplicado los conceptos de bases de datos relacionales para darle una estructura profesional a su código.Un punto muy positivo es que implementaron las operaciones CRUD para cada uno de los cuatro módulos (Cliente, Proveedor, Producto y Ventas). Además, el uso de los marcadores de posición ? en las consultas demuestra que tienen clara la importancia de la seguridad para prevenir ataques de inyección SQL, lo cual es una práctica fundamental en el desarrollo de software moderno.Las pruebas que incluyeron al final del Notebook son excelentes porque permiten verificar, en una sola ejecución, que todo el ciclo de vida de los datos (crear, leer, actualizar y borrar) funciona correctamente. El hecho de que el código corra sin errores y produzca las salidas esperadas habla muy bien de su atención al detalle técnico.Para que sus próximos proyectos sean aún más robustos, les dejo dos recomendaciones de mejora:Documentación: Aunque el código es claro, la rúbrica solicitaba explicar la lógica de cada sección. En futuras entregas, traten de usar celdas de Markdown o comentarios más detallados que expliquen el "porqué" de las funciones, no solo el "qué".Integridad Referencial: Aunque definieron las Llaves Foráneas (FK) en el CREATE TABLE, recuerden que en SQLite es necesario ejecutar el comando cursor.execute("PRAGMA foreign_keys = ON;") justo después de abrir la conexión para que el motor realmente obligue a respetar esas relaciones (por ejemplo, evitar que se borre un cliente que tiene ventas asociadas).Sigan con ese gran ánimo. Tienen una base técnica muy fuerte y están más que listos para enfrentar el reto de escalar su MVP en el Taller del Corte 2. ¡Buen trabajo! Rúbrica de CalificaciónCriterio de EvaluaciónRequisito TécnicoPuntaje MáximoPuntaje ObtenidoCreación de Tablas y RelacionesTablas creadas correctamente con PK y FK definidas en el esquema.15.015.0Operaciones CRUDImplementación funcional de las 4 operaciones para todos los módulos.15.015.0Seguridad y RobustezUso correcto de parámetros seguros (?) para evitar inyección SQL.10.09.0Pruebas y DocumentaciónPresencia de pruebas ejecutables. Se penaliza la falta de comentarios explicativos detallados.10.07.0TOTAL50.046.0  Diego Mauricio Zuluaga RodríguezProfesor - Departamento de EconomíaUniversidad de La Sabana</t>
  </si>
  <si>
    <t>⚠️ Seguimiento de Autogestión: Tarea CRUD en SQLiteHola Valery,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t>
  </si>
  <si>
    <t>🗄️ Retroalimentación de la Entrega: Taller 1 - CRUD en SQLiteIntegrante: Sofia Giraldo Pico Calificación Final: 50/50 (Equivalente a 5.0) ¡Hola, Sofia! He revisado detalladamente tu entrega y quiero felicitarte por el excelente nivel técnico y de organización que demostraste en este ejercicio de bases de datos. Puntos destacados de tu trabajo:Arquitectura y Seguridad: Implementaste correctamente el uso de parámetros seguros (?) en todas las consultas, lo cual es vital para prevenir inyección SQL. Además, el uso de PRAGMA foreign_keys = ON; demuestra que entiendes la importancia de la integridad referencial en sistemas relacionales.Dominio de SQL: Me llamó mucho la atención el uso de la restricción CHECK(tipo_cliente IN (...)) en la creación de la tabla cliente. Este es un detalle de nivel avanzado que asegura que la base de datos solo acepte valores válidos, reduciendo errores humanos desde el motor mismo.Integración con Pandas: El uso de pd.read_sql_query para la operación de lectura (Read) es una práctica muy profesional. Facilita enormemente la visualización de los datos y prepara el terreno para el análisis de información que veremos más adelante.Pruebas y Verificación: Las pruebas CRUD son completas y fáciles de seguir. El valor agregado de incluir un INNER JOIN al final para verificar que las relaciones entre ventas, clientes y productos funcionan correctamente es un excelente "Sanity Check".Documentación: El notebook está muy bien estructurado. Las celdas de Markdown explican claramente el diseño lógico y el propósito de cada bloque de código, cumpliendo con creces el requisito de autogestión.Motivación: Has logrado construir un sistema de persistencia de datos sólido y profesional. Este dominio de las operaciones CRUD y las relaciones entre tablas es la base fundamental para cualquier analista que busque automatizar procesos de negocio. Sigue con esa atención al detalle y esa curiosidad técnica; vas por un excelente camino en el curso. ¡Felicitaciones!Rúbrica de CalificaciónCriterio de EvaluaciónRequisito TécnicoPuntaje MáximoPuntaje ObtenidoCreación de TablasDefinición correcta de PK, FK y tipos de datos en los 3 módulos.15.015.0Operaciones CRUDImplementación funcional de Create, Read, Update y Delete para cada entidad.15.015.0Seguridad y PruebasUso de parámetros ? y ejecución de pruebas visibles en el notebook.10.010.0Documentación y AutogestiónExplicación lógica en Markdown y comentarios en el código.10.010.0TOTAL50.050.0Diego Mauricio Zuluaga Rodríguez Profesor - Departamento de Economía Universidad de La Sabana</t>
  </si>
  <si>
    <t>🗄️ Calificación: Tarea 1 - Clase 7 - CRUD en SQLite Integrantes: Valeria Morales, Isabella Carranza Tapiero y Paula Andrea Arciniegas Cárdenas. Calificación Final: 50/50 (5.0) ¡Hola, equipo! Qué gusto saludarlas. He revisado detalladamente su entrega y quiero felicitarlas por el excelente nivel técnico que han demostrado en este ejercicio. Han logrado capturar la esencia de la persistencia de datos, transformando un código que antes "olvidaba" todo al cerrarse, en un sistema con memoria sólida y estructurada.Uno de los puntos más destacados de su trabajo es la rigurosidad con la que aplicaron el comando PRAGMA foreign_keys = ON. Muchas veces este detalle se pasa por alto, pero es lo que realmente garantiza que las relaciones entre sus tablas (como la de Ventas con Clientes y Productos) funcionen con integridad profesional. Sin esto, la base de datos sería solo un conjunto de tablas aisladas.Me pareció muy acertado y profesional el uso de cursor.lastrowid en las pruebas finales. Esta es una técnica avanzada que demuestra que entienden cómo fluye la información en tiempo real: capturan el ID que la base de datos acaba de generar automáticamente para usarlo de inmediato en la siguiente transacción. Eso es "Sanity Check" de alto nivel.El código está impecablemente documentado y el uso de los parámetros ? para evitar la inyección SQL cumple con los estándares de seguridad que exigimos en el curso. Han construido una base muy fuerte para el Taller del Corte 2. Sigan con esa misma disciplina y atención al detalle; tienen todo para ser las mejores CTOs de sus proyectos.¡Excelente trabajo y disfruten su merecido descanso de Semana Santa! 📊 Rúbrica de Calificación (Total: 50 puntos)CriterioDescripciónPuntaje MáximoPuntaje ObtenidoEstructura y RelacionesCreación correcta de tablas con PK, AUTOINCREMENT y al menos 2 FK funcionales.15.015.0Operaciones CRUDImplementación completa de Crear, Leer, Actualizar y Eliminar para todos los módulos.15.015.0Seguridad SQLUso correcto de parámetros seguros (?) para prevenir inyecciones.10.010.0Pruebas y ValidaciónInclusión de un bloque de pruebas funcional que demuestra el éxito de cada operación.5.05.0Documentación y FormatoComentarios claros en cada celda y entrega en formato .ipynb.5.05.0TOTAL50.050.0 Diego Mauricio Zuluaga Rodríguez Profesor - Departamento de Economía Universidad de La Sabana</t>
  </si>
  <si>
    <t>🔗 Retroalimentación de la Entrega: Normalización y Llaves SQL Integrantes: Simón Gustavo Restrepo Alvarez, Mateo Pérez Daza, Diego Alejandro Hermida Limas. Calificación Final: 50/50 (Equivalente a 5.0) ¡Hola, equipo! He revisado su trabajo y quiero felicitarlos por la excelente ejecución. Han logrado implementar un modelo de datos relacional que es limpio, eficiente y sigue todas las buenas prácticas que hemos discutido en clase.Me gustó mucho cómo en su celda de Markdown fueron directamente al grano, explicando la relación 1:N y justificando el uso de la llave foránea para evitar la redundancia. Esa capacidad de síntesis es muy valiosa en el mundo profesional.Técnicamente, el código es impecable. El uso de DROP TABLE IF EXISTS es una excelente práctica para asegurar que su script se pueda ejecutar múltiples veces sin generar errores, lo cual demuestra un pensamiento de "Sanity Check" muy avanzado. Además, no olvidaron el PRAGMA foreign_keys = ON;, que es el seguro de vida para la integridad de los datos.La inserción de datos usando los parámetros seguros (?) y la consulta final con INNER JOIN son perfectas. El resultado demuestra que entendieron cómo reconstruir la información que estaba separada en dos tablas distintas, que es la esencia de las bases de datos relacionales.Sigan con ese nivel de precisión y enfoque en la calidad del código. Están construyendo una base muy sólida para el Taller del Corte 2 y para cualquier proyecto de datos que enfrenten en el futuro.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  Diego Mauricio Zuluaga RodríguezProfesor - Departamento de EconomíaUniversidad de La Sabana</t>
  </si>
  <si>
    <t>🔗 Tarea 2 - Clase 7 - Normalización y Llaves</t>
  </si>
  <si>
    <t>⚠️ Seguimiento de Autogestión: Tarea 2 - Normalización y Llaves SQLHola Alan,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</si>
  <si>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 Retroalimentación de la Entrega: Normalización y Llaves SQLIntegrantes: Martin Martin Trujillo Rodriguez, Daniel Camilo Lopez Piraquive, Juan Jose Caballero Mantilla.Calificación Final: 50/50 (Equivalente a 5.0)¡Hola, equipo! He revisado su entrega y quiero felicitarlos por el excelente trabajo técnico y la atención al detalle que demostraron. Han logrado implementar un modelo de datos relacional robusto, limpio y profesional.Me gustó mucho cómo abordaron la limpieza de la base de datos al inicio del script con DROP TABLE IF EXISTS. Es una estrategia de "programación defensiva" muy inteligente que asegura que su código se pueda ejecutar múltiples veces sin generar errores por tablas duplicadas. Esto demuestra que están pensando no solo en la solución, sino también en la mantenibilidad y las pruebas del sistema.Su diseño lógico en la celda de Markdown es claro y va directo al punto, justificando perfectamente la necesidad de la Llave Foránea para evitar la redundancia de datos. La implementación de executemany para insertar los datos en bloque es una optimización excelente que demuestra que están investigando más allá de lo visto en clase.Finalmente, el resultado de su consulta INNER JOIN es impecable. El uso de alias para las tablas (p y pr) y el formateo de la salida en una tabla bien alineada son detalles que marcan la diferencia y le dan un toque muy profesional a la presentación de los datos.Están construyendo una base técnica muy sólida que les será de gran utilidad no solo para el Taller del Corte 2, sino para su futuro profesional en el análisis de datos. ¡Sigan con esa curiosidad y rigor!Rúbrica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 y profesional.15.015.0Documentación y FormatoUso de comentarios, Markdown y entrega en .ipynb.5.05.0TOTAL50.050.0Diego Mauricio Zuluaga RodríguezProfesor - Departamento de EconomíaUniversidad de La Sabana</t>
  </si>
  <si>
    <t>⚠️ Seguimiento de Autogestión: Tarea 2 - Normalización y Llaves SQLHola Juan Sebastían,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</si>
  <si>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 Retroalimentación de la Entrega: Normalización y Llaves SQL Integrantes: Gabriela Ruiz Perez, Maria Jose Huertas Osorio, Alessandro Di Mauro Bonilla Correa. Calificación Final: 50/50 (Equivalente a 5.0) ¡Hola, Gabriela, Maria Jose y Alessandro! Es un gusto saludarlos. He revisado detalladamente su entrega y quiero felicitarlos por el excelente trabajo que realizaron en este ejercicio de arquitectura de datos. Han logrado aplicar con precisión los conceptos de normalización que discutimos en clase, lo cual es fundamental para construir sistemas robustos.Me pareció muy acertada la explicación que incluyeron en su celda de Markdown. Identificaron correctamente la relación Uno a Muchos (1:N) entre proveedores y productos, y justificaron de manera clara por qué el uso de una llave foránea es la solución ideal para evitar la redundancia. Esta capacidad de análisis previo es lo que define a un buen arquitecto de software: entender el problema antes de escribir la primera línea de código.En la parte técnica, los felicito por no olvidar el comando PRAGMA foreign_keys = ON;. Como mencionamos en la sesión, SQLite requiere esta instrucción explícita para activar las restricciones de integridad, y ver que la incluyeron demuestra una gran atención al detalle. La estructura de sus tablas es impecable y el uso de AUTOINCREMENT en la tabla de productos es una excelente práctica para gestionar identificadores únicos sin errores manuales.El resultado de su consulta INNER JOIN es perfecto. Lograron cruzar la información de ambas tablas para presentar un reporte coherente donde se visualiza el producto junto a su proveedor responsable. Este es el "corazón" de las bases de datos relacionales y ustedes lo han dominado con éxito.Sigan con ese mismo entusiasmo y rigor técnico. Están construyendo una base muy sólida que les facilitará enormemente el desarrollo de su Taller del Corte 2. ¡Excelente trabajo de equipo y sigan así!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o Markdown y entrega en formato .ipynb.5.05.0TOTAL50.050.0Diego Mauricio Zuluaga RodríguezProfesor - Departamento de EconomíaUniversidad de La Sabana</t>
  </si>
  <si>
    <t>🔗 Retroalimentación de la Entrega: Normalización y Llaves SQL Integrantes: Martin Martin Trujillo Rodriguez, Daniel Camilo Lopez Piraquive, Juan Jose Caballero Mantilla. Calificación Final: 50/50 (Equivalente a 5.0) ¡Hola, equipo! He revisado su entrega y quiero felicitarlos por el excelente trabajo técnico y la atención al detalle que demostraron. Han logrado implementar un modelo de datos relacional robusto, limpio y profesional.Me gustó mucho cómo abordaron la limpieza de la base de datos al inicio del script con DROP TABLE IF EXISTS. Es una estrategia de "programación defensiva" muy inteligente que asegura que su código se pueda ejecutar múltiples veces sin generar errores por tablas duplicadas. Esto demuestra que están pensando no solo en la solución, sino también en la mantenibilidad y las pruebas del sistema.Su diseño lógico en la celda de Markdown es claro y va directo al punto, justificando perfectamente la necesidad de la Llave Foránea para evitar la redundancia de datos. La implementación de executemany para insertar los datos en bloque es una optimización excelente que demuestra que están investigando más allá de lo visto en clase.Finalmente, el resultado de su consulta INNER JOIN es impecable. El uso de alias para las tablas (p y pr) y el formateo de la salida en una tabla bien alineada son detalles que marcan la diferencia y le dan un toque muy profesional a la presentación de los datos.Están construyendo una base técnica muy sólida que les será de gran utilidad no solo para el Taller del Corte 2, sino para su futuro profesional en el análisis de datos. ¡Sigan con esa curiosidad y rigor!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 y profesional.15.015.0Documentación y FormatoUso de comentarios, Markdown y entrega en .ipynb.5.05.0TOTAL50.050.0  Diego Mauricio Zuluaga RodríguezProfesor - Departamento de EconomíaUniversidad de La Sabana</t>
  </si>
  <si>
    <t>Retroalimentación de la Entrega: Normalización y Llaves SQLIntegrantes: Samantha Vanegas Russi, Avril Ariza Quitian.Calificación Final: 28/50 (Equivalente a 2.8)¡Hola, equipo! Espero que se encuentren muy bien. He revisado su entrega y quiero compartirles mis comentarios. Tienen una base conceptual excelente, pero tuvimos un par de tropiezos técnicos en la ejecución y en la gestión del tiempo que impactaron el resultado final.Primero, quiero destacar lo positivo: su diseño lógico en la celda de Markdown es impecable. Explicaron con total claridad por qué la relación es 1:N y justificaron perfectamente el uso de la Llave Foránea para evitar redundancia y mantener la integridad referencial. Se nota que entienden el "porqué" detrás de la arquitectura de datos, lo cual es la habilidad más importante de un CTO.Sin embargo, al momento de ejecutar el código, se presentaron dos errores (Sanity Checks) que debemos corregir para el futuro. En la celda de inserción de datos, obtuvieron un IntegrityError: UNIQUE constraint failed: proveedores.nit. Esto ocurre porque ejecutaron la celda más de una vez y, como el NIT es una Llave Primaria única, SQLite bloquea el intento de crear el mismo proveedor dos veces. Para evitar esto, recuerden usar INSERT OR IGNORE o agregar un DROP TABLE IF EXISTS proveedores al inicio de su script.El segundo error ocurrió en la celda de la consulta JOIN. Escribieron la sintaxis SQL del INNER JOIN de manera perfecta, pero incluyeron un import pandas as pd al inicio de la celda. Como no tenían la librería instalada en ese entorno (o no era necesaria para este ejercicio nativo de SQLite), el programa colapsó con un ModuleNotFoundError y no pudimos ver el resultado impreso del JOIN, lo cual era un requisito de la rúbrica. En la vida real, un import innecesario puede detener todo un reporte de producción.Finalmente, debo aplicar la regla de Autogestión del curso. La tarea fue entregada el miércoles 8 de abril a las 4:30 p.m., superando la fecha límite establecida. Por este motivo, el sistema aplica una penalización de -15 puntos sobre la nota obtenida. Recuerden que el cumplimiento de los cronogramas es tan importante como el código mismo.Tienen todo el potencial y la lógica necesaria para dominar las bases de datos. Tomen estos errores como un gran aprendizaje para blindar su código en el Taller del Corte 2. ¡Mucho ánimo y a seguir practicando!Rúbrica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insertados, pero con error de ejecución (IntegrityError) por duplicidad de PK.10.08.0Consulta JOINSintaxis SQL correcta, pero salida no visible por error de importación (ModuleNotFoundError).15.010.0Documentación y FormatoUso de comentarios y entrega en .ipynb.5.05.0Penalización por RetrasoEntrega extemporánea (Miércoles 8 de abril, 4:30 p.m.).-15.0-15.0TOTAL50.028.0Diego Mauricio Zuluaga RodríguezProfesor - Departamento de EconomíaUniversidad de La Sabana</t>
  </si>
  <si>
    <t>🔗 Retroalimentación de la Entrega: Normalización y Llaves SQLIntegrantes: Valeria Morales, Isabella Carranza Tapiero, Paula Andrea Arciniegas Cárdenas.Calificación Final: 50/50 (Equivalente a 5.0)¡Hola, equipo! Qué gusto saludarlas. He revisado detalladamente su entrega y quiero felicitarlas porque han presentado un trabajo de altísimo nivel. Se nota que no solo se limitaron a seguir las instrucciones, sino que realmente comprendieron la arquitectura detrás de una base de datos relacional profesional.Me pareció excelente la introducción en Markdown donde explican la relación Uno a Muchos (1:N). La claridad con la que justifican el uso de llaves foráneas para evitar la redundancia y garantizar la integridad referencial es impecable. Ese es el tipo de pensamiento analítico que buscamos en la EICEA: entender el "porqué" antes del "cómo".En la parte técnica, quiero destacar tres puntos que elevaron la calidad de su tarea. Primero, la activación del PRAGMA foreign_keys = ON;, un paso que suele olvidarse pero que es vital. Segundo, el uso de executemany para insertar datos, lo cual es una práctica de optimización muy valiosa. Y tercero, mi parte favorita: el ejercicio de validación con try-except. Intentar insertar un proveedor inexistente para forzar el error y comprobar que la base de datos está "blindada" es una muestra de Autogestión y curiosidad técnica excepcional.El resultado del INNER JOIN es perfecto. Lograron cruzar las tablas de forma limpia y la presentación de la lista de productos en la consola es muy legible y profesional. Han construido una base sólida para el sistema de la cafetería, asegurando que los datos tengan "memoria" y estructura a largo plazo.Sigan con esa rigurosidad y atención al detalle. Están demostrando habilidades de arquitectura de datos que les serán de gran utilidad en el Taller del Corte 2 y en su vida profesional. ¡Excelente trabajo y disfruten su merecido descanso!Rúbrica de CalificaciónCriterio de EvaluaciónRequisito TécnicoPuntaje MáximoPuntaje ObtenidoDiseño LógicoExplicación clara de la relación 1:N e integridad referencial en Markdown.10.010.0Creación de TablasUso correcto de PK y FK con la estructura solicitada y activación de PRAGMA.10.010.0Inserción y Sanity CheckDatos coherentes e implementación de prueba de error con try-except.10.010.0Consulta JOINImplementación exitosa de INNER JOIN con salida formateada y clara.15.015.0Documentación y FormatoUso de comentarios, estructura organizada y entrega en formato .ipynb.5.05.0TOTAL50.050.0Diego Mauricio Zuluaga RodríguezProfesor - Departamento de EconomíaUniversidad de La Sabana</t>
  </si>
  <si>
    <t>🔗 Retroalimentación de la Entrega: Normalización y Llaves SQL Integrantes: Sebastián Vanoy Gutiérrez, Samuel David Lozano Holguín, Samuel Mathias González Bernal. Calificación Final: 50/50 (Equivalente a 5.0) ¡Hola, equipo! He revisado su entrega y quiero felicitarlos por el nivel de profundidad y profesionalismo que han demostrado. Este es, sin duda, un trabajo de calidad excepcional que va más allá de simplemente cumplir con los requisitos.Su explicación en la celda de Markdown sobre la relación 1:N y las anomalías de actualización, inserción y eliminación es digna de un libro de texto de bases de datos. Entender por qué se normaliza es mucho más importante que saber cómo hacerlo, y ustedes lo han capturado a la perfección.En la parte técnica, su código es impecable. El uso de executemany para insertar los datos en bloque es una práctica eficiente y profesional. La sintaxis del INNER JOIN, utilizando alias (p para productos y v para proveedores), demuestra que están adoptando las convenciones estándar de SQL para escribir consultas limpias y legibles.Finalmente, la presentación del resultado de la consulta JOIN es sobresaliente. Tomarse el tiempo de formatear los encabezados y alinear las columnas con f-strings (f"{nombre:&amp;lt;20}") es un detalle de calidad que marca la diferencia entre un simple script y un reporte profesional listo para ser presentado a un gerente.Sigan con este nivel de excelencia. Han demostrado una capacidad de autogestión y un rigor técnico que los prepara no solo para el Taller del Corte 2, sino para enfrentar proyectos de datos en el mundo real. ¡Felicitaciones por este gran trabajo! Rúbrica de CalificaciónCriterio de EvaluaciónRequisito TécnicoPuntaje MáximoPuntaje ObtenidoDiseño LógicoExplicación detallada de la relación 1:N, anomalías y justificación de la FK en Markdown.10.010.0Creación de TablasUso correcto de PK y FK con la estructura solicitada.10.010.0Inserción y Sanity CheckDatos coherentes insertados respetando la jerarquía de tablas.10.010.0Consulta JOINImplementación exitosa de INNER JOIN con salida visible y formato profesional.15.015.0Documentación y FormatoUso de comentarios, celdas Markdown y entrega en .ipynb.5.05.0TOTAL50.050.0  Diego Mauricio Zuluaga RodríguezProfesor - Departamento de EconomíaUniversidad de La Sabana</t>
  </si>
  <si>
    <t>⚠️ Seguimiento de Autogestión: Tarea 2 - Normalización y Llaves SQLHola Juan Camilo,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</si>
  <si>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 Seguimiento de Autogestión: Tarea 2 - Normalización y Llaves SQLHola María José,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</si>
  <si>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 Seguimiento de Autogestión: Tarea 2 - Normalización y Llaves SQLHola Samuel,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</si>
  <si>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Retroalimentación de la Entrega: Normalización y Llaves SQL Integrantes: Samantha Vanegas Russi, Avril Ariza Quitian. Calificación Final: 28/50 (Equivalente a 2.8) ¡Hola,
 equipo! Espero que se encuentren muy bien. He revisado su entrega y 
quiero compartirles mis comentarios. Tienen una base conceptual 
excelente, pero tuvimos un par de tropiezos técnicos en la ejecución y 
en la gestión del tiempo que impactaron el resultado final.Primero,
 quiero destacar lo positivo: su diseño lógico en la celda de Markdown 
es impecable. Explicaron con total claridad por qué la relación es 1:N y
 justificaron perfectamente el uso de la Llave Foránea para evitar 
redundancia y mantener la integridad referencial. Se nota que entienden 
el "porqué" detrás de la arquitectura de datos, lo cual es la habilidad 
más importante de un CTO.Sin
 embargo, al momento de ejecutar el código, se presentaron dos errores 
(Sanity Checks) que debemos corregir para el futuro. En la celda de 
inserción de datos, obtuvieron un IntegrityError: UNIQUE constraint failed: proveedores.nit.
 Esto ocurre porque ejecutaron la celda más de una vez y, como el NIT es
 una Llave Primaria única, SQLite bloquea el intento de crear el mismo 
proveedor dos veces. Para evitar esto, recuerden usar INSERT OR IGNORE o agregar un DROP TABLE IF EXISTS proveedores al inicio de su script.El segundo error ocurrió en la celda de la consulta JOIN. Escribieron la sintaxis SQL del INNER JOIN de manera perfecta, pero incluyeron un import pandas as pd
 al inicio de la celda. Como no tenían la librería instalada en ese 
entorno (o no era necesaria para este ejercicio nativo de SQLite), el 
programa colapsó con un ModuleNotFoundError
 y no pudimos ver el resultado impreso del JOIN, lo cual era un 
requisito de la rúbrica. En la vida real, un import innecesario puede 
detener todo un reporte de producción.Finalmente,
 debo aplicar la regla de Autogestión del curso. La tarea fue entregada 
el miércoles 8 de abril a las 4:30 p.m., superando la fecha límite 
establecida. Por este motivo, el sistema aplica una penalización de -15 
puntos sobre la nota obtenida. Recuerden que el cumplimiento de los 
cronogramas es tan importante como el código mismo.Tienen
 todo el potencial y la lógica necesaria para dominar las bases de 
datos. Tomen estos errores como un gran aprendizaje para blindar su 
código en el Taller del Corte 2. ¡Mucho ánimo y a seguir practicando!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insertados, pero con error de ejecución (IntegrityError) por duplicidad de PK.10.08.0Consulta JOINSintaxis SQL correcta, pero salida no visible por error de importación (ModuleNotFoundError).15.010.0Documentación y FormatoUso de comentarios y entrega en .ipynb.5.05.0Penalización por RetrasoEntrega extemporánea (Miércoles 8 de abril, 4:30 p.m.).-15.0-15.0TOTAL50.028.0  Diego Mauricio Zuluaga RodríguezProfesor - Departamento de EconomíaUniversidad de La Sabana</t>
  </si>
  <si>
    <t>🔗 Retroalimentación de la Entrega: Normalización y Llaves SQLIntegrantes: Juan Sebastian Salas Hinojosa, Alan David Rossoff Vanegas, Lukas Blanco Llanes.Calificación Final: 50/50 (Equivalente a 5.0)¡Hola, equipo! Es un verdadero gusto revisar una entrega de este nivel. Han superado con creces las expectativas de la tarea, transformando un ejercicio de bases de datos en una aplicación funcional, interactiva y profesional. Se nota un esfuerzo excepcional y una coordinación de equipo impecable.Lo primero que quiero destacar es la Arquitectura del Sistema. Su documentación en Markdown, incluyendo el diagrama de relaciones y las tablas de entidades, es de nivel profesional. Han comprendido perfectamente la importancia de la normalización y cómo las Llaves Primarias (PK) y Foráneas (FK) actúan como el pegamento que mantiene la integridad de los datos en la "Cafetería U. Sabana".En el apartado técnico, la implementación de la interfaz visual mediante ipywidgets es brillante. No solo cumplieron con el CRUD en SQL, sino que crearon formularios y botones que facilitan la interacción con el usuario, lo cual es un valor agregado inmenso. Además, el uso de pandas para visualizar las tablas y el panel de resumen estadístico demuestra que ya están pensando como analistas de datos reales.La seguridad fue otro punto fuerte. Es excelente ver que incluyeron una sección dedicada a la prevención de inyección SQL mediante el uso de parámetros ?. En el mundo laboral, un código que funciona pero es inseguro no sirve; ustedes han demostrado que pueden construir soluciones robustas y protegidas desde el diseño.Finalmente, la lógica de sus consultas JOIN y el manejo de la integridad referencial con PRAGMA foreign_keys = ON fue impecable. Han dejado el sistema listo para ser escalado. Sigan con esa curiosidad técnica y ese rigor; tienen un potencial enorme para liderar proyectos de desarrollo y analítica de alta complejidad. ¡Felicitaciones!Rúbrica de CalificaciónCriterio de EvaluaciónRequisito TécnicoPuntaje MáximoPuntaje ObtenidoDiseño LógicoExplicación de relaciones, arquitectura y normalización en Markdown.10.010.0Creación de TablasUso perfecto de PK y FK con restricciones (CHECK, UNIQUE, NOT NULL).10.010.0Operaciones CRUDImplementación funcional y visual de las 4 operaciones para todos los módulos.10.010.0Consulta JOIN y AnálisisUso exitoso de JOINs y generación de métricas/resumen del sistema.15.015.0Seguridad y FormatoPrevención de inyección SQL, documentación exhaustiva y uso de .ipynb.5.05.0TOTAL50.050.0Diego Mauricio Zuluaga RodríguezProfesor - Departamento de EconomíaUniversidad de La Sabana</t>
  </si>
  <si>
    <t>🔗 Retroalimentación de la Entrega: Normalización y Llaves SQL Integrantes: Juan Sebastian Salas Hinojosa, Alan David Rossoff Vanegas, Lukas Blanco Llanes. Calificación Final: 50/50 (Equivalente a 5.0) ¡Hola, equipo! Es un verdadero gusto revisar una entrega de este nivel. Han superado con creces las expectativas de la tarea, transformando un ejercicio de bases de datos en una aplicación funcional, interactiva y profesional. Se nota un esfuerzo excepcional y una coordinación de equipo impecable.Lo primero que quiero destacar es la Arquitectura del Sistema. Su documentación en Markdown, incluyendo el diagrama de relaciones y las tablas de entidades, es de nivel profesional. Han comprendido perfectamente la importancia de la normalización y cómo las Llaves Primarias (PK) y Foráneas (FK) actúan como el pegamento que mantiene la integridad de los datos en la "Cafetería U. Sabana".En el apartado técnico, la implementación de la interfaz visual mediante ipywidgets es brillante. No solo cumplieron con el CRUD en SQL, sino que crearon formularios y botones que facilitan la interacción con el usuario, lo cual es un valor agregado inmenso. Además, el uso de pandas para visualizar las tablas y el panel de resumen estadístico demuestra que ya están pensando como analistas de datos reales.La seguridad fue otro punto fuerte. Es excelente ver que incluyeron una sección dedicada a la prevención de inyección SQL mediante el uso de parámetros ?. En el mundo laboral, un código que funciona pero es inseguro no sirve; ustedes han demostrado que pueden construir soluciones robustas y protegidas desde el diseño.Finalmente, la lógica de sus consultas JOIN y el manejo de la integridad referencial con PRAGMA foreign_keys = ON fue impecable. Han dejado el sistema listo para ser escalado. Sigan con esa curiosidad técnica y ese rigor; tienen un potencial enorme para liderar proyectos de desarrollo y analítica de alta complejidad. ¡Felicitaciones! Rúbrica de CalificaciónCriterio de EvaluaciónRequisito TécnicoPuntaje MáximoPuntaje ObtenidoDiseño LógicoExplicación de relaciones, arquitectura y normalización en Markdown.10.010.0Creación de TablasUso perfecto de PK y FK con restricciones (CHECK, UNIQUE, NOT NULL).10.010.0Operaciones CRUDImplementación funcional y visual de las 4 operaciones para todos los módulos.10.010.0Consulta JOIN y AnálisisUso exitoso de JOINs y generación de métricas/resumen del sistema.15.015.0Seguridad y FormatoPrevención de inyección SQL, documentación exhaustiva y uso de .ipynb.5.05.0TOTAL50.050.0  Diego Mauricio Zuluaga RodríguezProfesor - Departamento de EconomíaUniversidad de La Sabana</t>
  </si>
  <si>
    <t>🔗 Retroalimentación de la Entrega: Normalización y Llaves SQLIntegrantes: Juan David Neuta Medina, Laura Fernanda López Parra, José Daniel Escobar Hurtado.Calificación Final: 50/50 (Equivalente a 5.0)¡Hola, equipo! He revisado su entrega y quiero felicitarlos por el altísimo nivel de profesionalismo y detalle técnico que han demostrado. Este es, sin duda, un trabajo de calidad excepcional que va más allá de lo solicitado.Su explicación en la celda de Markdown sobre la relación 1:N y la justificación de la Llave Foránea es de nivel universitario avanzado. La tabla comparativa que crearon para explicar los problemas de redundancia e inconsistencia es una herramienta pedagógica brillante que demuestra una comprensión profunda de la arquitectura de datos.En la parte técnica, el código es impecable. No solo cumplieron con todos los requisitos, sino que agregaron valor en cada paso:Sanity Check Proactivo: El bloque try-except para demostrar que la restricción de Llave Foránea realmente funciona es una prueba de concepto excelente. Demuestra que no solo escriben código, sino que auditan su comportamiento.Eficiencia en la Inserción: El uso de executemany para insertar los datos en bloque es la forma correcta y más eficiente de poblar una base de datos.Presentación de Datos: La consulta JOIN es perfecta, pero la forma en que formatearon la salida en consola para que se vea como una tabla real (usando f-strings y .ljust()) es un detalle de UX que marca la diferencia.Sigan con este nivel de excelencia. Han demostrado que no solo son capaces de programar, sino de diseñar, documentar y auditar sistemas de datos complejos. Este es el perfil exacto que buscan las empresas líderes en el sector. ¡Felicitaciones por un trabajo sobresaliente!Rúbrica de CalificaciónCriterio de EvaluaciónRequisito TécnicoPuntaje MáximoPuntaje ObtenidoDiseño LógicoExplicación detallada de la relación 1:N y justificación de la normalización.10.010.0Creación de TablasUso correcto de PK y FK con la estructura solicitada.10.010.0Inserción y Sanity CheckDatos coherentes insertados y prueba de la restricción de FK.10.010.0Consulta JOINImplementación exitosa de INNER JOIN con salida visible y formateada.15.015.0Documentación y FormatoUso de comentarios, Markdown y entrega en .ipynb.5.05.0TOTAL50.050.0Diego Mauricio Zuluaga RodríguezProfesor - Departamento de EconomíaUniversidad de La Sabana</t>
  </si>
  <si>
    <t>🔗 Retroalimentación de la Entrega: Normalización y Llaves SQLIntegrantes: Mariana Peña Rodríguez, Matías Mondragón Osorio, Arianne Mariana Amorocho Quiroga.Calificación Final: 40/50 (Equivalente a 4.0 - Se restan 10 unidades por el retraso de 2 días en la entrega)¡Hola, equipo! Es un gusto saludarlos. He revisado su entrega y quiero felicitarlos por la excelente calidad de su trabajo. Han logrado aterrizar conceptos complejos de arquitectura de datos en una solución práctica, limpia y profesional para nuestra "Cafetería U. Sabana".Me pareció impecable su explicación en la celda de Markdown sobre la relación Uno a Muchos (1:N). Entender que un proveedor puede abastecer múltiples productos, pero que cada producto debe tener un origen rastreable, es la base de una buena gestión logística. Su justificación sobre la integridad referencial y la eliminación de la redundancia demuestra que tienen una visión clara de cómo se estructuran los datos en el mundo real para evitar errores administrativos.En la parte técnica, los felicito por no olvidar el comando PRAGMA foreign_keys = ON;. Es un detalle que a muchos se les escapa, pero que es vital para que SQLite realmente proteja las relaciones entre las tablas. Además, el uso de INSERT OR IGNORE fue una decisión muy inteligente de su parte (Autogestión), ya que permite ejecutar el código varias veces sin que el programa colapse por llaves primarias duplicadas.El resultado del INNER JOIN es exactamente lo que se solicitó. Ver en una sola tabla el nombre del producto junto al nombre de su proveedor es el "momento de la verdad" en las bases de datos relacionales, y ustedes lo lograron con una sintaxis SQL perfecta.Sigan con ese nivel de detalle y compromiso. Dominar las llaves y la normalización es lo que separa a un programador aficionado de un verdadero arquitecto de soluciones de datos. ¡Excelente trabajo y sigan así para el cierre del corte!Rúbrica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.ipynb.5.05.0TOTAL50.050.0Diego Mauricio Zuluaga RodríguezProfesor - Departamento de EconomíaUniversidad de La Sabana</t>
  </si>
  <si>
    <t>🔗 Retroalimentación de la Entrega: Normalización y Llaves SQLIntegrantes: Simón Gustavo Restrepo Alvarez, Mateo Pérez Daza, Diego Alejandro Hermida Limas.Calificación Final: 30/50 (Equivalente a 3.0 - Se restan 20 puntos por entregar 5 días tarde)¡Hola, equipo! He revisado su trabajo y quiero felicitarlos por la excelente ejecución. Han logrado implementar un modelo de datos relacional que es limpio, eficiente y sigue todas las buenas prácticas que hemos discutido en clase.Me gustó mucho cómo en su celda de Markdown fueron directamente al grano, explicando la relación 1:N y justificando el uso de la llave foránea para evitar la redundancia. Esa capacidad de síntesis es muy valiosa en el mundo profesional.Técnicamente, el código es impecable. El uso de DROP TABLE IF EXISTS es una excelente práctica para asegurar que su script se pueda ejecutar múltiples veces sin generar errores, lo cual demuestra un pensamiento de "Sanity Check" muy avanzado. Además, no olvidaron el PRAGMA foreign_keys = ON;, que es el seguro de vida para la integridad de los datos.La inserción de datos usando los parámetros seguros (?) y la consulta final con INNER JOIN son perfectas. El resultado demuestra que entendieron cómo reconstruir la información que estaba separada en dos tablas distintas, que es la esencia de las bases de datos relacionales.Sigan con ese nivel de precisión y enfoque en la calidad del código. Están construyendo una base muy sólida para el Taller del Corte 2 y para cualquier proyecto de datos que enfrenten en el futuro. ¡Excelente trabajo!Rúbrica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.ipynb.5.05.0TOTAL50.030.0Diego Mauricio Zuluaga RodríguezProfesor - Departamento de EconomíaUniversidad de La Sabana</t>
  </si>
  <si>
    <t>🔗 Retroalimentación de la Entrega: Normalización y Llaves SQL Integrantes: Samuel David Simancas Contreras, Juan Sebastián Perdomo Herrera, Daniel Felipe Camacho Pedraza. Calificación Final: 45/50 (Equivalente a 4.5) ¡Hola, equipo! He revisado su entrega y quiero felicitarlos por el esfuerzo y la lógica aplicada. Han logrado construir un modelo de datos relacional funcional, demostrando que comprenden los conceptos de Llaves Primarias, Foráneas y la importancia de la normalización para evitar la redundancia de datos.La explicación sobre la relación Uno a Muchos (1:N) es correcta y precisa. En la parte técnica, la creación de las tablas, la inserción de datos usando parámetros seguros (?) y la consulta INNER JOIN son impecables. El resultado final es exactamente el esperado y demuestra que las tablas están correctamente relacionadas.Sin embargo, hay dos detalles importantes de Autogestión y buenas prácticas que debemos corregir para futuros proyectos. Primero, la explicación lógica inicial la incluyeron en una celda de código comentada, cuando el requerimiento era usar una celda de Markdown para separar claramente el diseño del código. Segundo, y más crítico, no incluyeron el comando PRAGMA foreign_keys = ON; al inicio de la conexión. Aunque su código funciona, sin este comando, SQLite no valida activamente las relaciones, lo que podría permitir insertar un producto con un NIT de proveedor que no existe, rompiendo la integridad de los datos.A pesar de estos detalles, el trabajo es muy sólido y demuestra un gran avance. ¡Sigan así, prestando atención a estos pequeños pero importantes detalles, y tendrán un excelente resultado en el Taller del Corte 2! Rúbrica de CalificaciónCriterio de EvaluaciónRequisito TécnicoPuntaje MáximoPuntaje ObtenidoDiseño LógicoExplicación correcta de la relación 1:N.10.010.0Creación de TablasUso correcto de PK y FK con la estructura solicitada.10.010.0Inserción y Sanity CheckDatos coherentes insertados respetando la jerarquía de tablas.10.010.0Consulta JOINImplementación exitosa de INNER JOIN con salida visible.15.015.0Documentación y FormatoNo se usó Markdown para el diseño y faltó el comando PRAGMA.5.00.0TOTAL50.045.0  Diego Mauricio Zuluaga RodríguezProfesor - Departamento de EconomíaUniversidad de La Sabana</t>
  </si>
  <si>
    <t>🔗 Retroalimentación de la Entrega: Normalización y Llaves SQL Integrantes: María Juliana Herrera Pulido, Mariana Carmona Romero. Calificación Final: 50/50 (Equivalente a 5.0) ¡Hola, equipo! He revisado su trabajo y quiero felicitarlas por la excelente ejecución. Han logrado implementar uno de los conceptos más importantes de la arquitectura de bases de datos: la relación entre tablas.Me gustó mucho cómo estructuraron su Notebook, separando cada paso con celdas de Markdown. Esto no solo hace que el código sea más fácil de leer, sino que demuestra una gran capacidad de organización y autogestión. Su explicación del diseño lógico fue clara y precisa, demostrando que entienden perfectamente por qué la normalización es crucial para evitar la redundancia y mantener la integridad de los datos.En la parte técnica, el código es impecable. Recordaron activar el soporte para llaves foráneas con PRAGMA, crearon las tablas con la estructura correcta y utilizaron parámetros seguros (?) para la inserción de datos, lo cual es una práctica de seguridad fundamental.Finalmente, su consulta INNER JOIN es perfecta. Lograron cruzar la información de ambas tablas y presentar un reporte que demuestra el poder de las bases de datos relacionales para reconstruir la información de negocio.Sigan con este nivel de dedicación y atención al detalle. Dominar la arquitectura de datos es una habilidad muy valiosa en el mercado laboral, y ustedes están en el camino correcto para convertirse en profesionales muy competentes.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celdas Markdown y entrega en .ipynb.5.05.0TOTAL50.050.0  Diego Mauricio Zuluaga RodríguezProfesor - Departamento de EconomíaUniversidad de La Sabana</t>
  </si>
  <si>
    <t>🔗 Retroalimentación de la Entrega: Normalización y Llaves SQL Integrantes: Mariana Peña Rodríguez, Matías Mondragón Osorio, Arianne Mariana Amorocho Quiroga. Calificación Final: 50/50 (Equivalente a 5.0) ¡Hola, equipo! Es un gusto saludarlos. He revisado su entrega y quiero felicitarlos por la excelente calidad de su trabajo. Han logrado aterrizar conceptos complejos de arquitectura de datos en una solución práctica, limpia y profesional para nuestra "Cafetería U. Sabana".Me pareció impecable su explicación en la celda de Markdown sobre la relación Uno a Muchos (1:N). Entender que un proveedor puede abastecer múltiples productos, pero que cada producto debe tener un origen rastreable, es la base de una buena gestión logística. Su justificación sobre la integridad referencial y la eliminación de la redundancia demuestra que tienen una visión clara de cómo se estructuran los datos en el mundo real para evitar errores administrativos.En la parte técnica, los felicito por no olvidar el comando PRAGMA foreign_keys = ON;. Es un detalle que a muchos se les escapa, pero que es vital para que SQLite realmente proteja las relaciones entre las tablas. Además, el uso de INSERT OR IGNORE fue una decisión muy inteligente de su parte (Autogestión), ya que permite ejecutar el código varias veces sin que el programa colapse por llaves primarias duplicadas.El resultado del INNER JOIN es exactamente lo que se solicitó. Ver en una sola tabla el nombre del producto junto al nombre de su proveedor es el "momento de la verdad" en las bases de datos relacionales, y ustedes lo lograron con una sintaxis SQL perfecta.Sigan con ese nivel de detalle y compromiso. Dominar las llaves y la normalización es lo que separa a un programador aficionado de un verdadero arquitecto de soluciones de datos. ¡Excelente trabajo y sigan así para el cierre del corte!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  Diego Mauricio Zuluaga RodríguezProfesor - Departamento de EconomíaUniversidad de La Sabana</t>
  </si>
  <si>
    <t>⚠️ Seguimiento de Autogestión: Tarea 2 - Normalización y Llaves SQLHola Alessandro,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</si>
  <si>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 Retroalimentación de la Entrega: Normalización y Llaves SQL Integrantes: Alejandra León Vargas, Sofia Giraldo Pico. Calificación Final: 48/50 (Equivalente a 4.8) ¡Hola, equipo! Espero que se encuentren muy bien. He revisado su entrega y quiero felicitarlas por el excelente nivel técnico que demostraron en la estructuración de esta base de datos relacional.La explicación que incluyeron en la celda de Markdown sobre la relación 1:N (Uno a Muchos) es muy clara y va directo al punto. Entender que la normalización nos salva de duplicar información y cometer errores de actualización es la base de una buena arquitectura de software.En cuanto al código, me pareció una decisión muy interesante y válida utilizar una base de datos en memoria (':memory:') para hacer sus pruebas. Es una excelente práctica para entornos de desarrollo rápido y demuestra que comprenden cómo funciona el motor de SQLite. Además, la implementación de executemany para insertar varios registros a la vez nos indica que están investigando y optimizando su código, ¡muy bien hecho!La consulta INNER JOIN está perfectamente redactada utilizando alias (p y pr), lo cual hace que el código SQL sea muy limpio, legible y profesional. Oportunidad de Mejora (Autogestión):El único detalle en su entrega es que guardaron el archivo .ipynb sin los resultados de ejecución (las celdas de salida o outputs están vacías). Como indicaban las instrucciones, el resultado de la consulta JOIN debía ser visible en la salida de la celda. Para futuros proyectos y parciales, recuerden siempre ejecutar todo el Notebook (Run All) y guardar el archivo con las salidas visibles antes de subirlo a Teams, ya que en la vida real, los clientes o jefes necesitan ver los resultados impresos en pantalla, no solo el código fuente.Sigan con esta misma motivación y curiosidad técnica. Tienen una lógica de programación muy estructurada que les será de gran utilidad para escalar su MVP en el Taller del Corte 2. ¡Excelente trabajo, sigan así!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la sintaxis correcta.15.015.0Documentación y FormatoEntrega en .ipynb. Penalización menor por no dejar las salidas (outputs) visibles tras la ejecución.5.03.0TOTAL50.048.0  Diego Mauricio Zuluaga RodríguezProfesor - Departamento de EconomíaUniversidad de La Sabana</t>
  </si>
  <si>
    <t>⚠️ Seguimiento de Autogestión: Tarea 2 - Normalización y Llaves SQLHola María Juliana,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</si>
  <si>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 Retroalimentación de la Entrega: Normalización y Llaves SQL Integrantes: Juan David Neuta Medina, Laura Fernanda López Parra, José Daniel Escobar Hurtado. Calificación Final: 50/50 (Equivalente a 5.0) ¡Hola, equipo! He revisado su entrega y quiero felicitarlos por el altísimo nivel de profesionalismo y detalle técnico que han demostrado. Este es, sin duda, un trabajo de calidad excepcional que va más allá de lo solicitado.Su explicación en la celda de Markdown sobre la relación 1:N y la justificación de la Llave Foránea es de nivel universitario avanzado. La tabla comparativa que crearon para explicar los problemas de redundancia e inconsistencia es una herramienta pedagógica brillante que demuestra una comprensión profunda de la arquitectura de datos.En la parte técnica, el código es impecable. No solo cumplieron con todos los requisitos, sino que agregaron valor en cada paso:Sanity Check Proactivo: El bloque try-except para demostrar que la restricción de Llave Foránea realmente funciona es una prueba de concepto excelente. Demuestra que no solo escriben código, sino que auditan su comportamiento.Eficiencia en la Inserción: El uso de executemany para insertar los datos en bloque es la forma correcta y más eficiente de poblar una base de datos.Presentación de Datos: La consulta JOIN es perfecta, pero la forma en que formatearon la salida en consola para que se vea como una tabla real (usando f-strings y .ljust()) es un detalle de UX que marca la diferencia.Sigan con este nivel de excelencia. Han demostrado que no solo son capaces de programar, sino de diseñar, documentar y auditar sistemas de datos complejos. Este es el perfil exacto que buscan las empresas líderes en el sector. ¡Felicitaciones por un trabajo sobresaliente! Rúbrica de CalificaciónCriterio de EvaluaciónRequisito TécnicoPuntaje MáximoPuntaje ObtenidoDiseño LógicoExplicación detallada de la relación 1:N y justificación de la normalización.10.010.0Creación de TablasUso correcto de PK y FK con la estructura solicitada.10.010.0Inserción y Sanity CheckDatos coherentes insertados y prueba de la restricción de FK.10.010.0Consulta JOINImplementación exitosa de INNER JOIN con salida visible y formateada.15.015.0Documentación y FormatoUso de comentarios, Markdown y entrega en .ipynb.5.05.0TOTAL50.050.0  Diego Mauricio Zuluaga RodríguezProfesor - Departamento de EconomíaUniversidad de La Sabana</t>
  </si>
  <si>
    <t>🔗 Retroalimentación de la Entrega: Normalización y Llaves SQLIntegrantes: Sebastián Vanoy Gutiérrez, Samuel David Lozano Holguín, Samuel Mathias González Bernal.Calificación Final: 50/50 (Equivalente a 5.0)¡Hola, equipo! He revisado su entrega y quiero felicitarlos por el nivel de profundidad y profesionalismo que han demostrado. Este es, sin duda, un trabajo de calidad excepcional que va más allá de simplemente cumplir con los requisitos.Su explicación en la celda de Markdown sobre la relación 1:N y las anomalías de actualización, inserción y eliminación es digna de un libro de texto de bases de datos. Entender por qué se normaliza es mucho más importante que saber cómo hacerlo, y ustedes lo han capturado a la perfección.En la parte técnica, su código es impecable. El uso de executemany para insertar los datos en bloque es una práctica eficiente y profesional. La sintaxis del INNER JOIN, utilizando alias (p para productos y v para proveedores), demuestra que están adoptando las convenciones estándar de SQL para escribir consultas limpias y legibles.Finalmente, la presentación del resultado de la consulta JOIN es sobresaliente. Tomarse el tiempo de formatear los encabezados y alinear las columnas con f-strings (f"{nombre:&amp;lt;20}") es un detalle de calidad que marca la diferencia entre un simple script y un reporte profesional listo para ser presentado a un gerente.Sigan con este nivel de excelencia. Han demostrado una capacidad de autogestión y un rigor técnico que los prepara no solo para el Taller del Corte 2, sino para enfrentar proyectos de datos en el mundo real. ¡Felicitaciones por este gran trabajo!Rúbrica de CalificaciónCriterio de EvaluaciónRequisito TécnicoPuntaje MáximoPuntaje ObtenidoDiseño LógicoExplicación detallada de la relación 1:N, anomalías y justificación de la FK en Markdown.10.010.0Creación de TablasUso correcto de PK y FK con la estructura solicitada.10.010.0Inserción y Sanity CheckDatos coherentes insertados respetando la jerarquía de tablas.10.010.0Consulta JOINImplementación exitosa de INNER JOIN con salida visible y formato profesional.15.015.0Documentación y FormatoUso de comentarios, celdas Markdown y entrega en .ipynb.5.05.0TOTAL50.050.0Diego Mauricio Zuluaga RodríguezProfesor - Departamento de EconomíaUniversidad de La Sabana</t>
  </si>
  <si>
    <t>🔗 Retroalimentación de la Entrega: Normalización y Llaves SQLIntegrantes: Valeria Morales, Isabella Carranza Tapiero, Paula Andrea Arciniegas Cárdenas.Calificación Final: 40/50 (Equivalente a 4.0 - Se restan 10 unidades por el retraso de 16 horas en la entrega)¡Hola, equipo! Qué gusto saludarlas. He revisado detalladamente su entrega y quiero felicitarlas porque han presentado un trabajo de altísimo nivel. Se nota que no solo se limitaron a seguir las instrucciones, sino que realmente comprendieron la arquitectura detrás de una base de datos relacional profesional.Me pareció excelente la introducción en Markdown donde explican la relación Uno a Muchos (1:N). La claridad con la que justifican el uso de llaves foráneas para evitar la redundancia y garantizar la integridad referencial es impecable. Ese es el tipo de pensamiento analítico que buscamos en la EICEA: entender el "porqué" antes del "cómo".En la parte técnica, quiero destacar tres puntos que elevaron la calidad de su tarea. Primero, la activación del PRAGMA foreign_keys = ON;, un paso que suele olvidarse pero que es vital. Segundo, el uso de executemany para insertar datos, lo cual es una práctica de optimización muy valiosa. Y tercero, mi parte favorita: el ejercicio de validación con try-except. Intentar insertar un proveedor inexistente para forzar el error y comprobar que la base de datos está "blindada" es una muestra de Autogestión y curiosidad técnica excepcional.El resultado del INNER JOIN es perfecto. Lograron cruzar las tablas de forma limpia y la presentación de la lista de productos en la consola es muy legible y profesional. Han construido una base sólida para el sistema de la cafetería, asegurando que los datos tengan "memoria" y estructura a largo plazo.Sigan con esa rigurosidad y atención al detalle. Están demostrando habilidades de arquitectura de datos que les serán de gran utilidad en el Taller del Corte 2 y en su vida profesional. ¡Excelente trabajo y disfruten su merecido descanso!Rúbrica de CalificaciónCriterio de EvaluaciónRequisito TécnicoPuntaje MáximoPuntaje ObtenidoDiseño LógicoExplicación clara de la relación 1:N e integridad referencial en Markdown.10.010.0Creación de TablasUso correcto de PK y FK con la estructura solicitada y activación de PRAGMA.10.010.0Inserción y Sanity CheckDatos coherentes e implementación de prueba de error con try-except.10.010.0Consulta JOINImplementación exitosa de INNER JOIN con salida formateada y clara.15.015.0Documentación y FormatoUso de comentarios, estructura organizada y entrega en formato .ipynb.5.05.0TOTAL50.040.0Diego Mauricio Zuluaga RodríguezProfesor - Departamento de EconomíaUniversidad de La Sabana</t>
  </si>
  <si>
    <t>🔗 Retroalimentación de la Entrega: Normalización y Llaves SQLIntegrantes: Mariana Peña Rodríguez, Matías Mondragón Osorio, Arianne Mariana Amorocho Quiroga.Calificación Final: 50/50 (Equivalente a 5.0)¡Hola, equipo! Es un gusto saludarlos. He revisado su entrega y quiero felicitarlos por la excelente calidad de su trabajo. Han logrado aterrizar conceptos complejos de arquitectura de datos en una solución práctica, limpia y profesional para nuestra "Cafetería U. Sabana".Me pareció impecable su explicación en la celda de Markdown sobre la relación Uno a Muchos (1:N). Entender que un proveedor puede abastecer múltiples productos, pero que cada producto debe tener un origen rastreable, es la base de una buena gestión logística. Su justificación sobre la integridad referencial y la eliminación de la redundancia demuestra que tienen una visión clara de cómo se estructuran los datos en el mundo real para evitar errores administrativos.En la parte técnica, los felicito por no olvidar el comando PRAGMA foreign_keys = ON;. Es un detalle que a muchos se les escapa, pero que es vital para que SQLite realmente proteja las relaciones entre las tablas. Además, el uso de INSERT OR IGNORE fue una decisión muy inteligente de su parte (Autogestión), ya que permite ejecutar el código varias veces sin que el programa colapse por llaves primarias duplicadas.El resultado del INNER JOIN es exactamente lo que se solicitó. Ver en una sola tabla el nombre del producto junto al nombre de su proveedor es el "momento de la verdad" en las bases de datos relacionales, y ustedes lo lograron con una sintaxis SQL perfecta.Sigan con ese nivel de detalle y compromiso. Dominar las llaves y la normalización es lo que separa a un programador aficionado de un verdadero arquitecto de soluciones de datos. ¡Excelente trabajo y sigan así para el cierre del corte!Rúbrica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.ipynb.5.05.0TOTAL50.050.0Diego Mauricio Zuluaga RodríguezProfesor - Departamento de EconomíaUniversidad de La Sabana</t>
  </si>
  <si>
    <t>⚠️ Seguimiento de Autogestión: Tarea 2 - Normalización y Llaves SQLHola Mariana,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</si>
  <si>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 Seguimiento de Autogestión: Tarea 2 - Normalización y Llaves SQLHola Cristian,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t>
  </si>
  <si>
    <t>🔗 Retroalimentación de la Entrega: Normalización y Llaves SQL Integrantes: Nicolas Torres Calderon, Juan Camilo Leyton Lancheros, Cristian Bermudez. Calificación Final: 50/50 (Equivalente a 5.0) ¡Hola, equipo! Es un gusto saludarlos. He revisado detalladamente su entrega y quiero felicitarlos por la excelente calidad técnica y conceptual que han demostrado en este ejercicio de arquitectura de datos.Me pareció muy acertada la explicación inicial en el bloque de Markdown. Identificar con claridad la relación 1:N (Uno a Muchos) entre proveedores y productos es el primer paso para diseñar sistemas escalables. Entendieron perfectamente que la Llave Foránea (FK) es la herramienta que nos permite eliminar la redundancia y proteger la integridad de la información, evitando repetir datos innecesarios en cada fila.En la implementación técnica, destaco tres puntos fundamentales que demuestran su nivel de atención al detalle: primero, el uso correcto del comando PRAGMA foreign_keys = ON;, el cual es obligatorio para que SQLite valide las relaciones; segundo, la estrategia de usar DROP TABLE IF EXISTS, que facilita enormemente las pruebas y el despliegue del código sin errores de tablas duplicadas; y tercero, el uso de parámetros posicionales (?) en los INSERT, lo cual es una excelente práctica de seguridad.Finalmente, la consulta con INNER JOIN funciona a la perfección. Lograron reconstruir la información de dos tablas distintas para presentar un reporte coherente y útil para el negocio. Ver el nombre de la empresa proveedora junto al producto es el resultado de una base de datos bien normalizada.Sigan con este nivel de compromiso y rigurosidad. Dominar la estructura de las bases de datos relacionales es una de las habilidades más valoradas en el análisis de datos moderno y les servirá de base para el éxito en su Taller del Corte 2.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estructura limpia y entrega en .ipynb.5.05.0TOTAL50.050.0  Diego Mauricio Zuluaga RodríguezProfesor - Departamento de EconomíaUniversidad de La Sabana</t>
  </si>
  <si>
    <t>🗄️ Retroalimentación de la Entrega: Tarea 1 - Clase 7 - CRUD en SQLite Grupo: Maria Juliana Mejia Quintero, Valery Linares Hernandez, Maria Jose Botero Galviz. Calificación Final: 50/50 (Equivalente a 5.0) ¡Hola, equipo! Quiero felicitarlas por este excelente trabajo. Han demostrado un dominio técnico sobresaliente de la interacción con bases de datos relacionales, que es una de las habilidades más demandadas en el mercado laboral para cualquier analista de datos o desarrollador.Me impresionó mucho la calidad de su código. La forma en que estructuraron las funciones CRUD para cada módulo (Cliente, Proveedor, Ventas) es limpia, modular y muy profesional. Han aplicado correctamente el uso de parámetros seguros (?) en cada consulta, lo cual es fundamental para la seguridad del sistema.Además, han ido un paso más allá de lo solicitado, implementando funcionalidades avanzadas como la restricción CHECK en la tabla Cliente para validar el tipo de usuario, y el manejo de excepciones try-except para capturar errores de integridad (como un email duplicado). Esto demuestra que no solo están aprendiendo a escribir código, sino a pensar como verdaderas arquitectas de software, anticipándose a los problemas.La implementación de las Llaves Foráneas (FK) y las consultas JOIN en el módulo de ventas es impecable. Lograron reconstruir la información de manera eficiente, que es el corazón de las bases de datos relacionales.Sigan con este nivel de profundidad y atención al detalle. Están construyendo un portafolio técnico muy sólido y demostrando una capacidad de autogestión y aprendizaje excepcional. ¡Felicitaciones! 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 para cada módulo.15.015.0Seguridad y RobustezUso de parámetros seguros (?) y manejo de excepciones (IntegrityError).10.010.0Pruebas y DocumentaciónPruebas ejecutables en el código y comentarios explicativos claros.10.010.0TOTAL50.050.0  Diego Mauricio Zuluaga RodríguezProfesor - Departamento de EconomíaUniversidad de La Sabana</t>
  </si>
  <si>
    <t>🔗 Retroalimentación de la Entrega: Normalización y Llaves SQLEstudiante: Sofia Giraldo Pico Calificación Final: 50/50 (Equivalente a 5.0) ¡Hola, Sofia! Qué gusto saludarte. He revisado detalladamente tu entrega y quiero felicitarte por el nivel de profesionalismo y claridad que has demostrado en este ejercicio. Has logrado capturar la esencia de la arquitectura de datos relacionales con una precisión admirable.Tu explicación sobre el diseño lógico es impecable. Lograste articular de forma sencilla por qué la relación Uno a Muchos (1:N) es la base para evitar la redundancia y proteger la integridad referencial. Es muy gratificante ver que comprendes que una base de datos no es solo un depósito de información, sino un sistema estructurado para facilitar la toma de decisiones. En la parte técnica, destaco tres puntos fundamentales que elevan la calidad de tu trabajo:El uso correcto del comando PRAGMA foreign_keys = ON;, el cual es vital para que SQLite realmente valide las relaciones.La implementación de id_producto como AUTOINCREMENT, lo que demuestra una buena práctica en el diseño de llaves primarias.El uso de la librería Pandas (pd.read_sql_query) para visualizar el resultado del INNER JOIN. Esta es una muestra de proactividad y autogestión, ya que utilizaste herramientas vistas en clases de analítica para presentar un reporte mucho más limpio y profesional.Sigue con esa curiosidad y rigor técnico. Dominar las llaves y la normalización es lo que te permitirá, en un futuro cercano, diseñar sistemas robustos para cualquier área de la economía o los negocios.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estructura limpia y entrega en .ipynb.5.05.0TOTAL50.050.0  Diego Mauricio Zuluaga RodríguezProfesor - Departamento de EconomíaUniversidad de La Sabana</t>
  </si>
  <si>
    <t>🔗 Retroalimentación de la Entrega: Normalización y Llaves SQL Integrantes: Valeria Morales, Isabella Carranza Tapiero, Paula Andrea Arciniegas Cárdenas. Calificación Final: 50/50 (Equivalente a 5.0) ¡Hola, equipo! Qué gusto saludarlas. He revisado detalladamente su entrega y quiero felicitarlas porque han presentado un trabajo de altísimo nivel. Se nota que no solo se limitaron a seguir las instrucciones, sino que realmente comprendieron la arquitectura detrás de una base de datos relacional profesional.Me pareció excelente la introducción en Markdown donde explican la relación Uno a Muchos (1:N). La claridad con la que justifican el uso de llaves foráneas para evitar la redundancia y garantizar la integridad referencial es impecable. Ese es el tipo de pensamiento analítico que buscamos en la EICEA: entender el "porqué" antes del "cómo".En la parte técnica, quiero destacar tres puntos que elevaron la calidad de su tarea. Primero, la activación del PRAGMA foreign_keys = ON;, un paso que suele olvidarse pero que es vital. Segundo, el uso de executemany para insertar datos, lo cual es una práctica de optimización muy valiosa. Y tercero, mi parte favorita: el ejercicio de validación con try-except. Intentar insertar un proveedor inexistente para forzar el error y comprobar que la base de datos está "blindada" es una muestra de Autogestión y curiosidad técnica excepcional.El resultado del INNER JOIN es perfecto. Lograron cruzar las tablas de forma limpia y la presentación de la lista de productos en la consola es muy legible y profesional. Han construido una base sólida para el sistema de la cafetería, asegurando que los datos tengan "memoria" y estructura a largo plazo.Sigan con esa rigurosidad y atención al detalle. Están demostrando habilidades de arquitectura de datos que les serán de gran utilidad en el Taller del Corte 2 y en su vida profesional. ¡Excelente trabajo y disfruten su merecido descanso! Rúbrica de CalificaciónCriterio de EvaluaciónRequisito TécnicoPuntaje MáximoPuntaje ObtenidoDiseño LógicoExplicación clara de la relación 1:N e integridad referencial en Markdown.10.010.0Creación de TablasUso correcto de PK y FK con la estructura solicitada y activación de PRAGMA.10.010.0Inserción y Sanity CheckDatos coherentes e implementación de prueba de error con try-except.10.010.0Consulta JOINImplementación exitosa de INNER JOIN con salida formateada y clara.15.015.0Documentación y FormatoUso de comentarios, estructura organizada y entrega en formato .ipynb.5.05.0TOTAL50.050.0  Diego Mauricio Zuluaga RodríguezProfesor - Departamento de EconomíaUniversidad de La Sabana</t>
  </si>
  <si>
    <t>Entrega de Samantha.</t>
  </si>
  <si>
    <t>🗄️ Retroalimentación de la Entrega: Tarea 1 - Clase 8 - Autogestión NoSQL Integrantes: Simon Gustavo Restrepo Alvarez, Mateo Perez Daza, Diego Alejandro Hermida Limas. Calificación Final: 50/50 (Equivalente a 5.0) ¡Hola, equipo! Qué buen trabajo han presentado. Han logrado capturar la esencia del procesamiento de datos en archivos planos, entendiendo que, a diferencia de SQL, aquí la "inteligencia" del proceso de actualización y eliminación recae totalmente en cómo manipulamos la memoria RAM desde Python.Quiero destacar especialmente su pseudocódigo. Está muy bien estructurado y sirvió como una hoja de ruta clara para el desarrollo posterior. Esta es una práctica de autogestión que les ahorrará muchísimo tiempo en proyectos más complejos y en el parcial que se avecina.Técnicamente, la implementación de las funciones actualizar_ciudad_proveedor y eliminar_proveedor es impecable. Aplicaron correctamente el patrón de "Lectura -&amp;gt; Modificación en RAM -&amp;gt; Sobrescritura total", que es el estándar para manejar archivos CSV de forma manual. El uso de encoding="utf-8" y newline="" demuestra atención al detalle para evitar errores comunes de formato en diferentes sistemas operativos.Como una pequeña observación para su crecimiento profesional: en los resultados de sus pruebas se nota que el archivo tiene registros duplicados. Esto sucede porque la función crear_proveedor_csv usa el modo "a" (append), que siempre añade al final. En un sistema real, antes de añadir, se suele verificar si el NIT ya existe para evitar duplicidad de datos. No afecta su nota en esta tarea, pero es un excelente "Sanity Check" para implementar en su Taller del Corte 2.Sigan con esa rigurosidad. Han demostrado que dominan la lógica de persistencia NoSQL y están más que listos para el siguiente nivel con Pandas. ¡Felicitaciones! Rúbrica de CalificaciónCriterio de EvaluaciónRequisito TécnicoPuntaje MáximoPuntaje ObtenidoLógica y DiseñoPseudocódigo detallado y coherente con el código final.10.010.0Clase BaseDefinición correcta de la clase Proveedor con sus atributos.10.010.0Operaciones Create y ReadImplementación funcional para guardar y leer desde el archivo CSV.10.010.0Operaciones Update y DeleteLógica correcta de lectura en RAM, filtrado y sobrescritura.10.010.0Pruebas y DocumentaciónPruebas ejecutables exitosas y comentarios explicativos claros.10.010.0TOTAL50.050.0  Diego Mauricio Zuluaga RodríguezProfesor - Departamento de EconomíaUniversidad de La Sabana</t>
  </si>
  <si>
    <t>Tarea 1 - Clase 8: Autogestión NoSQL</t>
  </si>
  <si>
    <t>🗄️ Retroalimentación de la Entrega: Tarea 1 - Clase 8 - Autogestión NoSQLIntegrantes: Juan Sebastian Salas Hinojosa, Alan David Rossoff Vanegas, Lukas Blanco Llanes.Calificación Final: 50/50 (Equivalente a 5.0)¡Hola, equipo! Qué gusto saludarlos. He revisado detalladamente su implementación del sistema CRUD para proveedores utilizando archivos planos y quiero felicitarlos por el nivel de profesionalismo y rigor técnico que han demostrado en esta entrega.Han captado con total claridad la lógica fundamental de las bases de datos No-Relacionales basadas en archivos: el ciclo de "Lectura total → Modificación en RAM → Sobrescritura". Este entendimiento es vital, pues en el mundo del Big Data y el procesamiento de archivos masivos, esta es la forma en la que operan muchos sistemas de alto rendimiento antes de pasar a motores más complejos.Desde el punto de vista técnico, destaco el uso de csv.DictReader y csv.DictWriter. Utilizar diccionarios para manipular las filas del CSV no solo hace que el código sea más legible, sino que reduce drásticamente la posibilidad de errores por posición de columnas. Además, la función de lectura con formato de tabla en la consola demuestra una excelente atención al detalle y una mentalidad orientada al usuario final (UX).Un punto muy valioso en su proceso de autogestión fue la inclusión de una validación de duplicados en la función crear_proveedor. Aunque el enunciado no lo pedía explícitamente, el hecho de que el programa verifique si el NIT ya existe antes de escribir demuestra que están pensando como verdaderos arquitectos de software, protegiendo la integridad de los datos desde el origen.La prueba integral que incluyeron al final es el "Sanity Check" perfecto. Permite auditar el ciclo de vida completo de un dato dentro del sistema y confirma que su lógica es robusta y a prueba de errores. Sigan con este nivel de excelencia; están construyendo las bases lógicas necesarias para dominar el análisis de datos a gran escala con Pandas y herramientas de Business Intelligence. ¡Excelente trabajo!Rúbrica de CalificaciónCriterio de EvaluaciónRequisito TécnicoPuntaje MáximoPuntaje ObtenidoClase BaseDefinición correcta de la clase Proveedor con atributos y métodos especiales.10.010.0Operaciones Create y ReadImplementación funcional con validación de duplicados y formato de salida profesional.15.015.0Operaciones Update y DeleteLógica impecable de lectura en RAM, filtrado/modificación y sobrescritura.15.015.0Pruebas y DocumentaciónPrueba integral de flujo completo y documentación clara en Markdown.10.010.0TOTAL50.050.0Diego Mauricio Zuluaga RodríguezProfesor - Departamento de EconomíaUniversidad de La Sabana</t>
  </si>
  <si>
    <t>🗄️ Retroalimentación de la Entrega: Tarea 1 - Clase 8 - Autogestión NoSQLIntegrantes: Martin Martin Trujillo Rodriguez, Daniel Camilo Lopez Piraquive, Juan Jose Caballero Mantilla. Calificación Final: 50/50 (Equivalente a 5.0) ¡Hola, equipo! Qué gusto saludarlos. He revisado detalladamente su entrega y quiero felicitarlos por la excelente calidad de su trabajo. Han logrado cumplir con todos los requerimientos técnicos, demostrando una gran capacidad de adaptación y proactividad.Un punto que me llamó gratamente la atención fue su decisión de utilizar la librería Pandas para resolver este reto. Aunque en el Live Coding inicial usamos el módulo estándar csv, el hecho de que hayan integrado lo aprendido en la segunda parte de la clase para aplicarlo aquí es un signo claro de Autogestión y curiosidad técnica.La lógica fundamental de las bases de datos NoSQL en archivos planos se cumple a la perfección en su código: leen el archivo completo a la memoria RAM (en este caso, a un DataFrame), realizan la transformación de los datos (ya sea agregando, editando con .loc o filtrando para eliminar) y finalmente sobrescriben el archivo físico para persistir los cambios.Además, valoro mucho que hayan tenido en cuenta que el método .append() está depreciado en las versiones más recientes de Pandas y hayan optado correctamente por utilizar pd.concat(). Ese tipo de atención a los detalles y a la documentación de las librerías es lo que define a un programador profesional.Las pruebas de ejecución son claras y el estado final del archivo demuestra que el CRUD funciona sin errores. Sigan con ese nivel de compromiso y análisis. Están construyendo una base muy sólida para los retos de Big Data y analítica que cerraremos en este último corte. ¡Excelente trabajo! Rúbrica de CalificaciónCriterio de EvaluaciónRequisito TécnicoPuntaje MáximoPuntaje ObtenidoClase BaseDefinición correcta de la clase Proveedor con sus atributos.10.010.0Operaciones Create y ReadImplementación funcional usando Pandas (concat y read_csv).15.015.0Operaciones Update y DeleteLógica correcta de filtrado y actualización en RAM con sobrescritura.15.015.0Pruebas y DocumentaciónPruebas exitosas de todas las funciones y código limpio.10.010.0TOTAL50.050.0  Diego Mauricio Zuluaga RodríguezProfesor - Departamento de EconomíaUniversidad de La Sabana</t>
  </si>
  <si>
    <t>Hola Juan,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</si>
  <si>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Hola Gabriela,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</si>
  <si>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1 - Clase 8 - Autogestión NoSQLIntegrantes: Martin Martin Trujillo Rodriguez, Daniel Camilo Lopez Piraquive, Juan Jose Caballero Mantilla.Calificación Final: 50/50 (Equivalente a 5.0)¡Hola, equipo! Qué gusto saludarlos. He revisado detalladamente su entrega y quiero felicitarlos por la excelente calidad de su trabajo. Han logrado cumplir con todos los requerimientos técnicos, demostrando una gran capacidad de adaptación y proactividad.Un punto que me llamó gratamente la atención fue su decisión de utilizar la librería Pandas para resolver este reto. Aunque en el Live Coding inicial usamos el módulo estándar csv, el hecho de que hayan integrado lo aprendido en la segunda parte de la clase para aplicarlo aquí es un signo claro de Autogestión y curiosidad técnica.La lógica fundamental de las bases de datos NoSQL en archivos planos se cumple a la perfección en su código: leen el archivo completo a la memoria RAM (en este caso, a un DataFrame), realizan la transformación de los datos (ya sea agregando, editando con .loc o filtrando para eliminar) y finalmente sobrescriben el archivo físico para persistir los cambios.Además, valoro mucho que hayan tenido en cuenta que el método .append() está depreciado en las versiones más recientes de Pandas y hayan optado correctamente por utilizar pd.concat(). Ese tipo de atención a los detalles y a la documentación de las librerías es lo que define a un programador profesional.Las pruebas de ejecución son claras y el estado final del archivo demuestra que el CRUD funciona sin errores. Sigan con ese nivel de compromiso y análisis. Están construyendo una base muy sólida para los retos de Big Data y analítica que cerraremos en este último corte. ¡Excelente trabajo!Rúbrica de CalificaciónCriterio de EvaluaciónRequisito TécnicoPuntaje MáximoPuntaje ObtenidoClase BaseDefinición correcta de la clase Proveedor con sus atributos.10.010.0Operaciones Create y ReadImplementación funcional usando Pandas (concat y read_csv).15.015.0Operaciones Update y DeleteLógica correcta de filtrado y actualización en RAM con sobrescritura.15.015.0Pruebas y DocumentaciónPruebas exitosas de todas las funciones y código limpio.10.010.0TOTAL50.050.0Diego Mauricio Zuluaga RodríguezProfesor - Departamento de EconomíaUniversidad de La Sabana</t>
  </si>
  <si>
    <t>🗄️ Retroalimentación de la Entrega: Tarea 1 - Clase 8 - Autogestión NoSQLIntegrantes: Samantha Vanegas Russi, Avril Ariza Quitian.Calificación Final: 50/50 (Equivalente a 5.0)¡Hola, Samantha y Avril! Qué gusto saludarlas. He revisado detalladamente su entrega y quiero empezar felicitándolas por el altísimo nivel de profesionalismo, orden y rigor técnico que demostraron en este Notebook.Su implementación de la clase Proveedor es impecable. El uso del método to_dict junto con la librería csv.DictWriter demuestra que no se limitaron a lo visto en clase, sino que investigaron y aplicaron herramientas más eficientes y modernas para el manejo de archivos en Python. Además, la validación proactiva que incluyeron para evitar la creación de NITs duplicados es un "plus" de lógica de negocio excelente que le da mucha robustez a su sistema.Me encantó el formato visual que le dieron a la función leer_proveedores. El uso de alineación de texto para generar una tabla organizada en la consola facilita enormemente la lectura de los datos. Este tipo de detalles de "User Experience" (UX) son los que marcan la diferencia entre un script funcional y un software profesional.Las funciones de actualización y eliminación capturan perfectamente el concepto central de las bases de datos No-Relacionales basadas en archivos planos: la gestión completa en la memoria RAM antes de realizar la persistencia mediante la sobrescritura del archivo. Su código es limpio, está muy bien documentado y las pruebas de ejecución cubren todos los escenarios posibles, incluyendo el manejo de registros inexistentes.Sigan con esa misma curiosidad técnica y esa atención al detalle. Han superado con creces los requerimientos de la actividad y están demostrando una capacidad de autogestión y diseño de software de alto nivel. ¡Excelente trabajo, equipo!Rúbrica de CalificaciónCriterio de EvaluaciónRequisito TécnicoPuntaje MáximoPuntaje ObtenidoClase BaseDefinición avanzada de la clase Proveedor con métodos auxiliares (to_dict).10.010.0Operaciones Create y ReadImplementación funcional con validación de duplicados y salida formateada.15.015.0Operaciones Update y DeleteLógica correcta de filtrado en RAM y sobrescritura total del archivo CSV.15.015.0Pruebas y DocumentaciónPruebas exhaustivas, uso de tablas resumen y comentarios impecables.10.010.0TOTAL50.050.0Diego Mauricio Zuluaga RodríguezProfesor - Departamento de EconomíaUniversidad de La Sabana</t>
  </si>
  <si>
    <t>Hola Valeria,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</si>
  <si>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1 - Clase 8 - Autogestión NoSQLIntegrantes: Sebastian Vanoy Gutierrez, Samuel David Lozano Holguin, Samuel Mathias Gonzalez Bernal.Calificación Final: 50/50 (Equivalente a 5.0)¡Hola, equipo! Qué gusto saludarlos. He revisado detalladamente su entrega y quiero felicitarlos por el excelente nivel de comprensión que han demostrado sobre el manejo de bases de datos No-Relacionales basadas en archivos planos.Su implementación del ciclo CRUD es impecable. Lograron captar la esencia de la persistencia en archivos CSV: el proceso de cargar la información a la memoria RAM, procesarla con Python y devolverla al disco duro mediante la sobrescritura. Este es un concepto fundamental para entender cómo funcionan los sistemas de procesamiento de datos a gran escala.Un punto que quiero destacar especialmente es la calidad de su documentación. Se tomaron el tiempo de explicar para qué sirve cada librería (csv, os), qué significan los modos de apertura ('a', 'r', 'w') y por qué es importante el parámetro newline=''. Este nivel de detalle no solo hace que su código sea profesional, sino que demuestra una autogestión del aprendizaje superior.Las pruebas de ejecución al final del Notebook son claras y cubren todos los escenarios: creación, lectura, actualización y eliminación. Ver que el sistema responde correctamente a cada comando es el "Sanity Check" que garantiza que su lógica es robusta y está lista para ser aplicada en proyectos más complejos.Sigan con esa misma disciplina y atención al detalle. Están construyendo las bases técnicas necesarias para destacar como analistas y tomadores de decisiones en la era del Big Data. ¡Excelente trabajo!Rúbrica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comentado.10.010.0TOTAL50.050.0Diego Mauricio Zuluaga RodríguezProfesor - Departamento de EconomíaUniversidad de La Sabana</t>
  </si>
  <si>
    <t>Hola María José,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</si>
  <si>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Hola Samuel,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</si>
  <si>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1 - Clase 8 - Autogestión NoSQLIntegrantes: Samantha Vanegas Russi, Avril Ariza Quitian. Calificación Final: 50/50 (Equivalente a 5.0) ¡Hola, Samantha y Avril! Qué gusto saludarlas. He revisado detalladamente su entrega y quiero empezar felicitándolas por el altísimo nivel de profesionalismo, orden y rigor técnico que demostraron en este Notebook.Su implementación de la clase Proveedor es impecable. El uso del método to_dict junto con la librería csv.DictWriter demuestra que no se limitaron a lo visto en clase, sino que investigaron y aplicaron herramientas más eficientes y modernas para el manejo de archivos en Python. Además, la validación proactiva que incluyeron para evitar la creación de NITs duplicados es un "plus" de lógica de negocio excelente que le da mucha robustez a su sistema.Me encantó el formato visual que le dieron a la función leer_proveedores. El uso de alineación de texto para generar una tabla organizada en la consola facilita enormemente la lectura de los datos. Este tipo de detalles de "User Experience" (UX) son los que marcan la diferencia entre un script funcional y un software profesional.Las funciones de actualización y eliminación capturan perfectamente el concepto central de las bases de datos No-Relacionales basadas en archivos planos: la gestión completa en la memoria RAM antes de realizar la persistencia mediante la sobrescritura del archivo. Su código es limpio, está muy bien documentado y las pruebas de ejecución cubren todos los escenarios posibles, incluyendo el manejo de registros inexistentes.Sigan con esa misma curiosidad técnica y esa atención al detalle. Han superado con creces los requerimientos de la actividad y están demostrando una capacidad de autogestión y diseño de software de alto nivel. ¡Excelente trabajo, equipo! Rúbrica de CalificaciónCriterio de EvaluaciónRequisito TécnicoPuntaje MáximoPuntaje ObtenidoClase BaseDefinición avanzada de la clase Proveedor con métodos auxiliares (to_dict).10.010.0Operaciones Create y ReadImplementación funcional con validación de duplicados y salida formateada.15.015.0Operaciones Update y DeleteLógica correcta de filtrado en RAM y sobrescritura total del archivo CSV.15.015.0Pruebas y DocumentaciónPruebas exhaustivas, uso de tablas resumen y comentarios impecables.10.010.0TOTAL50.050.0  Diego Mauricio Zuluaga RodríguezProfesor - Departamento de EconomíaUniversidad de La Sabana</t>
  </si>
  <si>
    <t>🗄️ Retroalimentación de la Entrega: Tarea 1 - Clase 8 - Autogestión NoSQL Integrantes: Juan Sebastian Salas Hinojosa, Alan David Rossoff Vanegas, Lukas Blanco Llanes. Calificación Final: 50/50 (Equivalente a 5.0) ¡Hola, equipo! Qué gusto saludarlos. He revisado detalladamente su implementación del sistema CRUD para proveedores utilizando archivos planos y quiero felicitarlos por el nivel de profesionalismo y rigor técnico que han demostrado en esta entrega.Han captado con total claridad la lógica fundamental de las bases de datos No-Relacionales basadas en archivos: el ciclo de "Lectura total → Modificación en RAM → Sobrescritura". Este entendimiento es vital, pues en el mundo del Big Data y el procesamiento de archivos masivos, esta es la forma en la que operan muchos sistemas de alto rendimiento antes de pasar a motores más complejos.Desde el punto de vista técnico, destaco el uso de csv.DictReader y csv.DictWriter. Utilizar diccionarios para manipular las filas del CSV no solo hace que el código sea más legible, sino que reduce drásticamente la posibilidad de errores por posición de columnas. Además, la función de lectura con formato de tabla en la consola demuestra una excelente atención al detalle y una mentalidad orientada al usuario final (UX).Un punto muy valioso en su proceso de autogestión fue la inclusión de una validación de duplicados en la función crear_proveedor. Aunque el enunciado no lo pedía explícitamente, el hecho de que el programa verifique si el NIT ya existe antes de escribir demuestra que están pensando como verdaderos arquitectos de software, protegiendo la integridad de los datos desde el origen.La prueba integral que incluyeron al final es el "Sanity Check" perfecto. Permite auditar el ciclo de vida completo de un dato dentro del sistema y confirma que su lógica es robusta y a prueba de errores. Sigan con este nivel de excelencia; están construyendo las bases lógicas necesarias para dominar el análisis de datos a gran escala con Pandas y herramientas de Business Intelligence. ¡Excelente trabajo! Rúbrica de CalificaciónCriterio de EvaluaciónRequisito TécnicoPuntaje MáximoPuntaje ObtenidoClase BaseDefinición correcta de la clase Proveedor con atributos y métodos especiales.10.010.0Operaciones Create y ReadImplementación funcional con validación de duplicados y formato de salida profesional.15.015.0Operaciones Update y DeleteLógica impecable de lectura en RAM, filtrado/modificación y sobrescritura.15.015.0Pruebas y DocumentaciónPrueba integral de flujo completo y documentación clara en Markdown.10.010.0TOTAL50.050.0  Diego Mauricio Zuluaga RodríguezProfesor - Departamento de EconomíaUniversidad de La Sabana</t>
  </si>
  <si>
    <t>🗄️ Retroalimentación de la Entrega: Tarea 1 - Clase 8 - Autogestión NoSQLIntegrantes: Juan David Neuta Medina, Laura Fernanda Lopez Parra, Jose Daniel Escobar Hurtado.Calificación Final: 50/50 (Equivalente a 5.0)¡Hola, Juan David, Laura y Jose Daniel! Es un gusto saludarlos. He revisado detalladamente su entrega y debo decir que han elevado el estándar de esta actividad. No solo cumplieron con los requerimientos básicos del módulo de proveedores, sino que demostraron una capacidad de abstracción y arquitectura de software propia de analistas senior.Lo que más destaco de su trabajo es la creación de funciones CRUD genéricas. El uso de herramientas como getattr() para mapear dinámicamente los nombres de las columnas del CSV con los atributos de sus clases es una solución elegante y avanzada. Esto permite que su sistema sea escalable: si mañana la cafetería necesita un módulo de "Inventario" o "Empleados", sus funciones actuales servirían sin necesidad de reescribir código.Otro punto muy valioso fue la implementación de la inicialización de datos aleatorios con la librería random. Esto no solo hace que las pruebas sean más dinámicas, sino que garantiza que la lógica de sus funciones (especialmente la de actualización y eliminación) funcione correctamente bajo diferentes escenarios de datos, lo cual es un "Sanity Check" de alto nivel.En cuanto a la lógica técnica de NoSQL, aplicaron perfectamente el patrón de lectura en RAM y sobrescritura completa del archivo. Sus funciones de actualizar_campo_entidad y eliminar_entidad_csv manejan los índices de forma precisa, asegurando que la integridad del archivo plano se mantenga intacta tras cada operación.Sigan con esa curiosidad técnica y ese enfoque de "diseñar una vez para usar muchas veces". Tienen una mentalidad de programadores muy estructurada que les facilitará enormemente el camino en el análisis de datos masivos. ¡Excelente trabajo y mucha motivación para el cierre del corte!Rúbrica de CalificaciónCriterio de EvaluaciónRequisito TécnicoPuntaje MáximoPuntaje ObtenidoClase BaseDefinición de Proveedor y uso de múltiples entidades adicionales.10.010.0Operaciones Create y ReadImplementación de funciones genéricas y específicas para persistencia en CSV.15.015.0Operaciones Update y DeleteLógica impecable de manipulación en memoria y sobrescritura de archivos.15.015.0Pruebas y DocumentaciónPruebas dinámicas con datos aleatorios y código muy bien estructurado.10.010.0TOTAL50.050.0Diego Mauricio Zuluaga RodríguezProfesor - Departamento de EconomíaUniversidad de La Sabana</t>
  </si>
  <si>
    <t>🗄️ Retroalimentación de la Entrega: Tarea 1 - Clase 8 - Autogestión NoSQLIntegrantes: Mariana Peña Rodríguez, Matías Mondragón Osorio, Arianne Mariana Amorocho Quiroga.Calificación Final: 50/50 (Equivalente a 5.0)¡Hola, equipo! Es un gusto saludarlos. He revisado su entrega y quiero felicitarlos por el excelente trabajo que han realizado. Han comprendido a la perfección la lógica detrás de las Bases de Datos No-Relacionales basadas en archivos planos.Me gustó mucho cómo estructuraron el código. La definición de la clase Proveedor es clara y cumple con los requerimientos. Además, los comentarios que incluyeron en cada función demuestran que no solo escribieron el script, sino que entienden exactamente qué hace cada línea, destacando especialmente la comprensión del manejo de la memoria RAM y los modos de apertura de archivos ('a', 'r', 'w').En las operaciones de actualización (Update) y eliminación (Delete), aplicaron correctamente el patrón necesario para los archivos CSV: leer todo el contenido, modificar o filtrar los datos en la memoria, y sobrescribir el archivo completo. Esta es una habilidad fundamental para entender cómo se procesan los datos a bajo nivel antes de pasar a herramientas más avanzadas.Las pruebas de ejecución al final del Notebook son el "Sanity Check" perfecto. Ver cómo el sistema crea, lee, actualiza y elimina a los proveedores sin errores confirma la robustez de su lógica y su capacidad de autogestión.Sigan con este nivel de dedicación y análisis. Dominar el manejo de archivos planos es el primer gran paso para convertirse en expertos en el procesamiento masivo de datos. ¡Excelente trabajo y sigan así!Rúbrica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comentado.10.010.0TOTAL50.050.0Diego Mauricio Zuluaga RodríguezProfesor - Departamento de EconomíaUniversidad de La Sabana</t>
  </si>
  <si>
    <t>🗄️ Retroalimentación de la Entrega: Tarea 1 - Clase 8 - Autogestión NoSQLIntegrantes: Simon Gustavo Restrepo Alvarez, Mateo Perez Daza, Diego Alejandro Hermida Limas.Calificación Final: 50/50 (Equivalente a 5.0)¡Hola, equipo! Qué buen trabajo han presentado. Han logrado capturar la esencia del procesamiento de datos en archivos planos, entendiendo que, a diferencia de SQL, aquí la "inteligencia" del proceso de actualización y eliminación recae totalmente en cómo manipulamos la memoria RAM desde Python.Quiero destacar especialmente su pseudocódigo. Está muy bien estructurado y sirvió como una hoja de ruta clara para el desarrollo posterior. Esta es una práctica de autogestión que les ahorrará muchísimo tiempo en proyectos más complejos y en el parcial que se avecina.Técnicamente, la implementación de las funciones actualizar_ciudad_proveedor y eliminar_proveedor es impecable. Aplicaron correctamente el patrón de "Lectura -&amp;gt; Modificación en RAM -&amp;gt; Sobrescritura total", que es el estándar para manejar archivos CSV de forma manual. El uso de encoding="utf-8" y newline="" demuestra atención al detalle para evitar errores comunes de formato en diferentes sistemas operativos.Como una pequeña observación para su crecimiento profesional: en los resultados de sus pruebas se nota que el archivo tiene registros duplicados. Esto sucede porque la función crear_proveedor_csv usa el modo "a" (append), que siempre añade al final. En un sistema real, antes de añadir, se suele verificar si el NIT ya existe para evitar duplicidad de datos. No afecta su nota en esta tarea, pero es un excelente "Sanity Check" para implementar en su Taller del Corte 2.Sigan con esa rigurosidad. Han demostrado que dominan la lógica de persistencia NoSQL y están más que listos para el siguiente nivel con Pandas. ¡Felicitaciones!Rúbrica de CalificaciónCriterio de EvaluaciónRequisito TécnicoPuntaje MáximoPuntaje ObtenidoLógica y DiseñoPseudocódigo detallado y coherente con el código final.10.010.0Clase BaseDefinición correcta de la clase Proveedor con sus atributos.10.010.0Operaciones Create y ReadImplementación funcional para guardar y leer desde el archivo CSV.10.010.0Operaciones Update y DeleteLógica correcta de lectura en RAM, filtrado y sobrescritura.10.010.0Pruebas y DocumentaciónPruebas ejecutables exitosas y comentarios explicativos claros.10.010.0TOTAL50.050.0Diego Mauricio Zuluaga RodríguezProfesor - Departamento de EconomíaUniversidad de La Sabana</t>
  </si>
  <si>
    <t>🗄️ Retroalimentación de la Entrega: Tarea 1 - Clase 8 - Autogestión NoSQL Integrantes: Samuel David Simancas Contreras, Juan Sebastian Perdomo Herrera, Daniel Felipe Camacho Pedraza. Calificación Final: 35/50 (Equivalente a 3.5) ¡Hola, equipo! Espero que se encuentren muy bien. He revisado su entrega y quiero compartirles algunas observaciones importantes sobre su desarrollo.Por un lado, lograron estructurar correctamente la clase Proveedor con sus atributos básicos. Además, la lógica que plantearon para las operaciones crear_proveedor y eliminar_proveedor es la adecuada para el manejo de archivos planos (CSV), entendiendo el concepto de leer, filtrar en memoria y sobrescribir el archivo.Sin embargo, debo ser muy estricto con la calidad del código entregado. Su script presenta un error crítico de sintaxis y de alcance (scope) que impide por completo su ejecución. En la tercera celda, definieron la función actualizar_proveedor dentro de la función leer_proveedores, y lo hicieron con un error grave de indentación. Esto genera un colapso inmediato en Python (IndentationError y NameError) al intentar correr las pruebas finales.Como hemos conversado durante todo el semestre, la autogestión y el "Sanity Check" son innegociables. Un CTO o Arquitecto de Software jamás entrega un código sin antes haberlo ejecutado y validado en su propia máquina. Si hubieran corrido la celda de pruebas antes de subir el archivo, habrían detectado el error al instante. Adicionalmente, la entrega carece por completo de documentación, comentarios explicativos o celdas Markdown, lo cual es un estándar exigido en el curso.Tienen la capacidad lógica para resolver los problemas, pero necesitan ser mucho más rigurosos, detallistas y disciplinados con la sintaxis y las pruebas de su código. En el mundo empresarial, un error de indentación en un entorno de producción puede detener la operación de toda una compañía.Los invito a tomar esta retroalimentación como una oportunidad de mejora crítica. Revisen su código en equipo, corrijan estos detalles y apliquen este rigor en sus próximos proyectos. ¡Mucho ánimo, sé que pueden dar un nivel mucho más alto!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de actualización y borrado. (Penalización severa por error de indentación y scope que impide la ejecución).15.05.0Pruebas y DocumentaciónPruebas ejecutables y código comentado. (Las pruebas colapsan y no hay documentación alguna).10.05.0TOTAL50.035.0  Diego Mauricio Zuluaga RodríguezProfesor - Departamento de EconomíaUniversidad de La Sabana</t>
  </si>
  <si>
    <t>Hola Juliana,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</si>
  <si>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1 - Clase 8 - Autogestión NoSQLIntegrantes: Mariana Peña Rodríguez, Matías Mondragón Osorio, Arianne Mariana Amorocho Quiroga. Calificación Final: 50/50 (Equivalente a 5.0) ¡Hola, equipo! Es un gusto saludarlos. He revisado su entrega y quiero felicitarlos por el excelente trabajo que han realizado. Han comprendido a la perfección la lógica detrás de las Bases de Datos No-Relacionales basadas en archivos planos.Me gustó mucho cómo estructuraron el código. La definición de la clase Proveedor es clara y cumple con los requerimientos. Además, los comentarios que incluyeron en cada función demuestran que no solo escribieron el script, sino que entienden exactamente qué hace cada línea, destacando especialmente la comprensión del manejo de la memoria RAM y los modos de apertura de archivos ('a', 'r', 'w').En las operaciones de actualización (Update) y eliminación (Delete), aplicaron correctamente el patrón necesario para los archivos CSV: leer todo el contenido, modificar o filtrar los datos en la memoria, y sobrescribir el archivo completo. Esta es una habilidad fundamental para entender cómo se procesan los datos a bajo nivel antes de pasar a herramientas más avanzadas.Las pruebas de ejecución al final del Notebook son el "Sanity Check" perfecto. Ver cómo el sistema crea, lee, actualiza y elimina a los proveedores sin errores confirma la robustez de su lógica y su capacidad de autogestión.Sigan con este nivel de dedicación y análisis. Dominar el manejo de archivos planos es el primer gran paso para convertirse en expertos en el procesamiento masivo de datos. ¡Excelente trabajo y sigan así!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  Diego Mauricio Zuluaga RodríguezProfesor - Departamento de EconomíaUniversidad de La Sabana</t>
  </si>
  <si>
    <t>Hola Alessandro,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</si>
  <si>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1 - Clase 8 - Autogestión NoSQL Estudiante: Alejandra León Vargas Calificación Final: 50/50 (Equivalente a 5.0) ¡Hola, Alejandra! Qué gusto saludarte. He revisado detalladamente tu entrega y quiero felicitarte por la excelente calidad de tu trabajo. Has comprendido a la perfección la lógica de manipulación de archivos planos para simular una base de datos NoSQL.Me gustó mucho la implementación del método to_list() dentro de tu clase Proveedor. Es una práctica muy limpia que facilita enormemente el proceso de escritura en el CSV, manteniendo el código organizado y profesional.En cuanto a la lógica de actualización y eliminación, realizaste el procedimiento de forma impecable: cargar los datos en la memoria RAM, procesarlos y sobrescribir el archivo original. Además, el uso de try-except para manejar el error de archivo no encontrado (FileNotFoundError) en la función de lectura demuestra que estás pensando en la robustez del programa y en evitar que colapse frente al usuario.Tus pruebas de ejecución son claras y cubren todos los escenarios solicitados, lo que confirma que tu código es funcional y está listo para ser escalado. Sigue con ese nivel de atención al detalle y rigurosidad técnica; estas bases son fundamentales para el procesamiento de datos masivos que seguiremos explorando. ¡Excelente trabajo! Rúbrica de CalificaciónCriterio de EvaluaciónRequisito TécnicoPuntaje MáximoPuntaje ObtenidoClase BaseDefinición correcta de la clase Proveedor y sus atributos.10.010.0Operaciones Create y ReadImplementación funcional para guardar y leer desde el archivo CSV.15.015.0Operaciones Update y DeleteLógica correcta de lectura en RAM, modificación y sobrescritura.15.015.0Pruebas y DocumentaciónPruebas ejecutables exitosas y estructura clara en el Notebook.10.010.0TOTAL50.050.0  Diego Mauricio Zuluaga RodríguezProfesor - Departamento de EconomíaUniversidad de La Sabana</t>
  </si>
  <si>
    <t>🗄️ Retroalimentación de la Entrega: Tarea 1 - Clase 8 - Autogestión NoSQLIntegrantes: Maria Juliana Mejia Quintero, Maria Jose Botero Galviz.Calificación Final: 50/50 (Equivalente a 5.0)¡Hola, equipo! Qué gusto saludarlas. He revisado detalladamente su implementación del sistema CRUD para proveedores utilizando archivos planos y quiero felicitarlas por la claridad y efectividad de su código.Han comprendido perfectamente el desafío técnico de las bases de datos NoSQL basadas en archivos: la necesidad de gestionar la persistencia manualmente. Me gustó mucho ver que aplicaron correctamente el patrón de "Lectura total -&amp;gt; Modificación en RAM -&amp;gt; Sobrescritura", especialmente en las funciones de actualización y eliminación. Este es el fundamento del procesamiento de datos que utilizaremos más adelante.Un punto muy positivo en su entrega es el uso de os.path.exists en la función de lectura. Este pequeño detalle de "programación defensiva" evita que el programa colapse si el archivo aún no ha sido creado, lo cual demuestra una excelente atención al detalle y un pensamiento orientado a la experiencia del usuario.Como recomendación para futuros proyectos, podrían considerar la inclusión de una fila de encabezados (Headers) al crear el archivo por primera vez. Esto facilita mucho la interpretación de los datos cuando el archivo se abre en herramientas externas como Excel o Power BI. Sin embargo, para los requerimientos de esta tarea, su lógica es impecable.Sigan con esa dedicación y orden. Están demostrando las competencias necesarias para gestionar arquitecturas de datos robustas. ¡Mucho ánimo para el cierre del corte y sigan trabajando así de bien!Rúbrica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estructura clara.10.010.0TOTAL50.050.0Diego Mauricio Zuluaga RodríguezProfesor - Departamento de EconomíaUniversidad de La Sabana</t>
  </si>
  <si>
    <t>🗄️ Retroalimentación de la Entrega: Tarea 1 - Clase 8 - Autogestión NoSQL Integrantes: Maria Juliana Mejia Quintero, Maria Jose Botero Galviz. Calificación Final: 50/50 (Equivalente a 5.0) ¡Hola, equipo! Qué gusto saludarlas. He revisado detalladamente su implementación del sistema CRUD para proveedores utilizando archivos planos y quiero felicitarlas por la claridad y efectividad de su código.Han comprendido perfectamente el desafío técnico de las bases de datos NoSQL basadas en archivos: la necesidad de gestionar la persistencia manualmente. Me gustó mucho ver que aplicaron correctamente el patrón de "Lectura total -&amp;gt; Modificación en RAM -&amp;gt; Sobrescritura", especialmente en las funciones de actualización y eliminación. Este es el fundamento del procesamiento de datos que utilizaremos más adelante.Un punto muy positivo en su entrega es el uso de os.path.exists en la función de lectura. Este pequeño detalle de "programación defensiva" evita que el programa colapse si el archivo aún no ha sido creado, lo cual demuestra una excelente atención al detalle y un pensamiento orientado a la experiencia del usuario.Como recomendación para futuros proyectos, podrían considerar la inclusión de una fila de encabezados (Headers) al crear el archivo por primera vez. Esto facilita mucho la interpretación de los datos cuando el archivo se abre en herramientas externas como Excel o Power BI. Sin embargo, para los requerimientos de esta tarea, su lógica es impecable.Sigan con esa dedicación y orden. Están demostrando las competencias necesarias para gestionar arquitecturas de datos robustas. ¡Mucho ánimo para el cierre del corte y sigan trabajando así de bien!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estructura clara.10.010.0TOTAL50.050.0  Diego Mauricio Zuluaga RodríguezProfesor - Departamento de EconomíaUniversidad de La Sabana</t>
  </si>
  <si>
    <t>🗄️ Retroalimentación de la Entrega: Tarea 1 - Clase 8 - Autogestión NoSQL Integrantes: Juan David Neuta Medina, Laura Fernanda Lopez Parra, Jose Daniel Escobar Hurtado. Calificación Final: 50/50 (Equivalente a 5.0) ¡Hola, Juan David, Laura y Jose Daniel! Es un gusto saludarlos. He revisado detalladamente su entrega y debo decir que han elevado el estándar de esta actividad. No solo cumplieron con los requerimientos básicos del módulo de proveedores, sino que demostraron una capacidad de abstracción y arquitectura de software propia de analistas senior.Lo que más destaco de su trabajo es la creación de funciones CRUD genéricas. El uso de herramientas como getattr() para mapear dinámicamente los nombres de las columnas del CSV con los atributos de sus clases es una solución elegante y avanzada. Esto permite que su sistema sea escalable: si mañana la cafetería necesita un módulo de "Inventario" o "Empleados", sus funciones actuales servirían sin necesidad de reescribir código.Otro punto muy valioso fue la implementación de la inicialización de datos aleatorios con la librería random. Esto no solo hace que las pruebas sean más dinámicas, sino que garantiza que la lógica de sus funciones (especialmente la de actualización y eliminación) funcione correctamente bajo diferentes escenarios de datos, lo cual es un "Sanity Check" de alto nivel.En cuanto a la lógica técnica de NoSQL, aplicaron perfectamente el patrón de lectura en RAM y sobrescritura completa del archivo. Sus funciones de actualizar_campo_entidad y eliminar_entidad_csv manejan los índices de forma precisa, asegurando que la integridad del archivo plano se mantenga intacta tras cada operación.Sigan con esa curiosidad técnica y ese enfoque de "diseñar una vez para usar muchas veces". Tienen una mentalidad de programadores muy estructurada que les facilitará enormemente el camino en el análisis de datos masivos. ¡Excelente trabajo y mucha motivación para el cierre del corte! Rúbrica de CalificaciónCriterio de EvaluaciónRequisito TécnicoPuntaje MáximoPuntaje ObtenidoClase BaseDefinición de Proveedor y uso de múltiples entidades adicionales.10.010.0Operaciones Create y ReadImplementación de funciones genéricas y específicas para persistencia en CSV.15.015.0Operaciones Update y DeleteLógica impecable de manipulación en memoria y sobrescritura de archivos.15.015.0Pruebas y DocumentaciónPruebas dinámicas con datos aleatorios y código muy bien estructurado.10.010.0TOTAL50.050.0  Diego Mauricio Zuluaga RodríguezProfesor - Departamento de EconomíaUniversidad de La Sabana</t>
  </si>
  <si>
    <t>🗄️ Retroalimentación de la Entrega: Tarea 1 - Clase 8 - Autogestión NoSQL Integrantes: Sebastian Vanoy Gutierrez, Samuel David Lozano Holguin, Samuel Mathias Gonzalez Bernal. Calificación Final: 50/50 (Equivalente a 5.0) ¡Hola, equipo! Qué gusto saludarlos. He revisado detalladamente su entrega y quiero felicitarlos por el excelente nivel de comprensión que han demostrado sobre el manejo de bases de datos No-Relacionales basadas en archivos planos.Su implementación del ciclo CRUD es impecable. Lograron captar la esencia de la persistencia en archivos CSV: el proceso de cargar la información a la memoria RAM, procesarla con Python y devolverla al disco duro mediante la sobrescritura. Este es un concepto fundamental para entender cómo funcionan los sistemas de procesamiento de datos a gran escala.Un punto que quiero destacar especialmente es la calidad de su documentación. Se tomaron el tiempo de explicar para qué sirve cada librería (csv, os), qué significan los modos de apertura ('a', 'r', 'w') y por qué es importante el parámetro newline=''. Este nivel de detalle no solo hace que su código sea profesional, sino que demuestra una autogestión del aprendizaje superior.Las pruebas de ejecución al final del Notebook son claras y cubren todos los escenarios: creación, lectura, actualización y eliminación. Ver que el sistema responde correctamente a cada comando es el "Sanity Check" que garantiza que su lógica es robusta y está lista para ser aplicada en proyectos más complejos.Sigan con esa misma disciplina y atención al detalle. Están construyendo las bases técnicas necesarias para destacar como analistas y tomadores de decisiones en la era del Big Data. ¡Excelente trabajo!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  Diego Mauricio Zuluaga RodríguezProfesor - Departamento de EconomíaUniversidad de La Sabana</t>
  </si>
  <si>
    <t>🗄️ Retroalimentación de la Entrega: Tarea 1 - Clase 8 - Autogestión NoSQLIntegrantes: Valeria Morales, Isabella Carranza Tapiero, Paula Andrea Arciniegas Cárdenas. Calificación Final: 50/50 (Equivalente a 5.0) ¡Hola, equipo! Qué gusto saludarlas. He revisado detalladamente su entrega y quiero felicitarlas por la excelente calidad de su trabajo. Han comprendido a la perfección el desafío técnico que representa gestionar datos en archivos planos (CSV), donde la lógica de "leer, modificar en memoria y sobrescribir" es fundamental.Me gustó mucho la estructura de su Notebook. La introducción en Markdown es clara y establece el contexto teórico necesario antes de pasar al código. La definición de la clase Proveedor es precisa y cumple con los atributos solicitados, demostrando que mantienen la coherencia con los conceptos de Programación Orientada a Objetos vistos anteriormente.En cuanto a la implementación técnica, destaco especialmente el manejo de errores en la función leer_proveedores. El uso del bloque try-except para capturar el FileNotFoundError es una práctica de autogestión y robustez de código excelente; esto evita que el programa colapse si un usuario intenta leer datos antes de haber creado el archivo por primera vez.Las funciones de actualización y eliminación están correctamente programadas. Aplicaron de forma impecable la lógica de persistencia en NoSQL básico, utilizando los modos de apertura de archivos adecuados ("a", "r", "w") para cada operación. Sus pruebas finales son el "Sanity Check" ideal, ya que muestran claramente en la consola cómo el sistema evoluciona tras cada acción.Sigan con este nivel de compromiso y atención al detalle. Dominar el procesamiento de datos a este nivel les da una base muy sólida para lo que viene en el cierre del semestre con herramientas de analítica avanzada. ¡Excelente trabajo, equipo!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  Diego Mauricio Zuluaga RodríguezProfesor - Departamento de EconomíaUniversidad de La Sabana</t>
  </si>
  <si>
    <t>Hola Mariana,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</si>
  <si>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Hola Cristian, espero que estés muy bien. Al revisar la entrega en Teams, noto con preocupación que no realizaste la entrega de la Tarea 1 - Clase 8 (Autogestión NoSQL), la cual venció el pasado miércoles 15 de abril.  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 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 Ánimo para este cierre de semestre. Nos vemos el miércoles para iniciar con toda la energía el Corte 3. Atentamente,Diego Mauricio Zuluaga Rodríguez Profesor - Departamento de Economía Universidad de La Sabana</t>
  </si>
  <si>
    <t>🗄️ Retroalimentación de la Entrega: Tarea 1 - Clase 8 - Autogestión NoSQL Estudiante: Nicolas Torres Calderon Calificación Final: 50/50 (Equivalente a 5.0) ¡Hola, Nicolas! Qué gusto saludarte. He revisado detalladamente tu entrega y quiero felicitarte por el excelente nivel técnico que has demostrado en este ejercicio de persistencia de datos NoSQL.Lo que más destaco de tu trabajo es el uso de csv.DictReader y csv.DictWriter. Esta es una práctica mucho más avanzada y profesional que el manejo de listas simples, ya que permite interactuar con los datos mediante claves (nombres de columnas), lo que hace que el código sea significativamente más legible y menos propenso a errores por posición de índices.Tu lógica de "Lectura - Modificación - Sobrescritura" es impecable. Implementaste correctamente la validación de existencia del archivo (os.path.exists) y el manejo de encabezados, asegurando que la base de datos sea íntegra desde el primer registro. El método to_dict() dentro de la clase Proveedor es un detalle de gran calidad que facilita la integración con el módulo csv.Las pruebas CRUD que realizaste al final son claras y los resultados en la consola confirman que el sistema funciona a la perfección. Has captado la esencia de cómo gestionar información en archivos planos, una habilidad crítica para cualquier analista que trabaje con grandes volúmenes de datos donde no siempre se dispone de un servidor SQL.Sigue con ese nivel de curiosidad y rigor técnico. Estás aplicando herramientas que van más allá de lo básico y eso te dará una ventaja competitiva enorme en tu carrera profesional. ¡Excelente trabajo! Rúbrica de CalificaciónCriterio de EvaluaciónRequisito TécnicoPuntaje MáximoPuntaje ObtenidoClase BaseDefinición de la clase Proveedor y uso eficiente de diccionarios.10.010.0Operaciones Create y ReadImplementación funcional con DictWriter y DictReader.15.015.0Operaciones Update y DeleteLógica correcta de filtrado en RAM y sobrescritura total del archivo.15.015.0Pruebas y DocumentaciónEjecución exitosa de todas las pruebas y Markdown explicativo.10.010.0TOTAL50.050.0  Diego Mauricio Zuluaga RodríguezProfesor - Departamento de EconomíaUniversidad de La Sabana</t>
  </si>
  <si>
    <t>Hola Valery,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</si>
  <si>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Hola Sofia,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</si>
  <si>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2 - Clase 8 - Datos con Pandas Integrantes: Simon Gustavo Restrepo Alvarez, Mateo Perez Daza, Diego Alejandro Hermida Limas. Calificación Final: 45/50 (Equivalente a 4.5) ¡Hola, equipo! He revisado detalladamente su entrega sobre el procesamiento de datos con Pandas. Han realizado un ejercicio muy sólido, con una estructura lógica clara y un código bien documentado. Puntos Destacados:Autogestión y Planeación: Su pseudocódigo es excelente. Desglosaron cada paso necesario antes de programar, lo cual es la marca de un analista organizado.Normalización (1NF): La separación de las columnas cliente_info y producto_info utilizando .str.split() fue ejecutada correctamente, garantizando la atomicidad de los datos.Estandarización: El uso de .str.title() para los nombres y la limpieza del símbolo $ en los precios demuestra una buena atención al detalle para la presentación final de los datos.Oportunidades de Mejora (Sanity Check):Manejo de Nulos (Requerimiento Técnico): En el resultado final (Celda 35), la columna cantidad para la fila 1 (id_venta 102) sigue apareciendo como NaN. Aunque en su pseudocódigo mencionaron que debían calcularla o dejar 1, en el código se saltaron el paso de aplicar el .fillna() específicamente a la columna cantidad. Solo aplicaron el relleno a precio_total. Recuerden que un analista debe verificar que el output final no contenga valores nulos si el objetivo era limpiarlos.Portabilidad de Código: Utilizaron una ruta absoluta local (/Users/mateoperezdaza/...) para cargar el archivo. En el mundo profesional, esto hace que el código falle si lo abro en mi computador. Lo ideal es usar rutas relativas (ej: pd.read_csv("ventas_sucias.csv")) para que el proyecto sea portátil.Motivación: Tienen una lógica de programación muy bien estructurada. Si logran pulir ese último paso de verificación de resultados (asegurarse de que el dato realmente se guardó en el DataFrame), sus entregas serán de nivel senior. ¡Sigan con ese buen ritmo para el cierre del semestre! Rúbrica de CalificaciónCriterio de EvaluaciónRequisito TécnicoPuntaje MáximoPuntaje ObtenidoPlaneaciónPseudocódigo detallado y coherente con el desarrollo.10.010.0Normalización (1NF)Separación correcta de columnas y eliminación de originales.15.015.0EstandarizaciónFormato Título y limpieza de símbolos monetarios.10.010.0Limpieza de NulosRelleno de fechas y cálculos matemáticos de valores faltantes.10.05.0Exportación y FormatoGeneración de CSV limpio y reordenamiento de columnas.5.05.0TOTAL50.045.0  Diego Mauricio Zuluaga RodríguezProfesor - Departamento de EconomíaUniversidad de La Sabana</t>
  </si>
  <si>
    <t>Tarea 2 - Clase 8: Datos con Pandas</t>
  </si>
  <si>
    <t>🐼 Retroalimentación de la Entrega: Tarea 2 - Clase 8 - Datos con PandasIntegrantes: Juan Sebastián Salas Hinojosa, Alan David Rossoff Vanegas, Lukas Blanco Llanes.Calificación Final: 50/50 (Equivalente a 5.0)¡Hola, equipo! He revisado detalladamente su entrega y quiero felicitarlos por el altísimo nivel técnico demostrado. Han ido más allá de una limpieza básica, implementando una lógica de programación robusta y profesional que es digna de un equipo de analistas senior.Puntos Destacados:Uso de Pathlib y Robustez: Me pareció excelente el uso de la librería Path para gestionar las rutas de los archivos. Esto demuestra que están pensando en la portabilidad del código, asegurando que funcione tanto en entornos locales (como el de Lukas) como en carpetas de proyecto estándar.Lógica Avanzada de Limpieza (Máscaras Booleanas): El uso de mask_can_calc y df.loc para calcular la cantidad faltante de forma matemática (precio_total / Precio_Unitario) es la forma más eficiente y profesional de trabajar en Pandas. Demuestra un dominio real de la vectorización de datos, evitando ciclos innecesarios.Normalización Impecable: Aplicaron correctamente la 1NF. El uso de rsplit(' - ', n=1) para el producto fue una decisión técnica muy inteligente, ya que previene errores si el nombre del producto llegara a tener un guion interno.Estandarización y Tipos de Datos: La conversión final a int para precios y cantidades, junto con el formato de fecha ISO (%Y-%m-%d), garantiza que este archivo sea perfectamente compatible con herramientas de visualización como Power BI sin necesidad de transformaciones adicionales.Motivación:Sigan con este nivel de rigurosidad. Han demostrado que no solo saben seguir instrucciones, sino que tienen el criterio para proponer soluciones técnicas óptimas. Están más que preparados para los retos de Big Data y el examen parcial que se avecinan. ¡Excelente trabajo!Rúbrica de CalificaciónCriterio de EvaluaciónRequisito TécnicoPuntaje MáximoPuntaje ObtenidoCarga y ExportaciónUso de rutas dinámicas y exportación correcta a ventas_limpias.csv sin índice.10.010.0Limpieza de Nulos (NaN)Recuperación matemática avanzada de cantidades y manejo preciso de fechas del sistema.15.015.0Normalización (1NF)Separación atómica de información y eliminación de columnas redundantes.15.015.0EstandarizaciónFormato Título, limpieza de símbolos monetarios y casting correcto de tipos de datos.10.010.0TOTAL50.050.0Diego Mauricio Zuluaga RodríguezProfesor - Departamento de EconomíaUniversidad de La Sabana</t>
  </si>
  <si>
    <t>🐼 Retroalimentación de la Entrega: Tarea 2 - Clase 8 - Datos con PandasIntegrantes: Martin Martin Trujillo Rodriguez, Daniel Camilo Lopez Piraquive, Juan Jose Caballero Mantilla.Calificación Final: 48/50 (Equivalente a 4.8)¡Hola, equipo! Qué buen trabajo han presentado. Han demostrado una gran capacidad para resolver problemas de limpieza de datos utilizando herramientas avanzadas de Pandas. Me alegra ver que no se limitaron a lo básico y exploraron formas más programáticas de manipular la información.Un punto muy destacado de su entrega fue el uso de un bloque try-except. Esto demuestra una mentalidad de "Arquitectos de Software", ya que están previendo que el programa podría fallar si el archivo no existe o tiene un formato inesperado. Además, la implementación de la función personalizada limpiar_fila junto con df.apply es una técnica de nivel intermedio-avanzado que permite un control mucho más fino sobre la normalización de las columnas que el simple split.La aplicación de la Primera Forma Normal (1NF) fue exitosa, logrando separar con éxito los nombres de los tipos de cliente y los productos de sus precios. También es muy valioso el uso de pd.to_numeric(..., errors='coerce'), ya que asegura que el programa no se detenga si encuentra un carácter extraño en los precios, convirtiéndolo en nulo para luego manejarlo con un fillna(0).Como observación para alcanzar la excelencia absoluta (el "Sanity Check"), noté en su salida de consola que el registro de "Maria Lopez" quedó con el precio_total en NaN. Aunque llenaron correctamente la cantidad y la fecha, en un entorno de analítica financiera real, el siguiente paso lógico habría sido calcular ese total multiplicando la cantidad por el Precio_Unitario que ya habían extraído.Sigan con ese nivel de curiosidad técnica y orden. Han construido una base muy sólida para lo que viene en el tercer corte, donde estos datos limpios serán el motor de sus interfaces gráficas y tableros de control. ¡Felicitaciones por el esfuerzo y la puntualidad!Rúbrica de CalificaciónCriterio de EvaluaciónRequisito TécnicoPuntaje MáximoPuntaje ObtenidoCarga y ExportaciónImportación correcta del CSV y exportación a ventas_limpias.csv sin índice.10.010.0Limpieza de Nulos (NaN)Relleno de cantidades y fechas. (Faltó cálculo lógico de precio_total faltante).15.013.0Normalización (1NF)Separación avanzada de columnas mediante apply y eliminación de originales.15.015.0EstandarizaciónFormato Título, limpieza de símbolos y conversión numérica correcta.10.010.0TOTAL50.048.0Diego Mauricio Zuluaga RodríguezProfesor - Departamento de EconomíaUniversidad de La Sabana</t>
  </si>
  <si>
    <t>Hola Juan,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</si>
  <si>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Hola Gabriela,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</si>
  <si>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2 - Clase 8 - Datos con Pandas Integrantes: Martin Martin Trujillo Rodriguez, Daniel Camilo Lopez Piraquive, Juan Jose Caballero Mantilla. Calificación Final: 48/50 (Equivalente a 4.8) ¡Hola, equipo! Qué buen trabajo han presentado. Han demostrado una gran capacidad para resolver problemas de limpieza de datos utilizando herramientas avanzadas de Pandas. Me alegra ver que no se limitaron a lo básico y exploraron formas más programáticas de manipular la información.Un punto muy destacado de su entrega fue el uso de un bloque try-except. Esto demuestra una mentalidad de "Arquitectos de Software", ya que están previendo que el programa podría fallar si el archivo no existe o tiene un formato inesperado. Además, la implementación de la función personalizada limpiar_fila junto con df.apply es una técnica de nivel intermedio-avanzado que permite un control mucho más fino sobre la normalización de las columnas que el simple split.La aplicación de la Primera Forma Normal (1NF) fue exitosa, logrando separar con éxito los nombres de los tipos de cliente y los productos de sus precios. También es muy valioso el uso de pd.to_numeric(..., errors='coerce'), ya que asegura que el programa no se detenga si encuentra un carácter extraño en los precios, convirtiéndolo en nulo para luego manejarlo con un fillna(0).Como observación para alcanzar la excelencia absoluta (el "Sanity Check"), noté en su salida de consola que el registro de "Maria Lopez" quedó con el precio_total en NaN. Aunque llenaron correctamente la cantidad y la fecha, en un entorno de analítica financiera real, el siguiente paso lógico habría sido calcular ese total multiplicando la cantidad por el Precio_Unitario que ya habían extraído.Sigan con ese nivel de curiosidad técnica y orden. Han construido una base muy sólida para lo que viene en el tercer corte, donde estos datos limpios serán el motor de sus interfaces gráficas y tableros de control. ¡Felicitaciones por el esfuerzo y la puntualidad!  Rúbrica de CalificaciónCriterio de EvaluaciónRequisito TécnicoPuntaje MáximoPuntaje ObtenidoCarga y ExportaciónImportación correcta del CSV y exportación a ventas_limpias.csv sin índice.10.010.0Limpieza de Nulos (NaN)Relleno de cantidades y fechas. (Faltó cálculo lógico de precio_total faltante).15.013.0Normalización (1NF)Separación avanzada de columnas mediante apply y eliminación de originales.15.015.0EstandarizaciónFormato Título, limpieza de símbolos y conversión numérica correcta.10.010.0TOTAL50.048.0  Diego Mauricio Zuluaga RodríguezProfesor - Departamento de EconomíaUniversidad de La Sabana</t>
  </si>
  <si>
    <t>🐼 Retroalimentación de la Entrega: Limpieza y Normalización de Datos con PandasIntegrantes: Samantha Vanegas Russi, Avril Ariza Quitian.Calificación Final: 50/50 (Equivalente a 5.0)¡Hola, Samantha y Avril! Es un gusto saludarlas. He revisado detalladamente su entrega y quiero felicitarlas por el altísimo nivel de pulcritud y rigor técnico que demostraron en este laboratorio de analítica.Lo que más destaco de su trabajo es el pensamiento algorítmico aplicado a la limpieza de nulos. En lugar de simplemente rellenar con ceros o eliminar las filas (lo cual destruiría información valiosa), utilizaron máscaras booleanas (mask) para calcular matemáticamente los valores faltantes de cantidad y precio_total. Este es un "Sanity Check" de nivel profesional que asegura la integridad financiera del reporte.Su aplicación de la Primera Forma Normal (1NF) fue impecable. Lograron separar las columnas compuestas con precisión y aplicaron una estandarización de texto (str.title()) que garantiza que, al llevar estos datos a Power BI, la categorización sea uniforme y no existan duplicados por errores de digitación (como "estudiante" vs "ESTUDIANTE").La documentación en Markdown es excelente; permite que cualquier otro analista entienda el proceso de transformación de principio a fin. Han demostrado una gran competencia de Autogestión al entregar un producto que no solo funciona, sino que es escalable y fácil de auditar.Como reflexión de metacognición para su proceso de estudio: ¿Notaron cómo el orden de las operaciones afecta el resultado? (Por ejemplo, limpiar el signo $ antes de intentar la división). Esa atención al detalle es la que define a una excelente analista de datos.¡Sigan con esa energía y rigor para el cierre del semestre!Rúbrica de CalificaciónCriterio de EvaluaciónRequisito TécnicoPuntaje MáximoPuntaje ObtenidoCarga y DiagnósticoImportación correcta y verificación inicial de nulos/tipos de datos.10.010.0Limpieza de Nulos (NaN)Recuperación matemática de datos y uso de fecha del sistema.15.015.0Normalización (1NF)Separación de columnas compuestas y eliminación de redundancias.10.010.0Estandarización y ExportaciónFormato Título, limpieza de símbolos y exportación correcta a CSV.10.010.0Documentación y FormatoUso profesional de Markdown y comentarios en el código.5.05.0TOTAL50.050.0Diego Mauricio Zuluaga RodríguezProfesor - Departamento de EconomíaUniversidad de La Sabana</t>
  </si>
  <si>
    <t>Hola Valeria,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</si>
  <si>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2 - Clase 8 - Datos con PandasIntegrantes: Sebastian Vanoy Gutierrez, Samuel David Lozano Holguin, Samuel Mathias Gonzalez Bernal.Calificación Final: 50/50 (Equivalente a 5.0)¡Hola, equipo! Es un gusto saludarlos. He revisado detalladamente su entrega y quiero felicitarlos por el altísimo nivel de profesionalismo y rigor técnico que han demostrado en este laboratorio de limpieza de datos.Lo primero que destaco es su capacidad de Autogestión. La tabla resumen que incluyeron al inicio del Notebook, donde mapean cada problema encontrado con su respectiva solución técnica, es una práctica de analítica de datos de primer nivel. Esto demuestra que no solo escribieron código, sino que diseñaron una estrategia de limpieza antes de ejecutarla.En la parte técnica, la aplicación de la Primera Forma Normal (1NF) fue impecable. Separar las columnas compuestas mediante .str.split(' - ', expand=True) es la forma correcta de garantizar la atomicidad de los datos. Asimismo, el manejo de los valores nulos (NaN) mediante lógica matemática (precio_total / Precio_Unitario) demuestra que comprenden el contexto del negocio y saben cómo recuperar información valiosa que otros simplemente borrarían.La estandarización de los textos con .str.title() y la limpieza del signo $ para la conversión a float aseguran que este dataset sea totalmente funcional para procesos de agregación en Power BI o modelos econométricos en el futuro. El reordenamiento final de las columnas le da un cierre muy ordenado y profesional al entregable.Sigan con esta misma disciplina y atención al detalle. Dominar Pandas es el "superpoder" del analista moderno, y ustedes han demostrado tener un control total sobre la herramienta. ¡Excelente trabajo y sigan así para el cierre del semestre!Rúbrica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numérico.10.010.0TOTAL50.050.0Diego Mauricio Zuluaga RodríguezProfesor - Departamento de EconomíaUniversidad de La Sabana</t>
  </si>
  <si>
    <t>Hola María José,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</si>
  <si>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Hola Samuel,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</si>
  <si>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Limpieza y Normalización de Datos con Pandas Integrantes: Samantha Vanegas Russi, Avril Ariza Quitian. Calificación Final: 50/50 (Equivalente a 5.0) ¡Hola, Samantha y Avril! Es un gusto saludarlas. He revisado detalladamente su entrega y quiero felicitarlas por el altísimo nivel de pulcritud y rigor técnico que demostraron en este laboratorio de analítica.Lo que más destaco de su trabajo es el pensamiento algorítmico aplicado a la limpieza de nulos. En lugar de simplemente rellenar con ceros o eliminar las filas (lo cual destruiría información valiosa), utilizaron máscaras booleanas (mask) para calcular matemáticamente los valores faltantes de cantidad y precio_total. Este es un "Sanity Check" de nivel profesional que asegura la integridad financiera del reporte.Su aplicación de la Primera Forma Normal (1NF) fue impecable. Lograron separar las columnas compuestas con precisión y aplicaron una estandarización de texto (str.title()) que garantiza que, al llevar estos datos a Power BI, la categorización sea uniforme y no existan duplicados por errores de digitación (como "estudiante" vs "ESTUDIANTE").La documentación en Markdown es excelente; permite que cualquier otro analista entienda el proceso de transformación de principio a fin. Han demostrado una gran competencia de Autogestión al entregar un producto que no solo funciona, sino que es escalable y fácil de auditar.Como reflexión de metacognición para su proceso de estudio: ¿Notaron cómo el orden de las operaciones afecta el resultado? (Por ejemplo, limpiar el signo $ antes de intentar la división). Esa atención al detalle es la que define a una excelente analista de datos.¡Sigan con esa energía y rigor para el cierre del semestre!  Rúbrica de CalificaciónCriterio de EvaluaciónRequisito TécnicoPuntaje MáximoPuntaje ObtenidoCarga y DiagnósticoImportación correcta y verificación inicial de nulos/tipos de datos.10.010.0Limpieza de Nulos (NaN)Recuperación matemática de datos y uso de fecha del sistema.15.015.0Normalización (1NF)Separación de columnas compuestas y eliminación de redundancias.10.010.0Estandarización y ExportaciónFormato Título, limpieza de símbolos y exportación correcta a CSV.10.010.0Documentación y FormatoUso profesional de Markdown y comentarios en el código.5.05.0TOTAL50.050.0  Diego Mauricio Zuluaga RodríguezProfesor - Departamento de EconomíaUniversidad de La Sabana</t>
  </si>
  <si>
    <t>🐼 Retroalimentación de la Entrega: Tarea 2 - Clase 8 - Datos con Pandas Integrantes: Juan Sebastián Salas Hinojosa, Alan David Rossoff Vanegas, Lukas Blanco Llanes. Calificación Final: 50/50 (Equivalente a 5.0) ¡Hola, equipo! He revisado detalladamente su entrega y quiero felicitarlos por el altísimo nivel técnico demostrado. Han ido más allá de una limpieza básica, implementando una lógica de programación robusta y profesional que es digna de un equipo de analistas senior. Puntos Destacados:Uso de Pathlib y Robustez: Me pareció excelente el uso de la librería Path para gestionar las rutas de los archivos. Esto demuestra que están pensando en la portabilidad del código, asegurando que funcione tanto en entornos locales (como el de Lukas) como en carpetas de proyecto estándar.Lógica Avanzada de Limpieza (Máscaras Booleanas): El uso de mask_can_calc y df.loc para calcular la cantidad faltante de forma matemática (precio_total / Precio_Unitario) es la forma más eficiente y profesional de trabajar en Pandas. Demuestra un dominio real de la vectorización de datos, evitando ciclos innecesarios.Normalización Impecable: Aplicaron correctamente la 1NF. El uso de rsplit(' - ', n=1) para el producto fue una decisión técnica muy inteligente, ya que previene errores si el nombre del producto llegara a tener un guion interno.Estandarización y Tipos de Datos: La conversión final a int para precios y cantidades, junto con el formato de fecha ISO (%Y-%m-%d), garantiza que este archivo sea perfectamente compatible con herramientas de visualización como Power BI sin necesidad de transformaciones adicionales.Motivación:Sigan con este nivel de rigurosidad. Han demostrado que no solo saben seguir instrucciones, sino que tienen el criterio para proponer soluciones técnicas óptimas. Están más que preparados para los retos de Big Data y el examen parcial que se avecinan. ¡Excelente trabajo!Rúbrica de CalificaciónCriterio de EvaluaciónRequisito TécnicoPuntaje MáximoPuntaje ObtenidoCarga y ExportaciónUso de rutas dinámicas y exportación correcta a ventas_limpias.csv sin índice.10.010.0Limpieza de Nulos (NaN)Recuperación matemática avanzada de cantidades y manejo preciso de fechas del sistema.15.015.0Normalización (1NF)Separación atómica de información y eliminación de columnas redundantes.15.015.0EstandarizaciónFormato Título, limpieza de símbolos monetarios y casting correcto de tipos de datos.10.010.0TOTAL50.050.0  Diego Mauricio Zuluaga RodríguezProfesor - Departamento de EconomíaUniversidad de La Sabana</t>
  </si>
  <si>
    <t>🐼 Retroalimentación de la Entrega: Tarea 2 - Clase 8 - Datos con PandasIntegrantes: Juan David Neuta Medina, Laura Fernanda Lopez Parra, Jose Daniel Escobar Hurtado.Calificación Final: 50/50 (Equivalente a 5.0)¡Hola, equipo! Qué gusto saludarlos. He revisado minuciosamente su entrega y quiero felicitarlos por el altísimo nivel de profesionalismo y rigor técnico que han demostrado en este laboratorio de limpieza de datos.Puntos Destacados de su Trabajo:Lógica de Recuperación de Datos: Me pareció brillante el uso de máscaras booleanas (df.loc[mask]) para rellenar los valores nulos. No se limitaron a poner un cero, sino que aplicaron lógica financiera para deducir la cantidad a partir del precio_total y viceversa. Este es un "Sanity Check" de datos real que aporta valor al negocio.Dominio de la 1NF: La separación de las columnas compuestas fue ejecutada con precisión quirúrgica. Entendieron perfectamente que la atomicidad es la base para que un modelo de datos sea funcional en herramientas como Power BI o SQL.Estandarización y Limpieza: El uso de .str.strip() antes del .str.title() es una excelente práctica. A menudo, los espacios invisibles rompen las relaciones entre tablas, y ustedes blindaron su código contra ese error común.Valor Agregado (Metacognición): El resumen estadístico final y la verificación de la creación del archivo demuestran una gran capacidad de Autogestión. No solo hicieron que el código funcionara, sino que crearon un reporte para auditar su propio trabajo.Reflexión para el equipo:¿Cómo creen que cambiaría el rendimiento de su script si en lugar de 5 filas tuvieran 5 millones? Pandas está diseñado para esa escala, y la lógica que implementaron hoy es el cimiento de la ingeniería de datos moderna.Sigan con esa atención al detalle. Están demostrando que tienen la mentalidad de analistas de datos de alto nivel. ¡Excelente trabajo y sigan así para el cierre del semestre!Rúbrica de CalificaciónCriterio de EvaluaciónRequisito TécnicoPuntaje MáximoPuntaje ObtenidoCarga y ExploraciónImportación correcta y análisis inicial de la estructura del DataFrame.10.010.0Limpieza de Nulos (NaN)Uso de lógica matemática para recuperar datos faltantes y manejo de fechas.15.015.0Normalización (1NF)Separación exitosa de columnas compuestas y eliminación de redundancias.15.015.0Estandarización y ExportaciónFormato Título, limpieza de símbolos monetarios y guardado correcto del CSV.10.010.0TOTAL50.050.0Diego Mauricio Zuluaga RodríguezProfesor - Departamento de EconomíaUniversidad de La Sabana</t>
  </si>
  <si>
    <t>🐼 Retroalimentación de la Entrega: Tarea 2 - Clase 8 - Datos con PandasIntegrantes: Mariana Peña Rodríguez, Matías Mondragón Osorio, Arianne Mariana Amorocho Quiroga.Calificación Final: 50/50 (Equivalente a 5.0)¡Hola, equipo! Es un gusto saludarlos. He revisado su entrega y quiero felicitarlos por el excelente trabajo que han realizado en la limpieza y normalización de este dataset. Han demostrado un dominio claro de la librería Pandas y de los principios fundamentales de la calidad de datos.Me pareció muy acertado el uso de .str.strip() antes de aplicar .str.title(). En el mundo real, los espacios en blanco accidentales al principio o al final de un texto son una de las principales causas de errores al cruzar bases de datos en Power BI o SQL. Esta pequeña línea de código demuestra que están pensando como verdaderos analistas de datos.La aplicación de la Primera Forma Normal (1NF) fue impecable. Separar la información combinada utilizando .str.split() con expand=True es la técnica estándar en la industria. Además, el manejo de los valores nulos (NaN) fue muy inteligente; en lugar de simplemente rellenar con ceros o borrar las filas, utilizaron lógica matemática (precio_total / Precio_Unitario y viceversa) para recuperar la información faltante. Esto es exactamente lo que se espera de un analista financiero o de operaciones.Finalmente, la estandarización de los precios eliminando el símbolo $ y forzando el tipo de dato a float garantiza que la columna pueda ser sumada o promediada sin errores en el futuro. El reordenamiento de las columnas al final del script le da un toque muy profesional a la tabla resultante.Sigan con este nivel de rigurosidad y atención al detalle. Dominar Pandas es una de las habilidades más cotizadas en el mercado laboral actual. ¡Excelente trabajo y sigan así preparándose para el Segundo Parcial!Rúbrica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numérico.10.010.0TOTAL50.050.0Diego Mauricio Zuluaga RodríguezProfesor - Departamento de EconomíaUniversidad de La Sabana</t>
  </si>
  <si>
    <t>🐼 Retroalimentación de la Entrega: Tarea 2 - Clase 8 - Datos con PandasIntegrantes: Simon Gustavo Restrepo Alvarez, Mateo Perez Daza, Diego Alejandro Hermida Limas.Calificación Final: 45/50 (Equivalente a 4.5)¡Hola, equipo! He revisado detalladamente su entrega sobre el procesamiento de datos con Pandas. Han realizado un ejercicio muy sólido, con una estructura lógica clara y un código bien documentado.Puntos Destacados:Autogestión y Planeación: Su pseudocódigo es excelente. Desglosaron cada paso necesario antes de programar, lo cual es la marca de un analista organizado.Normalización (1NF): La separación de las columnas cliente_info y producto_info utilizando .str.split() fue ejecutada correctamente, garantizando la atomicidad de los datos.Estandarización: El uso de .str.title() para los nombres y la limpieza del símbolo $ en los precios demuestra una buena atención al detalle para la presentación final de los datos.Oportunidades de Mejora (Sanity Check):Manejo de Nulos (Requerimiento Técnico): En el resultado final (Celda 35), la columna cantidad para la fila 1 (id_venta 102) sigue apareciendo como NaN. Aunque en su pseudocódigo mencionaron que debían calcularla o dejar 1, en el código se saltaron el paso de aplicar el .fillna() específicamente a la columna cantidad. Solo aplicaron el relleno a precio_total. Recuerden que un analista debe verificar que el output final no contenga valores nulos si el objetivo era limpiarlos.Portabilidad de Código: Utilizaron una ruta absoluta local (/Users/mateoperezdaza/...) para cargar el archivo. En el mundo profesional, esto hace que el código falle si lo abro en mi computador. Lo ideal es usar rutas relativas (ej: pd.read_csv("ventas_sucias.csv")) para que el proyecto sea portátil.Motivación:Tienen una lógica de programación muy bien estructurada. Si logran pulir ese último paso de verificación de resultados (asegurarse de que el dato realmente se guardó en el DataFrame), sus entregas serán de nivel senior. ¡Sigan con ese buen ritmo para el cierre del semestre!Rúbrica de CalificaciónCriterio de EvaluaciónRequisito TécnicoPuntaje MáximoPuntaje ObtenidoPlaneaciónPseudocódigo detallado y coherente con el desarrollo.10.010.0Normalización (1NF)Separación correcta de columnas y eliminación de originales.15.015.0EstandarizaciónFormato Título y limpieza de símbolos monetarios.10.010.0Limpieza de NulosRelleno de fechas y cálculos matemáticos de valores faltantes.10.05.0Exportación y FormatoGeneración de CSV limpio y reordenamiento de columnas.5.05.0TOTAL50.045.0Diego Mauricio Zuluaga RodríguezProfesor - Departamento de EconomíaUniversidad de La Sabana</t>
  </si>
  <si>
    <t>🐼 Retroalimentación de la Entrega: Tarea 2 - Clase 8 - Datos con Pandas Integrantes: Samuel David Simancas Contreras, Juan Sebastian Perdomo Herrera, Daniel Felipe Camacho Pedraza. Calificación Final: 25/50 (Equivalente a 2.5) ¡Hola, equipo! He revisado su entrega y noto que han tenido dificultades significativas con la ejecución y estructuración del código. Aunque hay intentos válidos de aplicar las funciones de Pandas, el archivo entregado presenta errores críticos que impiden su funcionamiento y no cumple con las instrucciones de autogestión solicitadas. Puntos a Mejorar (Por qué el código falla):Variables no definidas (NameError): En la tercera celda intentan manipular df_productos y df_clientes, pero en ninguna parte del código cargaron esos archivos. El enunciado pedía explícitamente cargar el archivo ventas_sucias.csv en un DataFrame llamado df. Al no cargar los datos correctamente primero, todo el código posterior colapsa.Confusión de Datasets: Copiaron fragmentos del código del Live Coding de la clase (donde usamos clientes_sucios.csv y productos_sucios.xlsx), pero la tarea era aplicar esos conceptos exclusivamente al archivo ventas_sucias.csv.Falta de Lógica Secuencial: En la cuarta celda intentan hacer un .drop(columns=['cliente_info', 'producto_info']) sobre un DataFrame df que nunca fue creado ni se le aplicó el .str.split() previamente en el código entregado. Python lee de arriba hacia abajo; si el paso 1 no existe, el paso 2 fallará.Documentación Ausente: El enunciado exigía que el código estuviera documentado paso a paso. Su entrega carece por completo de comentarios (#) o celdas Markdown que expliquen la lógica de lo que intentaban hacer, lo cual es un criterio de evaluación fundamental.Puntos Rescatables: Lograron identificar correctamente las funciones necesarias para la limpieza: .str.title(), .str.replace(), pd.to_numeric() y .fillna(). La lógica matemática que plantearon para rellenar el precio_total (df['cantidad'] * df['Precio_Unitario']) es correcta conceptualmente, aunque no se pueda ejecutar por los errores previos. Motivación y Siguiente Paso: No se desanimen por este resultado. Pandas tiene una curva de aprendizaje pronunciada. El error principal aquí fue de Autogestión: no leyeron detenidamente el enunciado de la tarea y se limitaron a copiar el código de la clase sin adaptarlo al nuevo problema (ventas_sucias.csv). Les sugiero fuertemente que revisen la solución ideal que compartiré en Teams y practiquen la carga correcta de archivos antes del parcial. ¡Ustedes tienen la capacidad, solo necesitan más orden en su proceso! Rúbrica de CalificaciónCriterio de EvaluaciónRequisito TécnicoPuntaje MáximoPuntaje ObtenidoCarga y ExportaciónImportación correcta del CSV ventas_sucias y exportación final.10.00.0Limpieza de Nulos (NaN)Recuperación matemática de cantidades y precios totales.15.05.0Normalización (1NF)Separación exitosa de columnas y eliminación de originales.15.010.0Estandarización y DocumentaciónFormato Título, conversión numérica y código documentado.10.010.0TOTAL50.025.0  Diego Mauricio Zuluaga RodríguezProfesor - Departamento de EconomíaUniversidad de La Sabana</t>
  </si>
  <si>
    <t>Hola Juliana,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</si>
  <si>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2 - Clase 8 - Datos con Pandas Integrantes: Mariana Peña Rodríguez, Matías Mondragón Osorio, Arianne Mariana Amorocho Quiroga. Calificación Final: 50/50 (Equivalente a 5.0) ¡Hola, equipo! Es un gusto saludarlos. He revisado su entrega y quiero felicitarlos por el excelente trabajo que han realizado en la limpieza y normalización de este dataset. Han demostrado un dominio claro de la librería Pandas y de los principios fundamentales de la calidad de datos.Me pareció muy acertado el uso de .str.strip() antes de aplicar .str.title(). En el mundo real, los espacios en blanco accidentales al principio o al final de un texto son una de las principales causas de errores al cruzar bases de datos en Power BI o SQL. Esta pequeña línea de código demuestra que están pensando como verdaderos analistas de datos.La aplicación de la Primera Forma Normal (1NF) fue impecable. Separar la información combinada utilizando .str.split() con expand=True es la técnica estándar en la industria. Además, el manejo de los valores nulos (NaN) fue muy inteligente; en lugar de simplemente rellenar con ceros o borrar las filas, utilizaron lógica matemática (precio_total / Precio_Unitario y viceversa) para recuperar la información faltante. Esto es exactamente lo que se espera de un analista financiero o de operaciones.Finalmente, la estandarización de los precios eliminando el símbolo $ y forzando el tipo de dato a float garantiza que la columna pueda ser sumada o promediada sin errores en el futuro. El reordenamiento de las columnas al final del script le da un toque muy profesional a la tabla resultante.Sigan con este nivel de rigurosidad y atención al detalle. Dominar Pandas es una de las habilidades más cotizadas en el mercado laboral actual. ¡Excelente trabajo y sigan así preparándose para el Segundo Parcial! 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  Diego Mauricio Zuluaga RodríguezProfesor - Departamento de EconomíaUniversidad de La Sabana</t>
  </si>
  <si>
    <t>Hola Alessandro,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</si>
  <si>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2 - Clase 8 - Datos con Pandas Estudiante: Alejandra León Vargas Calificación Final: 50/50 (Equivalente a 5.0) ¡Hola, Alejandra! Qué gusto saludarte. He revisado detalladamente tu entrega y quiero felicitarte por el excelente trabajo que has realizado en este laboratorio de limpieza de datos. Has demostrado un dominio muy claro de la librería Pandas y, sobre todo, una lógica de análisis muy coherente.Me pareció muy profesional la forma en que abordaste la Normalización (1NF). Separar las columnas compuestas asegurando la atomicidad de los datos es el primer paso para cualquier análisis serio en Power BI o SQL, y lo lograste con una sintaxis limpia. Además, el uso de .str.strip() para eliminar espacios residuales después del split demuestra una gran atención al detalle, evitando errores de cruce de datos en el futuro.En cuanto al manejo de nulos, tu lógica para recuperar la columna cantidad fue impecable. Utilizar la relación matemática entre el precio total y el unitario antes de asignar un valor por defecto (1) es exactamente lo que se espera de un analista que cuida la integridad de la información. También destaco el uso de pd.to_datetime y el relleno con la fecha actual, lo cual garantiza que el dataset sea cronológicamente consistente.Finalmente, la inclusión de una sección de validación con df.info() y df.describe() es una excelente práctica de autogestión. Esto te permite hacer un "Sanity Check" rápido para confirmar que no quedaron valores nulos y que los tipos de datos (numéricos y fechas) son los correctos antes de exportar.Vas por muy buen camino. Sigue cultivando esa rigurosidad técnica, ya que la limpieza de datos es la habilidad más valorada en el mundo de la analítica de negocios actual. ¡Felicitaciones por tu esfuerzo y por entregar a tiempo! 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  Diego Mauricio Zuluaga RodríguezProfesor - Departamento de EconomíaUniversidad de La Sabana</t>
  </si>
  <si>
    <t>🐼 Retroalimentación de la Entrega: Tarea 2 - Clase 8 - Datos con PandasIntegrantes: Maria Juliana Mejia Quintero, Maria Jose Botero Galviz.Calificación Final: 50/50 (Equivalente a 5.0)¡Hola, Juliana y Maria Jose! Qué gusto saludarlas. He revisado detalladamente su entrega y debo decir que han superado con creces las expectativas técnicas de este ejercicio. Han presentado una solución con un nivel de sofisticación propio de analistas de datos senior.Lo que más me ha impresionado es el uso del enfoque de "Pipeline" mediante el método .assign() y la implementación de Expresiones Regulares (Regex) con str.extract. Mientras que la mayoría utiliza métodos de división de texto simples, ustedes decidieron blindar la extracción de datos con patrones específicos (r'^\s*(.*?)\s*-\s*'), lo cual garantiza que la limpieza sea mucho más robusta ante errores de digitación complejos.La lógica matemática para inferir los datos faltantes fue impecable. No solo rellenaron los nulos, sino que utilizaron la relación entre precio_total, cantidad y Precio_Unitario para reconstruir la información, aplicando incluso un redondeo para asegurar la integridad de los datos. El uso de pathlib para gestionar las rutas de los archivos también es una excelente práctica de autogestión que evita errores de ejecución en diferentes computadores.Sigan explorando estas herramientas avanzadas de Pandas. La capacidad de encadenar operaciones y utilizar Regex para la limpieza de "datos sucios" es una de las habilidades más valoradas en la ciencia de datos y la inteligencia de negocios.Están más que preparadas para los retos de integración y visualización que veremos en el cierre del curso. ¡Felicitaciones por este excelente desempeño!Rúbrica de CalificaciónCriterio de EvaluaciónRequisito TécnicoPuntaje MáximoPuntaje ObtenidoCarga y ExportaciónUso avanzado de pathlib y exportación correcta a CSV sin índices.10.010.0Limpieza de Nulos (NaN)Inferencia matemática precisa de cantidades y precios, y manejo de fechas.15.015.0Normalización (1NF)Separación de columnas mediante Regex (enfoque superior) y eliminación de basura.15.015.0EstandarizaciónFormato Título, limpieza de símbolos y conversión de tipos de datos impecable.10.010.0TOTAL50.050.0Diego Mauricio Zuluaga RodríguezProfesor - Departamento de EconomíaUniversidad de La Sabana</t>
  </si>
  <si>
    <t>🐼 Retroalimentación de la Entrega: Tarea 2 - Clase 8 - Datos con Pandas Integrantes: Maria Juliana Mejia Quintero, Maria Jose Botero Galviz. Calificación Final: 50/50 (Equivalente a 5.0) ¡Hola, Juliana y Maria Jose! Qué gusto saludarlas. He revisado detalladamente su entrega y debo decir que han superado con creces las expectativas técnicas de este ejercicio. Han presentado una solución con un nivel de sofisticación propio de analistas de datos senior.Lo que más me ha impresionado es el uso del enfoque de "Pipeline" mediante el método .assign() y la implementación de Expresiones Regulares (Regex) con str.extract. Mientras que la mayoría utiliza métodos de división de texto simples, ustedes decidieron blindar la extracción de datos con patrones específicos (r'^\s*(.*?)\s*-\s*'), lo cual garantiza que la limpieza sea mucho más robusta ante errores de digitación complejos.La lógica matemática para inferir los datos faltantes fue impecable. No solo rellenaron los nulos, sino que utilizaron la relación entre precio_total, cantidad y Precio_Unitario para reconstruir la información, aplicando incluso un redondeo para asegurar la integridad de los datos. El uso de pathlib para gestionar las rutas de los archivos también es una excelente práctica de autogestión que evita errores de ejecución en diferentes computadores.Sigan explorando estas herramientas avanzadas de Pandas. La capacidad de encadenar operaciones y utilizar Regex para la limpieza de "datos sucios" es una de las habilidades más valoradas en la ciencia de datos y la inteligencia de negocios.Están más que preparadas para los retos de integración y visualización que veremos en el cierre del curso. ¡Felicitaciones por este excelente desempeño! Rúbrica de CalificaciónCriterio de EvaluaciónRequisito TécnicoPuntaje MáximoPuntaje ObtenidoCarga y ExportaciónUso avanzado de pathlib y exportación correcta a CSV sin índices.10.010.0Limpieza de Nulos (NaN)Inferencia matemática precisa de cantidades y precios, y manejo de fechas.15.015.0Normalización (1NF)Separación de columnas mediante Regex (enfoque superior) y eliminación de basura.15.015.0EstandarizaciónFormato Título, limpieza de símbolos y conversión de tipos de datos impecable.10.010.0TOTAL50.050.0  Diego Mauricio Zuluaga RodríguezProfesor - Departamento de EconomíaUniversidad de La Sabana</t>
  </si>
  <si>
    <t>🐼 Retroalimentación de la Entrega: Tarea 2 - Clase 8 - Datos con Pandas Integrantes: Juan David Neuta Medina, Laura Fernanda Lopez Parra, Jose Daniel Escobar Hurtado. Calificación Final: 50/50 (Equivalente a 5.0) ¡Hola, equipo! Qué gusto saludarlos. He revisado minuciosamente su entrega y quiero felicitarlos por el altísimo nivel de profesionalismo y rigor técnico que han demostrado en este laboratorio de limpieza de datos. Puntos Destacados de su Trabajo:Lógica de Recuperación de Datos: Me pareció brillante el uso de máscaras booleanas (df.loc[mask]) para rellenar los valores nulos. No se limitaron a poner un cero, sino que aplicaron lógica financiera para deducir la cantidad a partir del precio_total y viceversa. Este es un "Sanity Check" de datos real que aporta valor al negocio.Dominio de la 1NF: La separación de las columnas compuestas fue ejecutada con precisión quirúrgica. Entendieron perfectamente que la atomicidad es la base para que un modelo de datos sea funcional en herramientas como Power BI o SQL.Estandarización y Limpieza: El uso de .str.strip() antes del .str.title() es una excelente práctica. A menudo, los espacios invisibles rompen las relaciones entre tablas, y ustedes blindaron su código contra ese error común.Valor Agregado (Metacognición): El resumen estadístico final y la verificación de la creación del archivo demuestran una gran capacidad de Autogestión. No solo hicieron que el código funcionara, sino que crearon un reporte para auditar su propio trabajo. Reflexión para el equipo: ¿Cómo creen que cambiaría el rendimiento de su script si en lugar de 5 filas tuvieran 5 millones? Pandas está diseñado para esa escala, y la lógica que implementaron hoy es el cimiento de la ingeniería de datos moderna.Sigan con esa atención al detalle. Están demostrando que tienen la mentalidad de analistas de datos de alto nivel. ¡Excelente trabajo y sigan así para el cierre del semestre! Rúbrica de CalificaciónCriterio de EvaluaciónRequisito TécnicoPuntaje MáximoPuntaje ObtenidoCarga y ExploraciónImportación correcta y análisis inicial de la estructura del DataFrame.10.010.0Limpieza de Nulos (NaN)Uso de lógica matemática para recuperar datos faltantes y manejo de fechas.15.015.0Normalización (1NF)Separación exitosa de columnas compuestas y eliminación de redundancias.15.015.0Estandarización y ExportaciónFormato Título, limpieza de símbolos monetarios y guardado correcto del CSV.10.010.0TOTAL50.050.0  Diego Mauricio Zuluaga Rodríguez Profesor - Departamento de Economía Universidad de La Sabana</t>
  </si>
  <si>
    <t>🐼 Retroalimentación de la Entrega: Tarea 2 - Clase 8 - Datos con Pandas Integrantes: Sebastian Vanoy Gutierrez, Samuel David Lozano Holguin, Samuel Mathias Gonzalez Bernal. Calificación Final: 50/50 (Equivalente a 5.0) ¡Hola, equipo! Es un gusto saludarlos. He revisado detalladamente su entrega y quiero felicitarlos por el altísimo nivel de profesionalismo y rigor técnico que han demostrado en este laboratorio de limpieza de datos.Lo primero que destaco es su capacidad de Autogestión. La tabla resumen que incluyeron al inicio del Notebook, donde mapean cada problema encontrado con su respectiva solución técnica, es una práctica de analítica de datos de primer nivel. Esto demuestra que no solo escribieron código, sino que diseñaron una estrategia de limpieza antes de ejecutarla.En la parte técnica, la aplicación de la Primera Forma Normal (1NF) fue impecable. Separar las columnas compuestas mediante .str.split(' - ', expand=True) es la forma correcta de garantizar la atomicidad de los datos. Asimismo, el manejo de los valores nulos (NaN) mediante lógica matemática (precio_total / Precio_Unitario) demuestra que comprenden el contexto del negocio y saben cómo recuperar información valiosa que otros simplemente borrarían.La estandarización de los textos con .str.title() y la limpieza del signo $ para la conversión a float aseguran que este dataset sea totalmente funcional para procesos de agregación en Power BI o modelos econométricos en el futuro. El reordenamiento final de las columnas le da un cierre muy ordenado y profesional al entregable.Sigan con esta misma disciplina y atención al detalle. Dominar Pandas es el "superpoder" del analista moderno, y ustedes han demostrado tener un control total sobre la herramienta. ¡Excelente trabajo y sigan así para el cierre del semestre! 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  Diego Mauricio Zuluaga RodríguezProfesor - Departamento de EconomíaUniversidad de La Sabana</t>
  </si>
  <si>
    <t>🐼 Retroalimentación de la Entrega: Datos con PandasIntegrantes: Valeria Morales, Isabella Carranza Tapiero, Paula Andrea Arciniegas Cárdenas.Calificación Final: 50/50 (Equivalente a 5.0)¡Hola, equipo! Qué gusto saludarlas. He revisado detalladamente su entrega y quiero felicitarlas por el altísimo nivel técnico y la pulcritud con la que han desarrollado este laboratorio de analítica de datos. Han demostrado un dominio excepcional de la librería Pandas, yendo incluso un paso más allá de lo solicitado.Me impresionó gratamente la sofisticación con la que manejaron la limpieza de la columna cantidad. En lugar de simplemente rellenar con un valor fijo, crearon una función personalizada (limpiar_cantidad) y la aplicaron con .apply(axis=1). Esta lógica de "si es nulo, intenta calcularlo matemáticamente y, si no, pon 1" es exactamente el tipo de pensamiento crítico que buscamos en los analistas de la EICEA. Demuestra que no solo saben programar, sino que entienden la naturaleza financiera de los datos.La aplicación de la Primera Forma Normal (1NF) fue impecable. Lograron separar las columnas compuestas con precisión y eliminaron los residuos de información "sucia" de forma correcta. Además, la estandarización de los textos con .str.title() y la limpieza de los símbolos monetarios garantizan que este dataset sea totalmente funcional para una herramienta como Power BI.Otro punto a destacar es la presentación de su Notebook. La celda de Markdown inicial no solo cumple con los nombres, sino que contextualiza el ejercicio de forma profesional. La estructura del código es limpia, fácil de leer y está muy bien organizada por bloques lógicos.Sigan con esa misma rigurosidad y atención al detalle. Están construyendo una base técnica muy sólida que les permitirá liderar procesos de toma de decisiones basados en datos en su vida profesional. ¡Excelente trabajo y muchos éxitos en lo que viene del corte!Rúbrica de CalificaciónCriterio de EvaluaciónRequisito TécnicoPuntaje MáximoPuntaje ObtenidoCarga y ExportaciónCarga correcta del CSV y exportación final a ventas_limpias.csv.10.010.0Limpieza de Nulos (NaN)Uso de lógica avanzada para calcular cantidades y precios, y manejo de fechas.15.015.0Normalización (1NF)Separación exitosa de columnas compuestas y eliminación de columnas originales.15.015.0EstandarizaciónFormato Título en textos y conversión correcta de precios a formato numérico.10.010.0TOTAL50.050.0Diego Mauricio Zuluaga RodríguezProfesor - Departamento de EconomíaUniversidad de La Sabana</t>
  </si>
  <si>
    <t>Hola Mariana,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</si>
  <si>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Hola Cristian,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</si>
  <si>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Tarea 2 - Clase 8 - Datos con Pandas Estudiante: Nicolas Torres Calderon Calificación Final: 47/50 (Equivalente a 4.7) ¡Hola, Nicolas! Qué gusto saludarte. He revisado detalladamente tu entrega sobre la limpieza y normalización del archivo de ventas. Quiero comenzar felicitándote por tu puntualidad y por la excelente estructura lógica que le diste a tu Notebook; el uso de celdas Markdown para separar las fases del proceso demuestra una gran capacidad de organización y autogestión.Un punto muy destacable de tu código es la proactividad en la limpieza de nulos. Implementaste una validación condicional para calcular la cantidad (total / precio_unitario) antes de simplemente rellenar con un valor por defecto. Ese es exactamente el tipo de pensamiento analítico que buscamos en la EICEA: no solo limpiar datos, sino entender la relación matemática entre ellos para recuperar información valiosa.Sin embargo, en el espíritu de mantener una alta rigurosidad técnica para prepararte para el mundo profesional y el parcial, tengo dos observaciones importantes. La primera es sobre la normalización (1NF): al realizar el .split("-"), el archivo original contenía espacios alrededor del guion (-). Al no incluirlos en el separador o no usar un .str.strip(), las nuevas columnas quedaron con espacios en blanco residuales (ej. "Diego Zuluaga "). Esto podría generar errores en Power BI al intentar cruzar datos.La segunda observación es de carácter técnico-sintáctico. Tu código generó varios SyntaxWarning debido al uso de secuencias de escape en la expresión regular del precio ([\$,]). En versiones modernas de Python, esto debe manejarse como un "raw string" (r'[\$,]') para evitar conflictos. Además, noté en tu registro de salida un ModuleNotFoundError; asegúrate siempre de que tu entorno de ejecución tenga instaladas las librerías para que el "Sanity Check" sea exitoso antes de la entrega final.Vas por muy buen camino, Nicolas. Tienes una lógica de programación muy sólida y un criterio de análisis de datos envidiable. Si pules estos pequeños detalles técnicos de limpieza de strings y manejo de expresiones regulares, tus entregas serán impecables. ¡Mucho ánimo para el tercer corte! Rúbrica de CalificaciónCriterio de EvaluaciónRequisito TécnicoPuntaje MáximoPuntaje ObtenidoCarga y ExportaciónImportación de CSV y exportación correcta a ventas_limpias.csv.10.010.0Limpieza de NulosRecuperación lógica/matemática de cantidades y manejo de fechas.15.015.0Normalización (1NF)Separación de columnas compuestas (Faltó manejo de espacios residuales).15.012.0EstandarizaciónFormato Título y limpieza de símbolos (Presencia de SyntaxWarnings).10.010.0AutogestiónEntrega a tiempo y formato de archivo correcto.(Bonus/Penalización)0.0TOTAL50.047.0  Diego Mauricio Zuluaga RodríguezProfesor - Departamento de EconomíaUniversidad de La Sabana</t>
  </si>
  <si>
    <t>Hola Valery,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</si>
  <si>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Hola Sofía,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"Un CTO no solo programa bien, también cumple los entregables diarios".Esta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t>
  </si>
  <si>
    <t>🐼 Retroalimentación de la Entrega: Datos con Pandas Integrantes: Valeria Morales, Isabella Carranza Tapiero, Paula Andrea Arciniegas Cárdenas. Calificación Final: 50/50 (Equivalente a 5.0) ¡Hola, equipo! Qué gusto saludarlas. He revisado detalladamente su entrega y quiero felicitarlas por el altísimo nivel técnico y la pulcritud con la que han desarrollado este laboratorio de analítica de datos. Han demostrado un dominio excepcional de la librería Pandas, yendo incluso un paso más allá de lo solicitado.Me impresionó gratamente la sofisticación con la que manejaron la limpieza de la columna cantidad. En lugar de simplemente rellenar con un valor fijo, crearon una función personalizada (limpiar_cantidad) y la aplicaron con .apply(axis=1). Esta lógica de "si es nulo, intenta calcularlo matemáticamente y, si no, pon 1" es exactamente el tipo de pensamiento crítico que buscamos en los analistas de la EICEA. Demuestra que no solo saben programar, sino que entienden la naturaleza financiera de los datos.La aplicación de la Primera Forma Normal (1NF) fue impecable. Lograron separar las columnas compuestas con precisión y eliminaron los residuos de información "sucia" de forma correcta. Además, la estandarización de los textos con .str.title() y la limpieza de los símbolos monetarios garantizan que este dataset sea totalmente funcional para una herramienta como Power BI.Otro punto a destacar es la presentación de su Notebook. La celda de Markdown inicial no solo cumple con los nombres, sino que contextualiza el ejercicio de forma profesional. La estructura del código es limpia, fácil de leer y está muy bien organizada por bloques lógicos.Sigan con esa misma rigurosidad y atención al detalle. Están construyendo una base técnica muy sólida que les permitirá liderar procesos de toma de decisiones basados en datos en su vida profesional. ¡Excelente trabajo y muchos éxitos en lo que viene del corte! Rúbrica de CalificaciónCriterio de EvaluaciónRequisito TécnicoPuntaje MáximoPuntaje ObtenidoCarga y ExportaciónCarga correcta del CSV y exportación final a ventas_limpias.csv.10.010.0Limpieza de Nulos (NaN)Uso de lógica avanzada para calcular cantidades y precios, y manejo de fechas.15.015.0Normalización (1NF)Separación exitosa de columnas compuestas y eliminación de columnas originales.15.015.0EstandarizaciónFormato Título en textos y conversión correcta de precios a formato numérico.10.010.0TOTAL50.050.0  Diego Mauricio Zuluaga RodríguezProfesor - Departamento de EconomíaUniversidad de La Sabana</t>
  </si>
  <si>
    <t>Asistencia Clase 8</t>
  </si>
  <si>
    <t>Se debían subir los CSV. No aplica.</t>
  </si>
  <si>
    <t>Se debían subir los CSV.</t>
  </si>
  <si>
    <t>Se debían subir los archivos .csv. No aplica.</t>
  </si>
  <si>
    <t>☕ Retroalimentación de la
Entrega: Parcial Final Corte 2 - Inteligencia de Negocios  Integrantes: Mateo Perez Daza, Diego Alejandro
Hermida Limas, Simon Gustavo Restrepo Alvarez.  Calificación Final: 47/50 (Equivalente a 4.7)  ¡Hola, equipo! Espero que se encuentren muy bien. He
terminado de revisar minuciosamente su examen parcial. Quiero empezar
felicitándolos por el excelente nivel de organización y la claridad que
muestran en su repositorio de GitHub. El archivo README es impecable y guía al
lector paso a paso por su proceso mental, lo cual es una habilidad de
autogestión de altísimo valor. En la fase de Pandas y Normalización, hicieron un
trabajo excepcional. Aplicaron correctamente la 1NF al separar las columnas
compuestas y, lo más importante, demostraron madurez analítica al aplicar la
3NF eliminando la columna edad, entendiendo que es un dato redundante que se
deriva de la fecha de nacimiento. Sus archivos CSV limpios están perfectamente
estructurados para un análisis posterior. Sin embargo, aplicando la rigurosidad técnica que exige este
nivel de arquitectura, debo señalar un punto crítico en la Fase de
Arquitectura SQL. El enunciado del parcial exigía explícitamente que la
tabla ventas incluyera las columnas total_venta y fecha_venta. Al revisar tanto
su script database.py como su Notebook, noté que omitieron estas dos columnas
en el CREATE TABLE. Una base de datos financiera sin el registro del monto
total ni la fecha de la transacción pierde gran parte de su utilidad para la
toma de decisiones. En cuanto al Bono de Arquitectura (+1.0), les otorgo 0.7
unidades. Valoré positivamente la modularización en archivos .py (limpieza,
database, modelos), lo cual es un gran avance. No obstante, para obtener el
bono completo, la Programación Orientada a Objetos (POO) debía encapsular
lógica de negocio (métodos) y no solo actuar como contenedores de datos.
Además, el script main.py solo insertó 3 registros en lugar de los 5 exigidos
por la "Regla de Oro" del enunciado. Sigan adelante con esa energía. Tienen una capacidad técnica
muy alta y un sentido de orden envidiable. Pulir esos detalles de cumplimiento
de requerimientos específicos es lo único que les falta para alcanzar la
perfección en sus entregas. ¡Buen trabajo, ingenieros!  Rúbrica de Calificación 
  Criterio de Evaluación 
  Requisito Técnico 
  Puntaje Máximo 
  Puntaje Obtenido 
  1. Carga y Exportación 
  Generación de CSV sucios y exportación de limpios. 
  5.0 
  5.0 
  2. Limpieza y Normalización 
  Pandas: 1NF, 2NF, 3NF, nulos y estandarización. 
  15.0 
  15.0 
  3. Migración a SQLite 
  Creación de BD y carga exitosa con to_sql(). 
  10.0 
  10.0 
  4. Arquitectura y CRUD (SQL) 
  Tabla ventas incompleta (faltaron 2 columnas) y registros
  insuficientes en script. 
  15.0 
  7.0 
  5. Autogestión y GitHub 
  Repositorio impecable, README detallado y código
  documentado. 
  5.0 
  5.0 
  🌟 BONO DE ARQUITECTURA 
  Modularización lograda, pero POO básica e incompleta en
  registros. 
  +10.0 
  +5.0 
  TOTAL 
  50.0 
  47.0 
  Diego Mauricio Zuluaga Rodríguez Profesor - Departamento de Economía Universidad de La Sabana</t>
  </si>
  <si>
    <t>PARCIAL CORTE 2</t>
  </si>
  <si>
    <t>🚀 Entrega Parcial Final Corte 2 (50%)</t>
  </si>
  <si>
    <t>🚀 Retroalimentación de la
Entrega: Parcial Final Corte 2 (50%)  Estudiante: Rossoff Vanegas, Alan David Calificación Final: 5.0 / 5.0 (+1.0 Unidad de Bono
por Arquitectura POO y Modularización)  He revisado detalladamente tu examen parcial y quiero
felicitarte por el nivel de excelencia, rigor técnico y profesionalismo que has
demostrado en esta entrega. Has superado con creces las expectativas del curso,
construyendo un verdadero pipeline ETL (Extract, Transform, Load) digno de un
entorno de producción real. En primer lugar, la limpieza y normalización de datos con
Pandas es sobresaliente. La aplicación de la Primera Forma Normal (1NF)
mediante el split de columnas y la Tercera Forma Normal (3NF) al eliminar la
columna derivada edad fue exacta. Sin embargo, lo que realmente destaca es tu
lógica de imputación de datos nulos: generar correos electrónicos dinámicos
basados en un slug del nombre del cliente o de la empresa, garantizando
que no haya duplicados mediante un ciclo while y un set, es una solución
avanzada y brillante. Asimismo, imputar el stock faltante con la mediana
demuestra un excelente criterio estadístico. En cuanto a la migración a SQLite, la arquitectura es
impecable. No solo habilitaste las llaves foráneas (PRAGMA foreign_keys = ON;),
sino que fuiste un paso más allá al crear índices únicos (UNIQUE INDEX) y
restricciones de validación (CHECK (cantidad &amp;gt; 0)) en la tabla de ventas.
Estas son prácticas de un verdadero Arquitecto de Datos que protegen la
integridad del sistema a nivel del motor de base de datos. Finalmente, el cumplimiento del bono es perfecto. La
modularización del proyecto en archivos .py (data_cleaner.py, data_generator.py,
database_manager.py, main.py) utilizando Programación Orientada a Objetos (con
el uso moderno de @dataclass) hace que tu código sea altamente escalable,
legible y fácil de mantener. Has encapsulado responsabilidades de manera
estricta y profesional. Sigue cultivando esta disciplina y atención al detalle.
Tienes una base técnica sumamente sólida que te abrirá muchas puertas en el
mundo del análisis de datos y la ingeniería de software. ¡Excelente trabajo y
mucho éxito en el inicio del Corte 3!  Rúbrica de Calificación 
  Criterio de Evaluación 
  Descripción Técnica 
  Puntaje Máximo 
  Puntaje Obtenido 
  1. Carga y Exportación 
  Generación correcta de los 3 CSV sucios y exportación de
  los 3 CSV limpios. 
  0.5 
  0.5 
  2. Limpieza y Normalización (Pandas) 
  Manejo avanzado de nulos, estandarización de textos y
  aplicación estricta de 1NF y 3NF. 
  1.5 
  1.5 
  3. Migración a SQLite 
  Creación del archivo .db, carga exitosa de DataFrames y
  creación de índices. 
  1.0 
  1.0 
  4. Arquitectura y CRUD (SQL) 
  Creación de la tabla ventas con PK/FK y restricciones CHECK.
  Ejecución exitosa de INSERT, SELECT (JOIN), UPDATE y DELETE. 
  1.5 
  1.5 
  5. Autogestión y GitHub 
  Repositorio individual impecable, README.md detallado y
  código altamente documentado. 
  0.5 
  0.5 
  🌟 BONO DE ARQUITECTURA 
  Modularización en múltiples archivos .py usando POO (@dataclass)
  para encapsular la lógica. 
  + 1.0 
  + 1.0 
  TOTAL 
  5.0 
  5.0 
   Diego Mauricio Zuluaga Rodríguez Profesor - Departamento de Economía Universidad de La Sabana</t>
  </si>
  <si>
    <t>☕ Retroalimentación de la
Entrega: Parcial Final Corte 2  Integrantes: Martin Martin Trujillo Rodriguez, Daniel
Camilo Lopez Piraquive, Juan Jose Caballero Mantilla.  Calificación Final: 43/50 (Equivalente a 4.3)  ¡Hola, equipo! Espero que se encuentren muy bien. He
revisado en detalle su examen parcial y quiero compartirles mis observaciones.
Han logrado construir el flujo completo de datos, desde la extracción hasta la
base de datos, lo cual demuestra un buen entendimiento general del proceso de
Inteligencia de Negocios. En la fase de Limpieza y Normalización con Pandas,
hicieron un trabajo sobresaliente. La aplicación de la Primera Forma Normal
(1NF) al separar las columnas compuestas y la Tercera Forma Normal (3NF) al
eliminar la columna derivada edad fue exacta. Además, el manejo de nulos y la
estandarización de textos demuestran un dominio sólido de la librería. Sin embargo, aplicando la rigurosidad que exige este corte,
encontré una falla arquitectónica crítica en la fase de SQL y Operaciones
CRUD. En su código, apagaron las restricciones de llaves foráneas (cursor.execute("PRAGMA
foreign_keys = OFF;")) justo antes de hacer los INSERT y el DELETE, para
luego volver a encenderlas. En el mundo real, apagar las reglas de integridad
referencial para forzar la entrada o salida de datos destruye el propósito de
una base de datos relacional. Si un dato no cuadra, se debe corregir el dato,
no apagar la alarma de seguridad del motor SQL. Por este motivo, hay una
penalización importante en este rubro. En cuanto a la Autogestión y GitHub, noté que su
archivo README.md quedó con la plantilla sin diligenciar (Nombre Completo: [TU
NOMBRE AQUÍ]). Como futuros CTOs, la atención al detalle en la presentación de
sus repositorios es su carta de presentación al mundo profesional. Deben ser
muy cuidadosos con las entregas finales, ya que un descuido así en un entorno
laboral resta profesionalismo a todo el buen código que escribieron. Finalmente, les confirmo que no se otorgó el bono de
arquitectura (+1.0), ya que la entrega se realizó en un único archivo .ipynb y
no se modularizó en archivos .py utilizando Programación Orientada a Objetos
(POO), como lo exigía explícitamente el lineamiento del bono. Tomen esta retroalimentación como una oportunidad de mejora
directa para su vida profesional. Tienen excelentes habilidades analíticas con
Pandas; ahora el reto es mantener esa misma rigurosidad en la arquitectura y
seguridad de sus bases de datos. ¡Sigan adelante, nos vemos en el Corte 3!  Rúbrica de Calificación 
  Criterio de Evaluación 
  Requisito Técnico 
  Puntaje Máximo 
  Puntaje Obtenido 
  Carga y Exportación 
  Generación de CSV sucios y exportación de limpios. 
  0.5 
  0.5 
  Limpieza y Normalización 
  Manejo de nulos, estandarización y aplicación de 1NF, 2NF,
  3NF con Pandas. 
  1.5 
  1.5 
  Migración a SQLite 
  Creación del archivo .db y carga exitosa de DataFrames con
  to_sql(). 
  1.0 
  1.0 
  Arquitectura y CRUD (SQL) 
  Penalización por apagar PRAGMA foreign_keys = OFF para
  forzar el CRUD. 
  1.5 
  1.0 
  Autogestión y GitHub 
  Penalización por plantilla incompleta ([TU NOMBRE AQUÍ])
  en el README. 
  0.5 
  0.3 
  Bono de Arquitectura 
  Modularización con POO y archivos .py (No aplicado). 
  +1.0 
  0.0 
  TOTAL 
  5.0 
  4.3 
  Diego Mauricio Zuluaga Rodríguez Profesor - Departamento de Economía Universidad de La Sabana</t>
  </si>
  <si>
    <t>☕ Retroalimentación del Parcial
Final - Corte 2  Integrantes: Samuel David Simancas Contreras, Juan
Sebastian Perdomo Herrera, Daniel Felipe Camacho Pedraza.  Calificación Final: 10/50 (Equivalente a 1.0 / 5.0)  Estimados estudiantes, he revisado los archivos cargados en
la plataforma. Debo ser muy directo y riguroso con esta retroalimentación, ya
que nos encontramos en una instancia de evaluación del 50% donde la competencia
principal a evaluar es la programación y la autogestión de
herramientas profesionales. Lamentablemente, el grupo ha fallado en la entrega de los
dos pilares fundamentales del parcial: el archivo de código (.ipynb o .py)
y el vínculo al repositorio de GitHub. Un README, por más bien
estructurado que esté, es una descripción del trabajo, pero no es el trabajo en
sí mismo. En un examen de programación, la evidencia innegociable es el código
fuente que sustenta la lógica de limpieza con Pandas y la arquitectura SQL. Aunque enviaron los archivos .csv y el archivo .db, no hay
forma de verificar que estos fueron generados mediante Python, lo cual invalida
los criterios de evaluación técnicos. La ausencia del repositorio de GitHub,
siendo un requisito explícito para la autogestión y el portafolio profesional,
penaliza también la nota final. La programación se demuestra con algoritmos
ejecutables, no con relatos de los mismos. Como su profesor, mi objetivo es que desarrollen la
disciplina necesaria para el mundo laboral. En una Startup, un CTO no puede
entregar una base de datos sin el código que la mantiene, ni puede ignorar los
canales de despliegue (GitHub) solicitados. Esta nota es un llamado de atención
urgente para que replanteen su método de organización y seguimiento de
instrucciones para el Corte 3. Tienen la capacidad de redactar y planear (como lo demuestra
su README), pero esa planeación debe aterrizar en código real y funcional. No
se desmotiven, pero asuman este resultado como una lección de rigor
profesional. Los espero en el Corte 3 con una actitud mucho más meticulosa y
comprometida con las entregas técnicas.  Rúbrica de Calificación (Criterio Estricto) 
  Criterio 
  Descripción 
  Puntaje Máximo 
  Puntaje Obtenido 
  1. Carga y Exportación 
  Generación de CSV sucios y exportación de limpios (Sin
  código de respaldo). 
  0.5 
  0.1 
  2. Limpieza y Normalización 
  Aplicación de 1NF, 2NF, 3NF con Pandas (Sin evidencia de
  código). 
  1.5 
  0.2 
  3. Migración a SQLite 
  Creación del archivo .db y carga de tablas (Se entrega
  archivo .db). 
  1.0 
  0.4 
  4. Arquitectura y CRUD 
  Tabla ventas con PK/FK y ejecución de CRUD (Sin evidencia
  de script SQL). 
  1.5 
  0.3 
  5. Autogestión y GitHub 
  Repositorio individual y archivo .ipynb (No entregados). 
  0.5 
  0.0 
  Bono de Arquitectura 
  Modularización con POO y archivos .py (No aplica). 
  +1.0 
  0.0 
  TOTAL 
  50.0 
  10.0 
  Diego Mauricio Zuluaga Rodríguez Profesor - Departamento de Economía Universidad de La Sabana</t>
  </si>
  <si>
    <t>🚀 Retroalimentación de la
Entrega: Parcial Final Corte 2 (50%)  Integrantes: Alessandro Di Mauro Bonilla Correa,
Gabriela Ruiz Pérez, María José Huertas Osorio.  Calificación Final: 4.2 / 5.0 (Incluye +0.5 de
Bono Parcial por POO)  ¡Hola, equipo! He revisado detalladamente su examen parcial.
A nivel de lógica de programación y sintaxis, el código que escribieron es muy
bueno y demuestra que entienden cómo funcionan las herramientas. Sin embargo,
la evaluación de hoy es estricta porque simula un entorno profesional real, y
en ese aspecto hubo fallas críticas de seguimiento de instrucciones y
autogestión. En primer lugar, el aspecto más preocupante de su entrega es
que cambiaron por completo el contexto del negocio y los datos de prueba. El
examen exigía explícitamente trabajar con los datos de la "Cafetería U.
Sabana" proporcionados en la celda del enunciado. Ustedes decidieron
ignorar esos datos y crear su propio ecosistema ("EduTech") con un
dataset minúsculo. En la vida real, si un cliente los contrata para limpiar la
base de datos de su cafetería y ustedes le entregan el sistema de un colegio,
el proyecto es rechazado. Además, al cambiar los datos, evadieron los retos
técnicos reales del examen, como la limpieza de los signos $ en los precios, lo
cual penaliza su nota en los criterios de Carga y Limpieza. En segundo lugar, respecto a la arquitectura SQL, su código
es funcional y el uso de JOIN es correcto. No obstante, la rúbrica exigía
explícitamente un mínimo de 5 registros en las operaciones CREATE para poder
auditar el sistema. Ustedes solo insertaron 3 inscripciones, lo que representa
otra penalización por no seguir los requerimientos mínimos del cliente. Finalmente, hablemos del Bono de Arquitectura. Implementaron
la clase PlataformaEduTech para encapsular la lógica, lo cual es un excelente
esfuerzo y demuestra dominio de la Programación Orientada a Objetos. Sin
embargo, la instrucción para obtener el bono completo (+1.0) exigía que el
proyecto estuviera modularizado en varios archivos .py (ej. limpieza.py, main.py).
Al entregar un único archivo .ipynb, solo se les otorga la mitad del bono
(+0.5). Como motivación, quiero que sepan que su capacidad técnica
para escribir código en Pandas y SQL es innegable. El código corre sin errores
y la lógica relacional es perfecta. El reto para ustedes ahora es alinear esa
excelente capacidad técnica con el rigor corporativo: leer los requerimientos
del cliente, respetar los datos proporcionados y cumplir con las reglas de
negocio al pie de la letra. ¡Tienen todo el potencial para ser grandes líderes
tecnológicos si ajustan este enfoque!  
  Criterio de Evaluación 
  Descripción Técnica 
  Puntaje Máximo 
  Puntaje Obtenido 
  1. Carga y Exportación 
  Penalización severa: No utilizaron los datasets
  proporcionados en el examen, alterando el contexto del negocio. 
  0.5 
  0.0 
  2. Limpieza y Normalización 
  Lógica correcta (1NF, nulos), pero aplicada a un dataset
  propio que evadió los retos de limpieza exigidos (ej. signos de moneda). 
  1.5 
  1.0 
  3. Migración a SQLite 
  Creación correcta del archivo .db y carga exitosa de los
  DataFrames limpios como tablas SQL. 
  1.0 
  1.0 
  4. Arquitectura y CRUD (SQL) 
  PK/FK válidas y operaciones exitosas. Penalización por
  insertar solo 3 registros en lugar de los 5 exigidos. 
  1.5 
  1.2 
  5. Autogestión y GitHub 
  Repositorio funcional, pero fallas críticas en el
  seguimiento de instrucciones del cliente. 
  0.5 
  0.3 
  🌟 BONO DE ARQUITECTURA 
  Uso de POO (+0.5), pero no se modularizó en archivos .py
  como se exigía para el bono completo (+0.0). 
  + 1.0 
  + 0.5 
  TOTAL 
  5.0 
  4.0 
   Diego Mauricio Zuluaga Rodríguez Profesor - Departamento de Economía Universidad de La Sabana</t>
  </si>
  <si>
    <t>🚀 Retroalimentación de la
Entrega: Parcial Final Corte 2 (50%)  Integrantes: Avril Ariza, Samantha Vanegas.  Calificación Final: 5.0 / 5.0 (+1.0 Unidad de Bono
por Arquitectura POO y Modularidad)  ¡Hola, equipo! He revisado detalladamente su examen parcial
y quiero felicitarlas por el altísimo nivel técnico y arquitectónico que han
demostrado. Han entregado un proyecto que no solo cumple con los requisitos
académicos, sino que está estructurado con los estándares de calidad de la
industria del software.  Puntos a destacar (Lo excelente): 
 Arquitectura
     Modular (Bono +1.0): La decisión de separar el proyecto en limpieza.py,
     base_datos.py y main.py es brillante. Utilizar el main.py únicamente como
     un orquestador que llama a las clases de los otros módulos hace que el
     código sea increíblemente limpio, escalable y fácil de mantener. Esto les
     otorga el bono completo de +1.0 unidad. 
 POO
     Avanzada en Pandas: La creación de la clase LimpiadorBase y hacer que LimpiadorProductos,
     LimpiadorClientes y LimpiadorProveedores hereden de ella demuestra un
     dominio profundo de la Herencia (DRY - Don't Repeat Yourself).
     Encapsularon la lógica de exportación y resumen de nulos en el padre,
     dejando a los hijos solo la responsabilidad de la limpieza específica.
     ¡Excelente diseño! 
 Limpieza
     y Normalización Excepcional: Su manejo de Pandas fue impecable. La
     aplicación de la 1NF (separando columnas con str.split), la 3NF
     (eliminando la columna derivada edad) y el uso de expresiones regulares (regex=True)
     para limpiar los ceros decimales de los teléfonos demuestra que auditaron
     los datos a fondo. 
 Migración
     a SQLite Inteligente: El método _redefinir_pk() en la clase GestorCafeteria
     es una solución muy profesional. Como df.to_sql() de Pandas no permite
     definir Llaves Primarias (PK) estrictas, ustedes crearon una función que
     recrea las tablas con la sintaxis SQL correcta y migra los datos. Esto
     garantizó que la tabla ventas pudiera usar Llaves Foráneas (FK) sin
     problemas de integridad.  Motivación: Tienen una base técnica, lógica y arquitectónica
sobresaliente. Han demostrado que entienden cómo construir un proyecto de
Inteligencia de Negocios de extremo a extremo, desde la extracción de datos
"sucios" hasta la persistencia en bases de datos relacionales con
código modular. Si mantienen esta disciplina, rigurosidad y atención al
detalle, están más que preparadas para liderar el desarrollo de la Interfaz
Gráfica (GUI) y la conexión con Power BI en el Corte 3. ¡Felicitaciones por
este resultado excepcional!  Rúbrica de Calificación 
  Criterio de Evaluación 
  Descripción Técnica 
  Puntaje Máximo 
  Puntaje Obtenido 
  1. Carga y Exportación 
  Generación correcta de los 3 CSV sucios y exportación de
  los 3 CSV limpios. 
  0.5 
  0.5 
  2. Limpieza y Normalización (Pandas) 
  Manejo de nulos, estandarización de textos y aplicación
  correcta de 1NF y 3NF en los DataFrames. 
  1.5 
  1.5 
  3. Migración a SQLite 
  Creación del archivo .db y carga exitosa de los 3
  DataFrames limpios como tablas SQL con PK. 
  1.0 
  1.0 
  4. Arquitectura y CRUD (SQL) 
  Creación de la tabla ventas con PK/FK válidas. Ejecución
  exitosa de INSERT, SELECT (con JOIN), UPDATE y DELETE. 
  1.5 
  1.5 
  5. Autogestión y GitHub 
  Repositorio individual completo, README.md detallado y
  código documentado. 
  0.5 
  0.5 
  🌟 BONO DE ARQUITECTURA 
  Modularización con POO (.py) para encapsular la lógica de
  Pandas y SQL. 
  + 1.0 
  + 1.0 
  TOTAL 
  5.0 
  5.0 
  Diego Mauricio Zuluaga Rodríguez Profesor - Departamento de Economía Universidad de La Sabana</t>
  </si>
  <si>
    <t>🚀 Retroalimentación de la Entrega: Parcial Final Corte 2 (50%)Integrantes: Valeria Morales Giraldo, Paula Arciniegas, Isabella CarranzaCalificación Final: 4.5 / 5.0¡Hola, equipo! He revisado detalladamente su examen parcial. Han logrado integrar de forma muy interesante la limpieza de datos con Pandas y la persistencia en bases de datos relacionales (SQLite). El flujo del programa es lógico y cumple con el objetivo principal de transformar datos "sucios" en información estructurada.Puntos a destacar (Lo excelente):Limpieza y Normalización (Pandas): El manejo que le dieron a los DataFrames fue muy acertado. La separación de las columnas compuestas (cliente_info, empresa_ciudad, producto_info) usando .str.split(expand=True) garantizó la Primera Forma Normal (1NF). Además, la eliminación de la columna redundante edad (3NF) demuestra que entienden los principios de normalización.Migración a SQLite: El uso de df.to_sql() para cargar los DataFrames directamente como tablas en la base de datos es la forma más eficiente de migrar información. La creación manual de las tablas antes de insertar los datos para asegurar los tipos de datos es una excelente práctica.Arquitectura y CRUD (SQL): La creación de la tabla ventas con las Llaves Foráneas (FK) correctas y la ejecución de las operaciones CRUD (INSERT, UPDATE, DELETE) demuestra un buen dominio de SQL. El uso de pd.read_sql() para ejecutar el JOIN y mostrar el resultado como un DataFrame es una forma muy profesional de presentar reportes.Oportunidades de Mejora (Rigor Técnico y Autogestión):Bono de Arquitectura: El enunciado era claro en que para obtener el bono de +1.0 unidad, el proyecto debía estar "modularizado en varios archivos .py (Ej: limpieza.py, base_datos.py, main.py)". Ustedes entregaron un único archivo .ipynb. Aunque usaron POO (lo cual es excelente), no cumplieron con el requisito de modularización en archivos separados, por lo que no se otorga el bono.Limpieza Incompleta (Sanity Check): En la limpieza de la tabla productos, olvidaron limpiar el signo $ de la columna precio y convertirla a numérico (float o int). Si intentan hacer operaciones matemáticas con esa columna en SQLite, el sistema fallará porque los datos siguen siendo texto ($5000).Manejo de Nulos (NaN): En la tabla productos, la columna stock tenía valores nulos. Su código los rellenó con 0, lo cual es válido, pero olvidaron manejar los nulos en la columna precio (si los hubiera) o en otras columnas críticas antes de exportar.Motivación:Tienen una base técnica y lógica sumamente sólida. Han demostrado que saben cómo estructurar un proyecto de Inteligencia de Negocios desde la extracción de datos hasta la generación de reportes. Para el Corte 3, donde le daremos una Interfaz Gráfica (GUI) a todo este motor lógico, presten especial atención a los detalles de limpieza de datos (como el signo $) y sigan las instrucciones de entrega al pie de la letra. ¡Están haciendo un gran trabajo como futuras CTOs!Rúbrica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2NF y 3NF.1.51.03.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y archivos .py.+ 1.0+ 0.0TOTAL5.04.5Diego Mauricio Zuluaga RodríguezProfesor - Departamento de EconomíaUniversidad de La Sabana</t>
  </si>
  <si>
    <t>☕ Retroalimentación Parcial Corte
2: Fase de Analítica — Cafetería U. Sabana  Integrantes: Sebastian Vanoy Gutierrez, Samuel David
Lozano Holguin, Samuel Mathias Gonzalez Bernal.  Calificación Final: 5.0 / 5.0 (Nota obtenida: 5.0 +
1.0 de Bono = 6.0. Se registra 5.0 según reglamento).  ¡Hola, equipo! Es un gusto saludarlos. He revisado
minuciosamente su entrega y debo decir que han superado con creces las
expectativas de este examen parcial. Han demostrado no solo un dominio técnico
de las herramientas, sino una capacidad de arquitectura de software que es
propia de profesionales en la industria tecnológica. Su proceso de Limpieza y Normalización con Pandas fue
impecable. Aplicaron la 1NF separando las columnas compuestas con precisión y,
lo más importante, identificaron correctamente la redundancia de la 3NF al
eliminar la columna 'edad', entendiendo que es un dato que depende
transitivamente de la fecha de nacimiento. El manejo de nulos y la
estandarización de textos con .str.title() garantizan que la base de datos sea
confiable para cualquier análisis posterior. En la fase de Arquitectura SQL, quiero destacar una
práctica de altísimo nivel que implementaron: la definición de esquemas
explícitos antes de la migración. Muchos estudiantes cometen el error de dejar
que Pandas cree las tablas automáticamente, lo cual suele omitir las llaves
primarias (PK). Ustedes se tomaron el trabajo de declarar los esquemas en el
diccionario _ESQUEMAS, asegurando que las llaves foráneas (FK) en la tabla ventas
tuvieran una referencia sólida. Esto es ingeniería de datos real. Sobre el Bono de Arquitectura (+1.0), su
implementación es sobresaliente. Modularizar el proyecto en archivos .py
independientes (limpieza.py, base_datos.py, generar_datos.py) y orquestarlos
mediante un main.py es la forma correcta de construir software escalable. El
uso de Programación Orientada a Objetos para encapsular la lógica de limpieza y
el uso de Type Hinting (ej. ruta_db: str) en sus métodos demuestra una
sofisticación técnica admirable. Sigan con ese nivel de rigurosidad y autogestión. Han pasado
de ser estudiantes que escriben código a ser arquitectos que diseñan
soluciones. Esta base les permitirá afrontar el Corte 3 y el desarrollo de
interfaces gráficas con una ventaja competitiva inmensa. ¡Felicitaciones por
este resultado extraordinario!  📊 RÚBRICA DE EVALUACIÓN 
  Criterio 
  Descripción Técnica 
  Puntaje Máximo 
  Puntaje Obtenido 
  1. Carga y Exportación 
  Generación de CSV sucios y exportación de 3 CSV limpios
  correctamente. 
  0.5 
  0.5 
  2. Limpieza y Normalización 
  Aplicación de 1NF, 2NF y 3NF. Manejo de nulos y tipos de
  datos en Pandas. 
  1.5 
  1.5 
  3. Migración a SQLite 
  Creación de .db y carga de tablas con esquemas explícitos
  (PK declaradas). 
  1.0 
  1.0 
  4. Arquitectura y CRUD 
  Tabla ventas con 3 FK. Ejecución exitosa de INSERT, JOIN,
  UPDATE y DELETE. 
  1.5 
  1.5 
  5. Autogestión y GitHub 
  Repositorio impecable, README profesional y código
  documentado. 
  0.5 
  0.5 
  🌟 BONO POO 
  Modularización en archivos .py y uso avanzado de Clases y
  Objetos. 
  +1.0 
  +1.0 
  TOTAL FINAL 
  5.0 
  5.0 (+1.0) 
  Diego Mauricio Zuluaga Rodríguez Profesor - Departamento de Economía Universidad de La Sabana</t>
  </si>
  <si>
    <t>☕ Retroalimentación del Parcial
Final - Corte 2: Inteligencia de Negocios  Integrantes: Nicolas Torres Calderon, Juan Camilo
Leyton Lancheros, Cristian Bermudez.  Calificación Final: 4.6 / 5.0  ¡Hola, equipo! Espero que se encuentren muy bien. He
revisado detalladamente la entrega de su parcial y quiero comenzar
felicitándolos por la excelencia técnica demostrada en el procesamiento
de los datos. Su dominio de la librería Pandas y la estructuración de la base
de datos relacional es de un nivel muy alto, lo cual es fundamental para su
formación en la EICEA. En la Fase de Limpieza y Normalización, realizaron un
trabajo impecable. Aplicaron correctamente la Primera Forma Normal (1NF) al
separar las columnas compuestas y, lo más importante, demostraron entender la
Tercera Forma Normal (3NF) al eliminar la columna "edad",
reconociendo que es un dato redundante que se deriva de la fecha de nacimiento.
El manejo de valores nulos con "No Registra" y la estandarización de
textos con .str.title() le dan un acabado profesional a los datasets. En la Fase de Arquitectura SQL, la creación de la
tabla "ventas" fue ejecutada con precisión. Incluyeron correctamente
las Llaves Primarias y Foráneas, y no olvidaron activar el PRAGMA foreign_keys
= ON, un paso crítico que garantiza que la base de datos realmente proteja la
integridad de la información. Las operaciones CRUD (Crear, Leer, Actualizar,
Eliminar) funcionan perfectamente, y el reporte con INNER JOIN permite
visualizar la información de forma coherente. Sin embargo, como les mencioné desde el inicio del semestre,
la Autogestión y el seguimiento estricto de instrucciones son
competencias tan importantes como la programación misma. En este punto la
calificación debe ser muy estricta para prepararlos para el mundo profesional:  
 Incumplimiento
     en el formato de entrega: Las instrucciones eran claras al solicitar
     que la entrega se realizara mediante un vínculo de un repositorio
     público en GitHub. Subir los archivos directamente a Teams dificulta
     la auditoría de versiones y el flujo de trabajo colaborativo que estamos
     practicando. Por esta razón, el puntaje en el criterio de
     "Autogestión y GitHub" se ha visto penalizado significativamente. 
 Sobre
     el Bono de Arquitectura: El bono de +1.0 unidad extra exigía dos
     requisitos obligatorios: modularizar el proyecto en varios archivos .py
     y utilizar Programación Orientada a Objetos (POO) para encapsular
     la lógica. Aunque su código en el Notebook es excelente, es un script
     procedimental y no implementa Clases ni Objetos, por lo cual no es posible
     otorgar este beneficio adicional. A pesar de estas observaciones sobre el cumplimiento de las
reglas de entrega, el contenido técnico de su examen es sobresaliente. Tienen
una lógica de programación muy sólida. Si logran combinar ese talento técnico
con una atención rigurosa a los detalles administrativos y de despliegue (como
el uso de GitHub), serán profesionales imparables. ¡Mucho ánimo para el inicio
del Corte 3, donde daremos el salto a las interfaces gráficas y Power BI!  Rúbrica de Calificación 
  Criterio de Evaluación 
  Requisito Técnico 
  Puntaje Máximo 
  Puntaje Obtenido 
  1. Carga y Exportación 
  Generación de CSV sucios y exportación de limpios. 
  0.5 
  0.5 
  2. Limpieza y Normalización 
  Manejo de nulos, estandarización y aplicación de 1NF, 2NF,
  3NF con Pandas. 
  1.5 
  1.5 
  3. Migración a SQLite 
  Creación del archivo .db y carga exitosa de DataFrames con
  to_sql(). 
  1.0 
  1.0 
  4. Arquitectura y CRUD (SQL) 
  Tabla ventas con PK/FK. Ejecución de INSERT, SELECT
  (JOIN), UPDATE y DELETE. 
  1.5 
  1.5 
  5. Autogestión y GitHub 
  Repositorio individual en GitHub y README. (No se entregó
  link de GitHub). 
  0.5 
  0.1 
  Bono de Arquitectura 
  Modularización con POO y archivos .py. (No se aplicó POO
  ni .py). 
  +1.0 
  0.0 
  TOTAL FINAL 
  5.0 
  4.6 
   Diego Mauricio Zuluaga Rodríguez Profesor - Departamento de Economía Universidad de La Sabana</t>
  </si>
  <si>
    <t>☕ Retroalimentación de la
Entrega: Parcial Final Corte 2  Integrantes: Samuel David Simancas Contreras, Juan
Sebastian Perdomo Herrera, Daniel Felipe Camacho Pedraza.  Calificación Final: 0.0 / 5.0  ¡Hola, equipo! Es un gusto saludarlos. He revisado la
entrega y quiero empezar reconociendo el excelente trabajo que hicieron en la
documentación y planeación del proyecto. El archivo README que enviaron es
detallado, profesional y demuestra que entendieron a la perfección cada uno de
los requerimientos técnicos del parcial, desde la limpieza con Pandas hasta la
arquitectura SQL. Sin embargo, y aquí debo ser muy claro y estricto como lo
exige la rúbrica, el parcial tenía como requisito fundamental la entrega de un repositorio
público en GitHub que contuviera todos los archivos funcionales (.ipynb, el
archivo de base de datos .db, los CSVs, etc.). Lamentablemente, esta parte
crucial de la entrega no se realizó. Al no tener acceso al repositorio, no puedo auditar el
código fuente que ejecutaron, verificar la lógica de Pandas, la estructura de
la base de datos .db, ni las operaciones CRUD. En un entorno profesional, un
proyecto que no se entrega en el formato y plataforma solicitados es un
proyecto que no se puede evaluar. La autogestión y el seguimiento de
instrucciones de entrega son tan importantes como la calidad del código mismo. Sé que esta calificación es dura, pero es un reflejo directo
de la importancia de la autogestión y el seguimiento de instrucciones en la
ingeniería de software. La calidad de su planeación en el README me dice que
tienen el potencial técnico, pero la ejecución de la entrega falló. Usen esto
como una lección fundamental para el Corte 3 y para su futuro profesional: un
gran trabajo solo cuenta si se entrega correctamente. Confío en que se
recuperarán en el último corte.  Rúbrica de Calificación 
  Criterio 
  Descripción 
  Puntos Máximo 
  Puntaje Obtenido 
  Carga y Exportación 
  Generación y exportación de archivos CSV. 
  0.5 
  0.0 
  Comentario 
  Aunque se adjuntaron los CSV, no se entregó el código .ipynb
  que los genera, por lo que no es posible auditar el proceso. 
  Limpieza y Normalización (Pandas) 
  Manejo de nulos, estandarización y aplicación de 1NF, 2NF,
  3NF. 
  1.5 
  0.0 
  Comentario 
  El README describe el proceso, pero sin el código
  fuente no se puede verificar la implementación en Pandas. 
  Migración a SQLite 
  Creación del archivo .db y carga de DataFrames. 
  1.0 
  0.0 
  Comentario 
  El archivo de base de datos (.db), que es una evidencia
  crítica, no fue entregado. 
  Arquitectura y CRUD (SQL) 
  Creación de tabla ventas con PK/FK y ejecución de CRUD. 
  1.5 
  0.0 
  Comentario 
  Sin el archivo .db y el código, es imposible verificar
  la arquitectura SQL y las operaciones. 
  Autogestión y GitHub 
  Repositorio individual completo, README.md y código
  documentado. 
  0.5 
  0.0 
  Comentario 
  El repositorio público, que era el entregable
  principal, no fue proporcionado. 
  TOTAL 
  5.0 
  0.0 
   Diego Mauricio Zuluaga Rodríguez Profesor - Departamento de Economía Universidad de La Sabana</t>
  </si>
  <si>
    <t>🚀 Retroalimentación de la
Entrega: Parcial Final Corte 2 (50%)  Estudiante: Juan Sebastian Calificación Final: 5.0 / 5.0 (+1.0 Unidad de Bono
por Arquitectura POO y Modularización)  He revisado detalladamente tu examen parcial y quiero
felicitarte por el nivel de excelencia, rigor técnico y profesionalismo que has
demostrado en esta entrega. Has superado con creces las expectativas del curso,
construyendo un verdadero pipeline ETL (Extract, Transform, Load) digno de un
entorno de producción real. En primer lugar, la limpieza y normalización de datos con
Pandas es sobresaliente. La aplicación de la Primera Forma Normal (1NF)
mediante el split de columnas y la Tercera Forma Normal (3NF) al eliminar la
columna derivada edad fue exacta. Sin embargo, lo que realmente destaca es tu
lógica de imputación de datos nulos: generar correos electrónicos dinámicos
basados en un slug del nombre del cliente o de la empresa, garantizando
que no haya duplicados mediante un ciclo while y un set, es una solución
avanzada y brillante. Asimismo, imputar el stock faltante con la mediana
demuestra un excelente criterio estadístico. En cuanto a la migración a SQLite, la arquitectura es
impecable. No solo habilitaste las llaves foráneas (PRAGMA foreign_keys = ON;),
sino que fuiste un paso más allá al crear índices únicos (UNIQUE INDEX) y
restricciones de validación (CHECK (cantidad &amp;gt; 0)) en la tabla de ventas.
Estas son prácticas de un verdadero Arquitecto de Datos que protegen la
integridad del sistema a nivel del motor de base de datos. Finalmente, el cumplimiento del bono es perfecto. La
modularización del proyecto en archivos .py (data_cleaner.py, data_generator.py,
database_manager.py, main.py) utilizando Programación Orientada a Objetos (con
el uso moderno de @dataclass) hace que tu código sea altamente escalable,
legible y fácil de mantener. Has encapsulado responsabilidades de manera
estricta y profesional. Sigue cultivando esta disciplina y atención al detalle.
Tienes una base técnica sumamente sólida que te abrirá muchas puertas en el
mundo del análisis de datos y la ingeniería de software. ¡Excelente trabajo y
mucho éxito en el inicio del Corte 3!  Rúbrica de Calificación 
  Criterio de Evaluación 
  Descripción Técnica 
  Puntaje Máximo 
  Puntaje Obtenido 
  1. Carga y Exportación 
  Generación correcta de los 3 CSV sucios y exportación de
  los 3 CSV limpios. 
  0.5 
  0.5 
  2. Limpieza y Normalización (Pandas) 
  Manejo avanzado de nulos, estandarización de textos y
  aplicación estricta de 1NF y 3NF. 
  1.5 
  1.5 
  3. Migración a SQLite 
  Creación del archivo .db, carga exitosa de DataFrames y
  creación de índices. 
  1.0 
  1.0 
  4. Arquitectura y CRUD (SQL) 
  Creación de la tabla ventas con PK/FK y restricciones CHECK.
  Ejecución exitosa de INSERT, SELECT (JOIN), UPDATE y DELETE. 
  1.5 
  1.5 
  5. Autogestión y GitHub 
  Repositorio individual impecable, README.md detallado y
  código altamente documentado. 
  0.5 
  0.5 
  🌟 BONO DE ARQUITECTURA 
  Modularización en múltiples archivos .py usando POO (@dataclass)
  para encapsular la lógica. 
  + 1.0 
  + 1.0 
  TOTAL 
  5.0 
  5.0 
   Diego Mauricio Zuluaga Rodríguez Profesor - Departamento de Economía Universidad de La Sabana</t>
  </si>
  <si>
    <t>🚀 Retroalimentación de la
Entrega: Parcial Final Corte 2 (50%)  Estudiante: Lukas Blanco  Calificación Final: 5.0 / 5.0 (+1.0 Unidad de Bono
por Arquitectura POO y Modularización)  He revisado detalladamente tu examen parcial y quiero
felicitarte por el nivel de excelencia, rigor técnico y profesionalismo que has
demostrado en esta entrega. Has superado con creces las expectativas del curso,
construyendo un verdadero pipeline ETL (Extract, Transform, Load) digno de un
entorno de producción real. En primer lugar, la limpieza y normalización de datos con
Pandas es sobresaliente. La aplicación de la Primera Forma Normal (1NF)
mediante el split de columnas y la Tercera Forma Normal (3NF) al eliminar la
columna derivada edad fue exacta. Sin embargo, lo que realmente destaca es tu
lógica de imputación de datos nulos: generar correos electrónicos dinámicos
basados en un slug del nombre del cliente o de la empresa, garantizando
que no haya duplicados mediante un ciclo while y un set, es una solución
avanzada y brillante. Asimismo, imputar el stock faltante con la mediana
demuestra un excelente criterio estadístico. En cuanto a la migración a SQLite, la arquitectura es
impecable. No solo habilitaste las llaves foráneas (PRAGMA foreign_keys = ON;),
sino que fuiste un paso más allá al crear índices únicos (UNIQUE INDEX) y
restricciones de validación (CHECK (cantidad &amp;gt; 0)) en la tabla de ventas.
Estas son prácticas de un verdadero Arquitecto de Datos que protegen la
integridad del sistema a nivel del motor de base de datos. Finalmente, el cumplimiento del bono es perfecto. La
modularización del proyecto en archivos .py (data_cleaner.py, data_generator.py,
database_manager.py, main.py) utilizando Programación Orientada a Objetos (con
el uso moderno de @dataclass) hace que tu código sea altamente escalable,
legible y fácil de mantener. Has encapsulado responsabilidades de manera
estricta y profesional. Sigue cultivando esta disciplina y atención al detalle.
Tienes una base técnica sumamente sólida que te abrirá muchas puertas en el
mundo del análisis de datos y la ingeniería de software. ¡Excelente trabajo y
mucho éxito en el inicio del Corte 3!  Rúbrica de Calificación 
  Criterio de Evaluación 
  Descripción Técnica 
  Puntaje Máximo 
  Puntaje Obtenido 
  1. Carga y Exportación 
  Generación correcta de los 3 CSV sucios y exportación de
  los 3 CSV limpios. 
  0.5 
  0.5 
  2. Limpieza y Normalización (Pandas) 
  Manejo avanzado de nulos, estandarización de textos y
  aplicación estricta de 1NF y 3NF. 
  1.5 
  1.5 
  3. Migración a SQLite 
  Creación del archivo .db, carga exitosa de DataFrames y
  creación de índices. 
  1.0 
  1.0 
  4. Arquitectura y CRUD (SQL) 
  Creación de la tabla ventas con PK/FK y restricciones CHECK.
  Ejecución exitosa de INSERT, SELECT (JOIN), UPDATE y DELETE. 
  1.5 
  1.5 
  5. Autogestión y GitHub 
  Repositorio individual impecable, README.md detallado y
  código altamente documentado. 
  0.5 
  0.5 
  🌟 BONO DE ARQUITECTURA 
  Modularización en múltiples archivos .py usando POO (@dataclass)
  para encapsular la lógica. 
  + 1.0 
  + 1.0 
  TOTAL 
  5.0 
  5.0 
   Diego Mauricio Zuluaga Rodríguez Profesor - Departamento de Economía Universidad de La Sabana</t>
  </si>
  <si>
    <t>🚀 Retroalimentación de la
Entrega: Parcial Final Corte 2  Integrantes: Jose Daniel Escobar Hurtado, Juan David
Neuta Medina, Laura Fernanda Lopez Parra.  Calificación Final: 45/50 (Equivalente a 4.5)  ¡Hola, equipo! He revisado su examen parcial y quiero
felicitarlos por el gran esfuerzo y el buen nivel técnico que han demostrado.
Lograron completar el flujo completo de un proyecto de inteligencia de
negocios, desde la extracción de datos sucios hasta su consolidación en una
base de datos relacional. En la fase de Limpieza y Normalización con Pandas,
hicieron un trabajo sólido. Destaco la correcta aplicación de la Primera Forma
Normal (1NF) al separar las columnas compuestas y el manejo de los valores
nulos (NaN) con estrategias lógicas como fillna(). La estandarización de los
textos y la conversión de tipos de datos también fueron ejecutadas
correctamente. En la fase de Migración y Arquitectura SQL, la
creación de las tablas y la carga de datos desde los DataFrames limpios fue
impecable. La estructura de la tabla ventas con sus Llaves Foráneas (FK) es
correcta y la implementación de las operaciones CRUD (Create, Read, Update,
Delete) demuestra que comprenden cómo interactuar con una base de datos desde
Python. Oportunidades de Mejora (Revisión Estricta): 
 Bono
     de Arquitectura: Aunque el código es funcional, no aplicaron al bono
     de modularización con POO y archivos .py. La solución se entregó en un
     solo archivo .ipynb con código secuencial, que si bien es válido, no
     cumple con el requisito de encapsulamiento avanzado que se pedía para
     obtener la unidad adicional. 
 Robustez
     y Manejo de Errores: El código no incluye bloques try-except. Esto
     significa que si un usuario ingresara un texto en lugar de un número, o si
     hubiera un error de conexión a la base de datos, el programa colapsaría
     abruptamente. En un entorno profesional, la gestión de excepciones es
     fundamental. Motivación: 
Tienen una base técnica muy fuerte y un gran potencial. Este parcial era
exigente y lograron superarlo con éxito. Para el Corte 3, nuestro enfoque
estará en las interfaces gráficas (GUI) y la visualización. Les pido que
presten especial atención a la implementación de try-except para que sus
aplicaciones no solo sean funcionales, sino también robustas y a prueba de
errores. ¡Sigan trabajando con el mismo compromiso!  Rúbrica de Calificación 
  Criterio de Evaluación 
  Requisito Técnico 
  Puntaje Máximo 
  Puntaje Obtenido 
  Carga y Exportación 
  Generación de CSV sucios y exportación de limpios. 
  0.5 
  0.5 
  Limpieza y Normalización 
  Manejo de nulos, estandarización y aplicación de 1NF, 2NF,
  3NF con Pandas. 
  1.5 
  1.5 
  Migración a SQLite 
  Creación del archivo .db y carga exitosa de DataFrames con
  to_sql(). 
  1.0 
  1.0 
  Arquitectura y CRUD (SQL) 
  Tabla ventas con PK/FK. Ejecución de INSERT, SELECT
  (JOIN), UPDATE y DELETE. 
  1.5 
  1.5 
  Autogestión y GitHub 
  Repositorio completo, README.md y código documentado. 
  0.5 
  0.0 
  Bono de Arquitectura 
  No aplica (No se implementó POO ni archivos .py). 
  +1.0 
  0.0 
  TOTAL 
  5.0 
  4.5 
  Diego Mauricio Zuluaga Rodríguez Profesor - Departamento de Economía Universidad de La Sabana</t>
  </si>
  <si>
    <t>🚀 Retroalimentación de la Entrega: Parcial Final Corte 2 (50%)  Integrantes: Matías Mondragón Osorio, Arianne Amorocho, Mariana Peña Rodriguez.  Calificación Final: 5.0 / 5.0  (+0.5 de Bono por Arquitectura POO) ¡Hola, equipo! He revisado detalladamente su examen parcial y quiero felicitarlos por el excelente nivel técnico que han alcanzado. Han logrado integrar de manera impecable la limpieza de datos con Pandas, la persistencia en bases de datos relacionales (SQLite) y la Programación Orientada a Objetos.  Puntos a destacar (Lo excelente):Limpieza y Normalización (Pandas): El manejo que le dieron a los DataFrames fue muy profesional. La separación de las columnas compuestas (cliente_info, empresa_ciudad, producto_info) usando .str.split(expand=True) garantizó la Primera Forma Normal (1NF). Además, el manejo de nulos con .fillna() y la estandarización de textos (.str.title(), .str.capitalize()) demuestra que entienden que "basura entra, basura sale". Prepararon los datos perfectamente para la base de datos.Migración a SQLite: El uso de df.to_sql() para cargar los DataFrames directamente como tablas en la base de datos es la forma más eficiente de migrar información. Además, no olvidaron el comando crítico PRAGMA foreign_keys = ON;, lo cual asegura la integridad referencial de su sistema.Bono de Arquitectura (POO): La creación de la clase GestionCafeteria para encapsular las operaciones CRUD es brillante. En lugar de tener funciones sueltas, crearon un objeto que administra la base de datos. Esto les otorga un bono de +0.5 unidad, ya que demuestra un pensamiento arquitectónico avanzado. Faltó el manejo de modularidad con diferentes archivos para lograr el bono completo.Uso de Pandas para Reportes: Me pareció un toque muy innovador (y válido) que en el método ver_reporte_ventas utilizaran pd.read_sql(query, c) para ejecutar el JOIN y mostrar el resultado como un DataFrame formateado en lugar de usar el clásico fetchall() y un ciclo for. Esto demuestra que entienden cómo Pandas y SQL pueden trabajar juntos.Oportunidad de Mejora (Sanity Check):En la limpieza de la tabla productos, olvidaron limpiar el signo $ de la columna precio y convertirla a numérico (float o int). Aunque en este ejercicio específico no les generó un error visible porque SQLite es flexible con los tipos de datos (Tipado Dinámico), en un motor estricto como PostgreSQL o SQL Server, intentar multiplicar un texto ($25000) por una cantidad habría causado un colapso del sistema. Recuerden siempre hacer el casting de los datos financieros.Motivación:Tienen una base técnica y lógica sumamente sólida. Han demostrado que no solo saben escribir código, sino que entienden cómo estructurar un proyecto de Inteligencia de Negocios desde la extracción de datos "sucios" hasta la generación de reportes estructurados. Si mantienen esta disciplina, rigurosidad y atención al detalle, están más que preparados para el Corte 3, donde le daremos una Interfaz Gráfica (GUI) a todo este motor lógico que acaban de construir. ¡Felicitaciones por este gran resultado!Rúbrica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en los DataFrames.1.51.53.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para encapsular la lógica de Pandas y SQL.+ 1.0+ 0.5TOTAL5.05.0 Diego Mauricio Zuluaga RodríguezProfesor - Departamento de EconomíaUniversidad de La Sabana</t>
  </si>
  <si>
    <t>☕ Retroalimentación de la
Entrega: Parcial Final Corte 2  Integrantes: Samuel David Simancas Contreras, Juan
Sebastian Perdomo Herrera, Daniel Felipe Camacho Pedraza.  Calificación Final: 20.5/50 (Equivalente a 2.05)  Hola, equipo. Espero que se encuentren muy bien. He revisado
detalladamente su entrega para el examen parcial del segundo corte. Valoro el
esfuerzo inicial, pero debo ser muy estricto con la evaluación, ya que en el
mundo del desarrollo de software y la analítica, un producto incompleto no
puede ser desplegado a producción. En la fase de Limpieza y Normalización con Pandas hicieron
un trabajo excelente. Lograron aplicar correctamente la Primera Forma Normal
(1NF) separando las columnas compuestas mediante .str.split(), eliminaron la
redundancia de la edad (3NF) y estandarizaron los textos y precios de manera
impecable. Tienen una base analítica muy sólida y demostraron dominio de la
librería. Sin embargo, el parcial requería la integración completa del
sistema. Las Fases 3 y 4 (Migración a SQLite y Operaciones CRUD) brillan por su
ausencia en el código de su Jupyter Notebook. Aunque incluyeron el esquema SQL
y un diagrama muy bien estructurado en el archivo README, un Arquitecto de
Software (CTO) debe entregar código ejecutable. No hay conexión a la base de
datos con sqlite3, no hay migración de los DataFrames con .to_sql(), ni
ejecución de las consultas CRUD o el JOIN exigido en la rúbrica. Adicionalmente, hubo fallas críticas de autogestión en la
entrega de su repositorio de GitHub. Faltaron archivos esenciales mencionados
en la rúbrica, específicamente productos_sucios.csv, proveedores_limpios.csv y
el archivo .db de la base de datos. En el entorno laboral, olvidar subir
archivos clave a un repositorio rompe el flujo de trabajo de todo el equipo y
genera caídas en el sistema. Respecto al bono de arquitectura, no es posible otorgar los
puntos adicionales. El requerimiento estricto para este incentivo era
modularizar el proyecto utilizando Programación Orientada a Objetos (POO) y
separar la lógica en múltiples archivos .py, lo cual no fue implementado en su
entrega. Sé que tienen un gran potencial técnico porque la lógica que
aplicaron en la limpieza de datos fue perfecta. Los invito a que para el Corte
3 mejoren drásticamente la gestión del tiempo, la revisión de los requisitos de
entrega (Sanity Check) y la integración de sus desarrollos. ¡No se desanimen,
aprendan de esta experiencia y prepárense con toda la energía y disciplina para
la recta final del semestre!  Rúbrica de Calificación (Escalada a 50 puntos) 
  Criterio de Evaluación 
  Requisito Técnico 
  Puntaje Máximo 
  Puntaje Obtenido 
  1. Carga y Exportación 
  Generación de CSV sucios y exportación de limpios. (Penalización
  por archivos faltantes en el repositorio). 
  5.0 
  2.5 
  2. Limpieza y Normalización 
  Manejo de nulos, estandarización y aplicación de 1NF, 2NF,
  3NF con Pandas. 
  15.0 
  15.0 
  3. Migración a SQLite 
  Creación del archivo .db y carga exitosa de DataFrames con
  to_sql(). (No implementado en el código). 
  10.0 
  0.0 
  4. Arquitectura y CRUD (SQL) 
  Tabla ventas con PK/FK. Ejecución de INSERT, SELECT
  (JOIN), UPDATE y DELETE. (No implementado en el código). 
  15.0 
  0.0 
  5. Autogestión y GitHub 
  Repositorio completo, README.md detallado y código
  documentado. (Buen README, pero faltaron archivos clave). 
  5.0 
  3.0 
  Bono de Arquitectura 
  Modularización con POO y archivos .py. 
  +10.0 
  0.0 
  TOTAL 
  50.0 
  20.5 
  Diego Mauricio Zuluaga Rodríguez Profesor - Departamento de Economía Universidad de La Sabana</t>
  </si>
  <si>
    <t>🏋️‍♀️ Retroalimentación
de la Entrega: Parcial Final Corte 2  Integrantes: María Juliana Herrera Pulido, Mariana
Carmona Romero.  Calificación Final: 40/50 (Equivalente a 4.0)  ¡Hola, equipo! He revisado su examen parcial y quiero
felicitarlas por el esfuerzo y la creatividad al adaptar el problema a un nuevo
contexto de negocio (Gimnasio FitLife). La arquitectura general del proyecto es
sólida y demuestra que comprenden la integración entre Pandas, POO y SQLite. En la fase de Limpieza y Normalización, aplicaron
correctamente la Primera Forma Normal (1NF) al separar las columnas compuestas
y manejaron bien los valores nulos. La migración a SQLite con to_sql() y la
creación de la tabla de suscripciones con sus Llaves Foráneas (FK) también fue
exitosa. La implementación de la clase GestionGym para encapsular las
operaciones CRUD es una excelente práctica de POO y les permitió organizar el
código de forma profesional. La consulta con JOIN para el reporte de
suscripciones es compleja y la resolvieron muy bien, uniendo las tres tablas
para generar un informe de valor. Sin embargo, debo ser estricto con los requerimientos de Autogestión
del parcial. El enunciado exigía explícitamente trabajar con los datasets de la
"Cafetería U. Sabana" para poder auditar el proceso de limpieza de
forma estandarizada. Al crear sus propios datos, se saltaron una parte
fundamental de la evaluación que era manejar las inconsistencias específicas de
los archivos proporcionados. Adicionalmente, el bono de arquitectura requería
la entrega en archivos .py separados, lo cual no se cumplió. Tienen una base técnica muy fuerte, pero en el mundo
profesional, seguir las especificaciones del cliente (en este caso, el
enunciado del parcial) es tan importante como la calidad del código. ¡Sigan
adelante, están haciendo un gran trabajo, pero no pierdan de vista la
importancia de la atención al detalle!  Rúbrica de Calificación 
  Criterio de Evaluación 
  Requisito Técnico 
  Puntaje Máximo 
  Puntaje Obtenido 
  Carga y Exportación 
  Generación y exportación de archivos CSV. 
  0.5 
  0.0 
  Limpieza y Normalización 
  Manejo de nulos, estandarización y aplicación de 1NF, 2NF,
  3NF. 
  1.5 
  1.0 
  Migración a SQLite 
  Creación del archivo .db y carga de DataFrames con to_sql(). 
  1.0 
  1.0 
  Arquitectura y CRUD (SQL) 
  Tabla suscripciones con PK/FK. Ejecución de INSERT, SELECT
  (JOIN), UPDATE y DELETE. 
  1.5 
  1.5 
  Autogestión y GitHub 
  Repositorio completo, README.md y código documentado. 
  0.5 
  0.5 
  Bono de Arquitectura 
  Modularización con POO y archivos .py. 
  +1.0 
  0.0 
  TOTAL 
  5.0 
  4.0 
  Diego Mauricio Zuluaga Rodríguez Profesor - Departamento de Economía Universidad de La Sabana</t>
  </si>
  <si>
    <t>🚀 Retroalimentación de la Entrega: Parcial Final Corte 2 (50%) Integrantes: Matías Mondragón Osorio, Arianne Amorocho, Mariana Peña Rodriguez.Calificación Final: 5.0 / 5.0(+0.5 de Bono por Arquitectura POO)¡Hola, equipo! He revisado detalladamente su examen parcial y quiero felicitarlos por el excelente nivel técnico que han alcanzado. Han logrado integrar de manera impecable la limpieza de datos con Pandas, la persistencia en bases de datos relacionales (SQLite) y la Programación Orientada a Objetos.Puntos a destacar (Lo excelente):Limpieza y Normalización (Pandas): El manejo que le dieron a los DataFrames fue muy profesional. La separación de las columnas compuestas (cliente_info, empresa_ciudad, producto_info) usando .str.split(expand=True) garantizó la Primera Forma Normal (1NF). Además, el manejo de nulos con .fillna() y la estandarización de textos (.str.title(), .str.capitalize()) demuestra que entienden que "basura entra, basura sale". Prepararon los datos perfectamente para la base de datos.Migración a SQLite: El uso de df.to_sql() para cargar los DataFrames directamente como tablas en la base de datos es la forma más eficiente de migrar información. Además, no olvidaron el comando crítico PRAGMA foreign_keys = ON;, lo cual asegura la integridad referencial de su sistema.Bono de Arquitectura (POO): La creación de la clase GestionCafeteria para encapsular las operaciones CRUD es brillante. En lugar de tener funciones sueltas, crearon un objeto que administra la base de datos. Esto les otorga un bono de +0.5 unidad, ya que demuestra un pensamiento arquitectónico avanzado. Faltó el manejo de modularidad con diferentes archivos para lograr el bono completo.Uso de Pandas para Reportes: Me pareció un toque muy innovador (y válido) que en el método ver_reporte_ventas utilizaran pd.read_sql(query, c) para ejecutar el JOIN y mostrar el resultado como un DataFrame formateado en lugar de usar el clásico fetchall() y un ciclo for. Esto demuestra que entienden cómo Pandas y SQL pueden trabajar juntos.Oportunidad de Mejora (Sanity Check):En la limpieza de la tabla productos, olvidaron limpiar el signo $ de la columna precio y convertirla a numérico (float o int). Aunque en este ejercicio específico no les generó un error visible porque SQLite es flexible con los tipos de datos (Tipado Dinámico), en un motor estricto como PostgreSQL o SQL Server, intentar multiplicar un texto ($25000) por una cantidad habría causado un colapso del sistema. Recuerden siempre hacer el casting de los datos financieros.Motivación:Tienen una base técnica y lógica sumamente sólida. Han demostrado que no solo saben escribir código, sino que entienden cómo estructurar un proyecto de Inteligencia de Negocios desde la extracción de datos "sucios" hasta la generación de reportes estructurados. Si mantienen esta disciplina, rigurosidad y atención al detalle, están más que preparados para el Corte 3, donde le daremos una Interfaz Gráfica (GUI) a todo este motor lógico que acaban de construir. ¡Felicitaciones por este gran resultado!Rúbrica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en los DataFrames.1.51.53.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para encapsular la lógica de Pandas y SQL.+ 1.0+ 0.5TOTAL5.05.0Diego Mauricio Zuluaga RodríguezProfesor - Departamento de EconomíaUniversidad de La Sabana</t>
  </si>
  <si>
    <t>☕ Retroalimentación Parcial Final
Corte 2: Inteligencia de Negocios  Estudiante: Alejandra León Vargas  Calificación Final: 10/50 (Equivalente a 1.0)  Hola, Alejandra. He revisado con detenimiento tu repositorio
en GitHub y el contenido de tu entrega para este parcial final del segundo
corte. Debo comenzar destacando que tu archivo README es excelente.
Está muy bien estructurado, explica con claridad los conceptos de normalización
(1NF y 3NF) y demuestra que tienes una comprensión teórica muy sólida de lo que
es un proceso ETL y una arquitectura relacional. La presencia de los archivos
CSV (sucios y limpios) y la base de datos .db sugiere que realizaste el
trabajo. Sin embargo, Alejandra, en este curso de Programación y
Decisiones, el objeto principal de evaluación es el código fuente. Al no
haber cargado el archivo .ipynb (Jupyter Notebook) o los archivos .py
solicitados, no tengo ninguna evidencia técnica de tu lógica de programación,
del uso de la librería Pandas o de la implementación de los comandos SQL. En el mundo del desarrollo de software y la analítica de
datos, los resultados (los archivos finales) no tienen validez académica sin el
script que los genera, ya que el código es lo que garantiza la transparencia,
la autoría y la reproducibilidad del análisis. Como se indicó en las reglas de
autogestión y en el enunciado, el archivo con el código es el entregable
mandatorio para validar los puntos de la rúbrica. Debido a la ausencia total del código fuente, la
calificación debe ser estricta y se sitúa en el mínimo de 10 puntos, otorgados
principalmente por la excelente documentación en el README y la correcta
gestión del repositorio en GitHub, que demuestran tu capacidad de organización. Te motivo a que esta experiencia te sirva de aprendizaje
para el tercer corte. Tienes la teoría clara y sabes documentar procesos de
forma profesional; ahora solo falta asegurar que el "motor" de tu
trabajo (el código) siempre esté presente en tus entregas. No bajes la guardia,
pues en el Corte 3 entraremos a la fase de interfaces gráficas y Power BI,
donde tu habilidad para documentar será un gran activo.  Rúbrica de Calificación 
  Criterio de Evaluación 
  Requisito Técnico 
  Puntaje Máximo 
  Puntaje Obtenido 
  1. Carga y Exportación 
  Generación de CSV sucios y exportación de limpios (Sin
  código). 
  0.5 
  0.1 
  2. Limpieza y Normalización 
  Manejo de nulos, 1NF, 2NF, 3NF en Pandas (Sin código). 
  1.5 
  0.2 
  3. Migración a SQLite 
  Creación de .db y carga con to_sql() (Sin código). 
  1.0 
  0.2 
  4. Arquitectura y CRUD (SQL) 
  Tabla ventas con PK/FK y operaciones CRUD (Sin código). 
  1.5 
  0.2 
  5. Autogestión y GitHub 
  Repositorio, README detallado y archivos de salida
  presentes. 
  0.5 
  0.3 
  Bono de Arquitectura 
  Modularización con POO y archivos .py (No aplica). 
  +1.0 
  0.0 
  TOTAL 
  5.0 
  1.0 (10/50) 
  Diego Mauricio Zuluaga Rodríguez Profesor - Departamento de Economía Universidad de La Sabana</t>
  </si>
  <si>
    <t>🚀 Retroalimentación de la
Entrega: Parcial Final Corte 2 (50%)  Integrantes: Maria Juliana Mejia Quintero, Maria Jose
Botero Galviz.  Calificación Final: 50/50 (Equivalente a 5.0)  ¡Hola, equipo! He revisado detalladamente su examen parcial
y quiero felicitarlas por el excelente nivel técnico que han demostrado. Han
logrado integrar de manera impecable la limpieza de datos con Pandas y la
persistencia en bases de datos relacionales (SQLite), cumpliendo a cabalidad
con los requerimientos de la prueba.  Puntos a destacar (Lo excelente): 
 Limpieza
     y Normalización (Pandas): El manejo que le dieron a los DataFrames fue
     muy profesional. La separación de las columnas compuestas (cliente_info, contacto_info)
     usando .str.split(expand=True) garantizó la Primera Forma Normal (1NF).
     Además, la eliminación de las columnas derivadas (ganancia y edad)
     demuestra que entienden perfectamente la Tercera Forma Normal (3NF). La
     función limpiar_precio() es una solución muy elegante y robusta para
     estandarizar los valores monetarios. 
 Migración
     a SQLite: El enfoque que utilizaron para crear las tablas con PRIMARY
     KEY explícita mediante SQL puro antes de usar df.to_sql(...,
     if_exists='append') es una práctica avanzada que garantiza que la
     estructura de la base de datos sea exactamente la que ustedes diseñaron,
     evitando que Pandas infiera tipos de datos incorrectos. 
 Arquitectura
     SQL y CRUD: La creación de la tabla ventas con sus respectivas Llaves
     Foráneas (FK) y la activación de PRAGMA foreign_keys = ON asegura la
     integridad referencial del sistema. Las operaciones CRUD se ejecutaron sin
     problemas, y el uso de pd.read_sql() para mostrar los resultados del INNER
     JOIN como un DataFrame formateado es un excelente toque de presentación
     (UX). Oportunidad de Mejora (Bono de Arquitectura): 
 El
     parcial ofrecía un bono de +1.0 unidad si el proyecto se entregaba
     modularizado en varios archivos .py (Ej: limpieza.py, base_datos.py, main.py)
     utilizando Programación Orientada a Objetos (POO). Su entrega se realizó
     en un único archivo .ipynb y no utilizó POO para encapsular la lógica. Por
     lo tanto, no se otorga el bono adicional. Sin embargo, la ejecución
     técnica de lo solicitado en el archivo .ipynb es perfecta, por lo que
     obtienen la nota máxima base (5.0).  Motivación: Tienen una base técnica y lógica sumamente sólida. Han
demostrado que entienden cómo estructurar un proyecto de Inteligencia de
Negocios desde la extracción de datos "sucios" hasta la generación de
reportes estructurados en SQL. Si mantienen esta disciplina y atención al
detalle, están más que preparadas para el Corte 3, donde le daremos una
Interfaz Gráfica (GUI) a todo este motor lógico. ¡Felicitaciones por este gran
resultado!  Rúbrica de Calificación 
  Criterio de Evaluación 
  Descripción Técnica 
  Puntaje Máximo 
  Puntaje Obtenido 
  1. Carga y Exportación 
  Generación correcta de los 3 CSV sucios y exportación de
  los 3 CSV limpios. 
  0.5 
  0.5 
  2. Limpieza y Normalización (Pandas) 
  Manejo de nulos, estandarización de textos y aplicación
  correcta de 1NF, 2NF y 3NF en los DataFrames. 
  1.5 
  1.5 
  3. Migración a SQLite 
  Creación del archivo .db y carga exitosa de los 3
  DataFrames limpios como tablas SQL. 
  1.0 
  1.0 
  4. Arquitectura y CRUD (SQL) 
  Creación de la tabla ventas con PK/FK válidas. Ejecución
  exitosa de INSERT, SELECT (con JOIN), UPDATE y DELETE. 
  1.5 
  1.5 
  5. Autogestión y GitHub 
  Repositorio individual completo, README.md detallado y
  código documentado. 
  0.5 
  0.5 
  🌟 BONO DE ARQUITECTURA 
  Modularización con POO y archivos .py (No aplicado). 
  + 1.0 
  0.0 
  TOTAL 
  5.0 
  5.0 
   Diego Mauricio Zuluaga Rodríguez Profesor - Departamento de Economía Universidad de La Sabana</t>
  </si>
  <si>
    <t>🚀 Retroalimentación de la
Entrega: Parcial Final Corte 2 (50%) Integrantes: Valeria Morales Giraldo, Paula
Arciniegas, Isabella Carranza  Calificación Final: 4.5 / 5.0  ¡Hola, equipo! He revisado detalladamente su examen parcial.
Han logrado integrar de forma muy interesante la limpieza de datos con Pandas y
la persistencia en bases de datos relacionales (SQLite). El flujo del programa
es lógico y cumple con el objetivo principal de transformar datos
"sucios" en información estructurada.  Puntos a destacar (Lo excelente): 
 Limpieza
     y Normalización (Pandas): El manejo que le dieron a los
     DataFrames fue muy acertado. La separación de las columnas compuestas
     (cliente_info, empresa_ciudad, producto_info)
     usando .str.split(expand=True) garantizó la Primera Forma Normal
     (1NF). Además, la eliminación de la columna
     redundante edad (3NF) demuestra que entienden los principios de
     normalización. 
 Migración
     a SQLite: El uso de df.to_sql() para cargar los
     DataFrames directamente como tablas en la base de datos es la forma más
     eficiente de migrar información. La creación manual de las tablas antes de
     insertar los datos para asegurar los tipos de datos es una excelente
     práctica. 
 Arquitectura
     y CRUD (SQL): La creación de la tabla ventas con las
     Llaves Foráneas (FK) correctas y la ejecución de las operaciones CRUD
     (INSERT, UPDATE, DELETE) demuestra un buen dominio de SQL. El uso
     de pd.read_sql() para ejecutar el JOIN y mostrar el
     resultado como un DataFrame es una forma muy profesional de presentar
     reportes. Oportunidades de Mejora (Rigor Técnico y Autogestión): 
 Bono
     de Arquitectura: El enunciado era claro en que para obtener el
     bono de +1.0 unidad, el proyecto debía estar "modularizado en varios
     archivos .py (Ej: limpieza.py, base_datos.py, main.py)".
     Ustedes entregaron un único archivo .ipynb. Aunque usaron POO (lo
     cual es excelente), no cumplieron con el requisito de modularización en
     archivos separados, por lo que no se otorga el bono. 
 Limpieza
     Incompleta (Sanity Check): En la limpieza de la
     tabla productos, olvidaron limpiar el signo $ de la
     columna precio y convertirla a numérico (float o int).
     Si intentan hacer operaciones matemáticas con esa columna en SQLite, el
     sistema fallará porque los datos siguen siendo texto ($5000). 
 Manejo
     de Nulos (NaN): En la tabla productos, la
     columna stock tenía valores nulos. Su código los rellenó con 0,
     lo cual es válido, pero olvidaron manejar los nulos en la
     columna precio (si los hubiera) o en otras columnas críticas
     antes de exportar. Motivación:  Tienen una base técnica y lógica sumamente sólida. Han
demostrado que saben cómo estructurar un proyecto de Inteligencia de Negocios
desde la extracción de datos hasta la generación de reportes. Para el Corte 3,
donde le daremos una Interfaz Gráfica (GUI) a todo este motor lógico, presten
especial atención a los detalles de limpieza de datos (como el signo $) y
sigan las instrucciones de entrega al pie de la letra. ¡Están haciendo un gran
trabajo como futuras CTOs!  Rúbrica de Calificación 
  Criterio de Evaluación 
  Descripción Técnica 
  Puntaje Máximo 
  Puntaje Obtenido 
  1. Carga y Exportación 
  Generación correcta de los 3 CSV sucios y exportación de
  los 3 CSV limpios. 
  0.5 
  0.5 
  2. Limpieza y Normalización (Pandas) 
  Manejo de nulos, estandarización de textos y aplicación
  correcta de 1NF, 2NF y 3NF. 
  1.5 
  1.0 
  3. Migración a SQLite 
  Creación del archivo .db y carga exitosa de los
  3 DataFrames limpios como tablas SQL. 
  1.0 
  1.0 
  4. Arquitectura y CRUD (SQL) 
  Creación de la tabla ventas con PK/FK válidas.
  Ejecución exitosa de INSERT, SELECT (con JOIN), UPDATE y DELETE. 
  1.5 
  1.5 
  5. Autogestión y GitHub 
  Repositorio individual
  completo, README.md detallado y código documentado. 
  0.5 
  0.5 
  🌟 BONO DE ARQUITECTURA 
  Modularización con POO y archivos .py. 
  + 1.0 
  + 0.0 
  TOTAL 
  5.0 
  4.5 
  Diego Mauricio Zuluaga Rodríguez Profesor - Departamento de Economía Universidad de La Sabana</t>
  </si>
  <si>
    <t>⚠️ Seguimiento: Ausencia de entrega Segundo Examen Parcial - Programación y Decisiones Hola Cristian, espero que te encuentres muy bien. Al
 revisar la entrega en Teams, noté con preocupación que no registraste el 
vínculo de tu Segundo Examen Parcial el pasado miércoles 15 de abril. Como sabes, este examen representa el 50% de la nota del Corte 2. En nuestro camino hacia la excelencia y la autogestión, el cumplimiento de los cronogramas es un pilar fundamental de tu formación como profesional. Si
 tuviste algún inconveniente de fuerza mayor o un problema de salud que 
te impidió realizar la entrega o asistir a la sesión, te recuerdo que, 
según el reglamento de la Universidad, debes tramitar la excusa oficial
 con tu Dirección de Programa en los tiempos establecidos. Una vez 
validada por la Jefatura, podremos revisar tu caso particular. De
 lo contrario, la plataforma registrará la calificación correspondiente 
según lo estipulado en nuestro contrato pedagógico inicial. No bajes los brazos. El Corte 3
 inicia este miércoles y es la oportunidad para cerrar el semestre con 
éxito, integrando todo lo aprendido en una solución real con Interfaz 
Gráfica y Power BI. Quedo atento a tus noticias. Atentamente,Diego Mauricio Zuluaga Rodríguez Profesor - Departamento de Economía Universidad de La Sabana</t>
  </si>
  <si>
    <t>☕ Retroalimentación del Parcial Final - Corte 2: Inteligencia de Negocios  Integrantes: Nicolas Torres Calderon, Juan Camilo Leyton Lancheros, Cristian Bermudez.  Calificación Final: 4.6 / 5.0  ¡Hola, equipo! Espero que se encuentren muy bien. He revisado detalladamente la entrega de su parcial y quiero comenzar felicitándolos por la excelencia técnica demostrada en el procesamiento de los datos. Su dominio de la librería Pandas y la estructuración de la base de datos relacional es de un nivel muy alto, lo cual es fundamental para su formación en la EICEA. En la Fase de Limpieza y Normalización, realizaron un trabajo impecable. Aplicaron correctamente la Primera Forma Normal (1NF) al separar las columnas compuestas y, lo más importante, demostraron entender la Tercera Forma Normal (3NF) al eliminar la columna "edad", reconociendo que es un dato redundante que se deriva de la fecha de nacimiento. El manejo de valores nulos con "No Registra" y la estandarización de textos con .str.title() le dan un acabado profesional a los datasets. En la Fase de Arquitectura SQL, la creación de la tabla "ventas" fue ejecutada con precisión. Incluyeron correctamente las Llaves Primarias y Foráneas, y no olvidaron activar el PRAGMA foreign_keys = ON, un paso crítico que garantiza que la base de datos realmente proteja la integridad de la información. Las operaciones CRUD (Crear, Leer, Actualizar, Eliminar) funcionan perfectamente, y el reporte con INNER JOIN permite visualizar la información de forma coherente. Sin embargo, como les mencioné desde el inicio del semestre, la Autogestión y el seguimiento estricto de instrucciones son competencias tan importantes como la programación misma. En este punto la calificación debe ser muy estricta para prepararlos para el mundo profesional: Incumplimiento en el formato de entrega: Las instrucciones eran claras al solicitar que la entrega se realizara mediante un vínculo de un repositorio público en GitHub. Subir los archivos directamente a Teams dificulta la auditoría de versiones y el flujo de trabajo colaborativo que estamos practicando. Por esta razón, el puntaje en el criterio de "Autogestión y GitHub" se ha visto penalizado significativamente. Sobre el Bono de Arquitectura: El bono de +1.0 unidad extra exigía dos requisitos obligatorios: modularizar el proyecto en varios archivos .py y utilizar Programación Orientada a Objetos (POO) para encapsular la lógica. Aunque su código en el Notebook es excelente, es un script procedimental y no implementa Clases ni Objetos, por lo cual no es posible otorgar este beneficio adicional. A pesar de estas observaciones sobre el cumplimiento de las reglas de entrega, el contenido técnico de su examen es sobresaliente. Tienen una lógica de programación muy sólida. Si logran combinar ese talento técnico con una atención rigurosa a los detalles administrativos y de despliegue (como el uso de GitHub), serán profesionales imparables. ¡Mucho ánimo para el inicio del Corte 3, donde daremos el salto a las interfaces gráficas y Power BI!  Rúbrica de Calificación Criterio de Evaluación Requisito Técnico Puntaje Máximo Puntaje Obtenido 1. Carga y Exportación Generación de CSV sucios y exportación de limpios. 0.5 0.5 2. Limpieza y Normalización Manejo de nulos, estandarización y aplicación de 1NF, 2NF, 3NF con Pandas. 1.5 1.5 3. Migración a SQLite Creación del archivo .db y carga exitosa de DataFrames con to_sql(). 1.0 1.0 4. Arquitectura y CRUD (SQL) Tabla ventas con PK/FK. Ejecución de INSERT, SELECT (JOIN), UPDATE y DELETE. 1.5 1.5 5. Autogestión y GitHub Repositorio individual en GitHub y README. (No se entregó link de GitHub). 0.5 0.1 Bono de Arquitectura Modularización con POO y archivos .py. (No se aplicó POO ni .py). +1.0 0.0 TOTAL FINAL 5.0 4.6   Diego Mauricio Zuluaga Rodríguez Profesor - Departamento de Economía Universidad de La Sabana</t>
  </si>
  <si>
    <t>☕ Retroalimentación de la
Entrega: Parcial Final Corte 2  Integrantes: Sofia Giraldo Pico, Valery Linares
Hernandez.  Calificación Final: 30/50 (Equivalente a 3.0)  Comentarios del Profesor: Hola, equipo. He revisado su proyecto y quiero destacar que,
desde una perspectiva de ingeniería de software, han entregado una de las
soluciones más avanzadas y profesionales del curso. La modularización del
proyecto en archivos .py (datos_sucios.py, limpieza.py, base_datos.py) y el uso
de Programación Orientada a Objetos para encapsular la lógica de limpieza y las
operaciones CRUD es una arquitectura de nivel industrial. La clase OrquestadorLimpieza y las clases de MigracionCafeteria
y OperacionesVentas demuestran un dominio excepcional de los principios de
diseño de software, separando las responsabilidades de cada componente del
sistema. La función _reemplazar_tabla_con_llave_primaria para solucionar la
limitación de to_sql con las Llaves Primarias es una solución brillante y muy
ingeniosa. Sin embargo, debo ser estricto con las reglas de autogestión
y cronograma del curso. El parcial fue entregado con más de 2 horas de
retraso. Como se estableció en el contrato pedagógico y en el enunciado del
examen, la puntualidad es un requisito innegociable, especialmente en una
evaluación de esta magnitud. Por este motivo, la calificación máxima posible se
reduce a 30/50 (3.0), y el bono de arquitectura no puede ser aplicado. Es una lástima que un trabajo técnico tan sobresaliente se
vea afectado por la gestión del tiempo. Espero que esto sirva como un
aprendizaje valioso para el Corte 3 y para su futuro profesional, donde cumplir
con las fechas de entrega es tan importante como la calidad del código. A pesar
de la penalización, quiero que sepan que su capacidad técnica es de primer
nivel.  Rúbrica de Calificación 
  Criterio de Evaluación 
  Requisito Técnico 
  Puntaje Máximo 
  Puntaje Obtenido 
  Carga y Exportación 
  Generación de CSV sucios y exportación de limpios. 
  0.5 
  0.5 
  Limpieza y Normalización 
  Manejo de nulos, estandarización y aplicación de 1NF, 2NF,
  3NF con Pandas. 
  1.5 
  1.5 
  Migración a SQLite 
  Creación del archivo .db y carga exitosa de DataFrames. 
  1.0 
  1.0 
  Arquitectura y CRUD (SQL) 
  Tabla ventas con PK/FK. Ejecución de INSERT, SELECT
  (JOIN), UPDATE y DELETE. 
  1.5 
  1.5 
  Autogestión y GitHub 
  Repositorio completo, README.md detallado y código
  documentado. 
  0.5 
  0.5 
  Subtotal Técnico 
  5.0 
  5.0 
  Penalización por Retraso 
  Entrega extemporánea (2 horas tarde). Calificación máxima
  se reduce a 3.0. 
  -2.0 
  -2.0 
  TOTAL 
  5.0 
  3.0 
  Diego Mauricio Zuluaga Rodríguez Profesor - Departamento de Economía Universidad de La Sabana</t>
  </si>
  <si>
    <t>🚀 Retroalimentación de la Entrega: Parcial Final Corte 2 (50%)Integrantes: Valeria Morales Giraldo, Paula Arciniegas, Isabella Carranza Calificación Final: 4.5 / 5.0 ¡Hola, equipo! He revisado detalladamente su examen parcial. Han logrado integrar de forma muy interesante la limpieza de datos con Pandas y la persistencia en bases de datos relacionales (SQLite). El flujo del programa es lógico y cumple con el objetivo principal de transformar datos "sucios" en información estructurada. Puntos a destacar (Lo excelente):Limpieza y Normalización (Pandas): El manejo que le dieron a los DataFrames fue muy acertado. La separación de las columnas compuestas (cliente_info, empresa_ciudad, producto_info) usando .str.split(expand=True) garantizó la Primera Forma Normal (1NF). Además, la eliminación de la columna redundante edad (3NF) demuestra que entienden los principios de normalización.Migración a SQLite: El uso de df.to_sql() para cargar los DataFrames directamente como tablas en la base de datos es la forma más eficiente de migrar información. La creación manual de las tablas antes de insertar los datos para asegurar los tipos de datos es una excelente práctica.Arquitectura y CRUD (SQL): La creación de la tabla ventas con las Llaves Foráneas (FK) correctas y la ejecución de las operaciones CRUD (INSERT, UPDATE, DELETE) demuestra un buen dominio de SQL. El uso de pd.read_sql() para ejecutar el JOIN y mostrar el resultado como un DataFrame es una forma muy profesional de presentar reportes.Oportunidades de Mejora (Rigor Técnico y Autogestión):Bono de Arquitectura: El enunciado era claro en que para obtener el bono de +1.0 unidad, el proyecto debía estar "modularizado en varios archivos .py (Ej: limpieza.py, base_datos.py, main.py)". Ustedes entregaron un único archivo .ipynb. Aunque usaron POO (lo cual es excelente), no cumplieron con el requisito de modularización en archivos separados, por lo que no se otorga el bono.Limpieza Incompleta (Sanity Check): En la limpieza de la tabla productos, olvidaron limpiar el signo $ de la columna precio y convertirla a numérico (float o int). Si intentan hacer operaciones matemáticas con esa columna en SQLite, el sistema fallará porque los datos siguen siendo texto ($5000).Manejo de Nulos (NaN): En la tabla productos, la columna stock tenía valores nulos. Su código los rellenó con 0, lo cual es válido, pero olvidaron manejar los nulos en la columna precio (si los hubiera) o en otras columnas críticas antes de exportar.Motivación: Tienen una base técnica y lógica sumamente sólida. Han demostrado que saben cómo estructurar un proyecto de Inteligencia de Negocios desde la extracción de datos hasta la generación de reportes. Para el Corte 3, donde le daremos una Interfaz Gráfica (GUI) a todo este motor lógico, presten especial atención a los detalles de limpieza de datos (como el signo $) y sigan las instrucciones de entrega al pie de la letra. ¡Están haciendo un gran trabajo como futuras CTOs! 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2NF y 3NF.1.51.03.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y archivos .py.+ 1.0+ 0.0TOTAL5.04.5 Diego Mauricio Zuluaga RodríguezProfesor - Departamento de EconomíaUniversidad de La Sabana</t>
  </si>
  <si>
    <t>Dirección de correo</t>
  </si>
  <si>
    <t>Total Tareas - Corte 2</t>
  </si>
  <si>
    <t>Total TALLER CORTE 2</t>
  </si>
  <si>
    <t>Total PARCIAL CORTE 2</t>
  </si>
  <si>
    <t>Asistencia Parcial</t>
  </si>
  <si>
    <t>Puntos Extra</t>
  </si>
  <si>
    <t>FINAL CORTE 2</t>
  </si>
  <si>
    <t>TOTAL CORTE 2</t>
  </si>
  <si>
    <t>Deuda Corte 1</t>
  </si>
  <si>
    <t>DEUDA</t>
  </si>
  <si>
    <t>FINAL CORTE 2 Ajustada</t>
  </si>
  <si>
    <t>CORTE 2_SIGA</t>
  </si>
  <si>
    <t>Nota_c1</t>
  </si>
  <si>
    <t>Nota_c2</t>
  </si>
  <si>
    <t>Nota_c3_Proyectada</t>
  </si>
  <si>
    <t>Nota_semestre</t>
  </si>
  <si>
    <t>Nota mínima corte 3</t>
  </si>
  <si>
    <t>Nota_c3</t>
  </si>
  <si>
    <t>ARIZA QUITIAN, AVRIL</t>
  </si>
  <si>
    <t>Nota de 5 %</t>
  </si>
  <si>
    <t>Nota &lt; 3 %</t>
  </si>
  <si>
    <t>CORTE 1</t>
  </si>
  <si>
    <t>CORTE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</si>
</sst>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4" x14ac:knownFonts="1">
    <font>
      <sz val="11"/>
      <name val="Segoe UI"/>
    </font>
    <font>
      <b/>
      <sz val="18"/>
      <color rgb="FFFFFFFF"/>
      <name val="Segoe UI"/>
      <family val="2"/>
    </font>
    <font>
      <b/>
      <sz val="11"/>
      <name val="Segoe UI"/>
      <family val="2"/>
    </font>
    <font>
      <i/>
      <sz val="11"/>
      <name val="Segoe UI"/>
      <family val="2"/>
    </font>
    <font>
      <u/>
      <sz val="11"/>
      <color rgb="FF0000EE"/>
      <name val="Segoe UI"/>
      <family val="2"/>
    </font>
    <font>
      <sz val="11"/>
      <name val="Segoe UI"/>
      <family val="2"/>
    </font>
    <font>
      <b/>
      <sz val="11"/>
      <color theme="1"/>
      <name val="Segoe UI"/>
      <family val="2"/>
    </font>
    <font>
      <b/>
      <sz val="11"/>
      <color theme="1"/>
      <name val="Segoe UI"/>
      <family val="2"/>
    </font>
    <font>
      <b/>
      <sz val="11"/>
      <name val="Segoe UI"/>
      <family val="2"/>
    </font>
    <font>
      <sz val="11"/>
      <color theme="1"/>
      <name val="Segoe UI"/>
      <family val="2"/>
    </font>
    <font>
      <b/>
      <sz val="10"/>
      <color theme="1"/>
      <name val="Calibri"/>
      <family val="2"/>
    </font>
    <font>
      <sz val="10"/>
      <color theme="1"/>
      <name val="Calibri"/>
      <family val="2"/>
    </font>
    <font>
      <sz val="11"/>
      <name val="Segoe UI"/>
      <family val="2"/>
    </font>
    <font>
      <sz val="8"/>
      <name val="Segoe UI"/>
      <family val="2"/>
    </font>
  </fonts>
  <fills count="13">
    <fill>
      <patternFill patternType="none"/>
    </fill>
    <fill>
      <patternFill patternType="gray125"/>
    </fill>
    <fill>
      <patternFill patternType="solid">
        <fgColor rgb="FF5B5FC7"/>
      </patternFill>
    </fill>
    <fill>
      <patternFill patternType="solid">
        <fgColor theme="4" tint="0.79998168889431442"/>
        <bgColor theme="4" tint="0.79998168889431442"/>
      </patternFill>
    </fill>
    <fill>
      <patternFill patternType="solid">
        <fgColor theme="5" tint="0.79998168889431442"/>
        <bgColor theme="4" tint="0.79998168889431442"/>
      </patternFill>
    </fill>
    <fill>
      <patternFill patternType="solid">
        <fgColor theme="9" tint="0.39997558519241921"/>
        <bgColor theme="4" tint="0.7999816888943144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bgColor theme="4" tint="0.79998168889431442"/>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5" fillId="0" borderId="0" applyFont="0" applyFill="0" applyBorder="0" applyAlignment="0" applyProtection="0"/>
    <xf numFmtId="0" fontId="5" fillId="0" borderId="0"/>
  </cellStyleXfs>
  <cellXfs count="74">
    <xf numFmtId="0" fontId="0" fillId="0" borderId="0" xfId="0"/>
    <xf numFmtId="0" fontId="0" fillId="0" borderId="1" xfId="0" pivotButton="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6" fillId="3" borderId="1" xfId="0" applyFont="1" applyFill="1" applyBorder="1" applyAlignment="1">
      <alignment horizontal="center" vertical="center"/>
    </xf>
    <xf numFmtId="2" fontId="7" fillId="3" borderId="1" xfId="0" applyNumberFormat="1" applyFont="1" applyFill="1" applyBorder="1" applyAlignment="1">
      <alignment horizontal="center" vertical="center" wrapText="1"/>
    </xf>
    <xf numFmtId="1" fontId="6" fillId="3" borderId="1" xfId="0" applyNumberFormat="1" applyFont="1" applyFill="1" applyBorder="1" applyAlignment="1">
      <alignment horizontal="center" vertical="center"/>
    </xf>
    <xf numFmtId="0" fontId="7" fillId="3" borderId="1" xfId="0" applyFont="1" applyFill="1" applyBorder="1" applyAlignment="1">
      <alignment horizontal="center" vertical="center" wrapText="1"/>
    </xf>
    <xf numFmtId="9" fontId="7" fillId="4" borderId="1" xfId="0" applyNumberFormat="1" applyFont="1" applyFill="1" applyBorder="1" applyAlignment="1">
      <alignment horizontal="center" vertical="center" wrapText="1"/>
    </xf>
    <xf numFmtId="9" fontId="7" fillId="5"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2" fontId="0" fillId="6" borderId="1" xfId="0" applyNumberFormat="1" applyFill="1" applyBorder="1" applyAlignment="1">
      <alignment horizontal="center" vertical="center" wrapText="1"/>
    </xf>
    <xf numFmtId="164" fontId="8" fillId="7" borderId="1" xfId="0" applyNumberFormat="1" applyFont="1" applyFill="1" applyBorder="1" applyAlignment="1">
      <alignment horizontal="center" vertical="center" wrapText="1"/>
    </xf>
    <xf numFmtId="164" fontId="8" fillId="0" borderId="1" xfId="0" applyNumberFormat="1" applyFont="1" applyBorder="1" applyAlignment="1">
      <alignment horizontal="center" vertical="center" wrapText="1"/>
    </xf>
    <xf numFmtId="2" fontId="7" fillId="4" borderId="1" xfId="0" applyNumberFormat="1" applyFont="1" applyFill="1" applyBorder="1" applyAlignment="1">
      <alignment horizontal="center" vertical="center" wrapText="1"/>
    </xf>
    <xf numFmtId="2" fontId="7" fillId="5" borderId="1" xfId="0" applyNumberFormat="1" applyFont="1" applyFill="1" applyBorder="1" applyAlignment="1">
      <alignment horizontal="center" vertical="center" wrapText="1"/>
    </xf>
    <xf numFmtId="164" fontId="7" fillId="5" borderId="1" xfId="0" applyNumberFormat="1" applyFont="1" applyFill="1" applyBorder="1" applyAlignment="1">
      <alignment horizontal="center" vertical="center" wrapText="1"/>
    </xf>
    <xf numFmtId="9" fontId="7" fillId="3" borderId="1" xfId="1"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0"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5" xfId="0" applyBorder="1" applyAlignment="1">
      <alignment horizontal="center" vertical="center"/>
    </xf>
    <xf numFmtId="0" fontId="4" fillId="0" borderId="1" xfId="0" applyFont="1" applyBorder="1" applyAlignment="1">
      <alignment horizontal="center" vertical="center"/>
    </xf>
    <xf numFmtId="14" fontId="0" fillId="0" borderId="1" xfId="0" applyNumberFormat="1" applyBorder="1" applyAlignment="1">
      <alignment horizontal="center" vertical="center"/>
    </xf>
    <xf numFmtId="0" fontId="3" fillId="0" borderId="1" xfId="0" applyFont="1" applyBorder="1" applyAlignment="1">
      <alignment horizontal="center" vertical="center"/>
    </xf>
    <xf numFmtId="9" fontId="0" fillId="0" borderId="6" xfId="0" applyNumberFormat="1" applyBorder="1" applyAlignment="1">
      <alignment horizontal="center" vertical="center"/>
    </xf>
    <xf numFmtId="0" fontId="12" fillId="0" borderId="5"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4" fillId="0" borderId="8" xfId="0" applyFont="1" applyBorder="1" applyAlignment="1">
      <alignment horizontal="center" vertical="center"/>
    </xf>
    <xf numFmtId="14" fontId="0" fillId="0" borderId="8" xfId="0" applyNumberFormat="1" applyBorder="1" applyAlignment="1">
      <alignment horizontal="center" vertical="center"/>
    </xf>
    <xf numFmtId="0" fontId="3" fillId="0" borderId="8" xfId="0" applyFont="1" applyBorder="1" applyAlignment="1">
      <alignment horizontal="center" vertical="center"/>
    </xf>
    <xf numFmtId="1" fontId="0" fillId="0" borderId="8" xfId="0" applyNumberFormat="1" applyBorder="1" applyAlignment="1">
      <alignment horizontal="center" vertical="center"/>
    </xf>
    <xf numFmtId="9" fontId="0" fillId="0" borderId="9" xfId="0" applyNumberFormat="1" applyBorder="1" applyAlignment="1">
      <alignment horizontal="center" vertical="center"/>
    </xf>
    <xf numFmtId="0" fontId="11" fillId="0" borderId="1" xfId="0" applyFont="1" applyBorder="1" applyAlignment="1">
      <alignment horizontal="center" vertical="center" wrapText="1"/>
    </xf>
    <xf numFmtId="0" fontId="9" fillId="0" borderId="1" xfId="0" applyFont="1" applyBorder="1" applyAlignment="1">
      <alignment horizontal="center" vertical="center"/>
    </xf>
    <xf numFmtId="0" fontId="1" fillId="2" borderId="0" xfId="0" applyFont="1" applyFill="1" applyAlignment="1">
      <alignment horizontal="left" vertical="center"/>
    </xf>
    <xf numFmtId="0" fontId="0" fillId="0" borderId="0" xfId="0" applyAlignment="1">
      <alignment horizontal="left" vertical="center"/>
    </xf>
    <xf numFmtId="164" fontId="0" fillId="0" borderId="1" xfId="0" applyNumberFormat="1" applyBorder="1" applyAlignment="1">
      <alignment horizontal="center" vertical="center" wrapText="1"/>
    </xf>
    <xf numFmtId="0" fontId="12" fillId="0" borderId="1" xfId="0" applyFont="1" applyBorder="1"/>
    <xf numFmtId="165" fontId="7" fillId="5" borderId="1" xfId="1" applyNumberFormat="1" applyFont="1" applyFill="1" applyBorder="1" applyAlignment="1">
      <alignment horizontal="center" vertical="center" wrapText="1"/>
    </xf>
    <xf numFmtId="0" fontId="5" fillId="0" borderId="0" xfId="2"/>
    <xf numFmtId="9" fontId="5" fillId="0" borderId="0" xfId="2" applyNumberFormat="1"/>
    <xf numFmtId="1" fontId="5" fillId="0" borderId="0" xfId="2" applyNumberFormat="1"/>
    <xf numFmtId="0" fontId="3" fillId="0" borderId="0" xfId="2" applyFont="1"/>
    <xf numFmtId="14" fontId="5" fillId="0" borderId="0" xfId="2" applyNumberFormat="1"/>
    <xf numFmtId="0" fontId="4" fillId="0" borderId="0" xfId="2" applyFont="1"/>
    <xf numFmtId="0" fontId="2" fillId="0" borderId="0" xfId="2" applyFont="1"/>
    <xf numFmtId="0" fontId="1" fillId="2" borderId="0" xfId="2" applyFont="1" applyFill="1" applyAlignment="1">
      <alignment vertical="center"/>
    </xf>
    <xf numFmtId="0" fontId="0" fillId="0" borderId="1" xfId="0" applyBorder="1"/>
    <xf numFmtId="0" fontId="6" fillId="3" borderId="1" xfId="0" applyFont="1" applyFill="1" applyBorder="1" applyAlignment="1">
      <alignment horizontal="center" vertical="center" wrapText="1"/>
    </xf>
    <xf numFmtId="9" fontId="6" fillId="5" borderId="1" xfId="0" applyNumberFormat="1" applyFont="1" applyFill="1" applyBorder="1" applyAlignment="1">
      <alignment horizontal="center" vertical="center" wrapText="1"/>
    </xf>
    <xf numFmtId="9" fontId="6" fillId="8"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4" fontId="0" fillId="0" borderId="1" xfId="0" applyNumberFormat="1" applyBorder="1" applyAlignment="1">
      <alignment horizontal="center" vertical="center" wrapText="1"/>
    </xf>
    <xf numFmtId="0" fontId="0" fillId="9" borderId="1" xfId="0" applyFill="1" applyBorder="1" applyAlignment="1">
      <alignment horizontal="center" vertical="center" wrapText="1"/>
    </xf>
    <xf numFmtId="0" fontId="2" fillId="11" borderId="1" xfId="0" applyFont="1" applyFill="1" applyBorder="1" applyAlignment="1">
      <alignment horizontal="center" vertical="center" wrapText="1"/>
    </xf>
    <xf numFmtId="9" fontId="0" fillId="0" borderId="1" xfId="0" applyNumberFormat="1" applyBorder="1" applyAlignment="1">
      <alignment horizontal="center" vertical="center" wrapText="1"/>
    </xf>
    <xf numFmtId="164" fontId="8" fillId="12" borderId="1" xfId="0" applyNumberFormat="1" applyFont="1" applyFill="1" applyBorder="1" applyAlignment="1">
      <alignment horizontal="center" vertical="center" wrapText="1"/>
    </xf>
    <xf numFmtId="0" fontId="10" fillId="0" borderId="10" xfId="0" applyFont="1" applyBorder="1" applyAlignment="1">
      <alignment horizontal="center" vertical="center" wrapText="1"/>
    </xf>
    <xf numFmtId="0" fontId="10" fillId="0" borderId="10" xfId="0" applyFont="1" applyBorder="1" applyAlignment="1">
      <alignment horizontal="center" vertical="top" wrapText="1"/>
    </xf>
    <xf numFmtId="0" fontId="11" fillId="0" borderId="10" xfId="0" applyFont="1" applyBorder="1" applyAlignment="1">
      <alignment horizontal="left" vertical="top" wrapText="1"/>
    </xf>
    <xf numFmtId="0" fontId="0" fillId="0" borderId="10" xfId="0" applyBorder="1" applyAlignment="1">
      <alignment vertical="top" wrapText="1"/>
    </xf>
    <xf numFmtId="164" fontId="0" fillId="0" borderId="10" xfId="0" applyNumberFormat="1" applyBorder="1" applyAlignment="1">
      <alignment vertical="top" wrapText="1"/>
    </xf>
    <xf numFmtId="2" fontId="0" fillId="0" borderId="0" xfId="0" applyNumberFormat="1"/>
    <xf numFmtId="165" fontId="0" fillId="0" borderId="0" xfId="0" applyNumberFormat="1"/>
    <xf numFmtId="0" fontId="2" fillId="0" borderId="1" xfId="0" applyFont="1" applyBorder="1"/>
    <xf numFmtId="0" fontId="0" fillId="0" borderId="1" xfId="0" applyBorder="1" applyAlignment="1">
      <alignment horizontal="center" vertical="center" wrapText="1"/>
    </xf>
  </cellXfs>
  <cellStyles count="3">
    <cellStyle name="Normal" xfId="0" builtinId="0"/>
    <cellStyle name="Normal 2" xfId="2" xr:uid="{02055870-9664-4BB0-A213-6ACF5D9AE322}"/>
    <cellStyle name="Porcentaje" xfId="1" builtinId="5"/>
  </cellStyles>
  <dxfs count="39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bgColor rgb="FFE7E7F7"/>
        </patternFill>
      </fill>
    </dxf>
    <dxf>
      <font>
        <b/>
        <sz val="11"/>
        <color rgb="FFFFFFFF"/>
        <name val="Segoe UI"/>
      </font>
      <fill>
        <patternFill patternType="solid">
          <fgColor rgb="FF5B5FC7"/>
          <bgColor rgb="FF5B5FC7"/>
        </patternFill>
      </fill>
      <border>
        <bottom style="thin">
          <color auto="1"/>
        </bottom>
      </border>
    </dxf>
  </dxfs>
  <tableStyles count="1" defaultTableStyle="TableStyleMedium2" defaultPivotStyle="PivotStyleLight16">
    <tableStyle name="Assignments Export" pivot="0" count="2" xr9:uid="{B98397D4-B9FE-4B45-A12E-C19BE2B1BB3F}">
      <tableStyleElement type="headerRow" dxfId="390"/>
      <tableStyleElement type="firstRowStripe" dxfId="3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1</xdr:col>
      <xdr:colOff>26987</xdr:colOff>
      <xdr:row>15</xdr:row>
      <xdr:rowOff>163512</xdr:rowOff>
    </xdr:from>
    <xdr:to>
      <xdr:col>2</xdr:col>
      <xdr:colOff>11113</xdr:colOff>
      <xdr:row>29</xdr:row>
      <xdr:rowOff>198438</xdr:rowOff>
    </xdr:to>
    <mc:AlternateContent xmlns:mc="http://schemas.openxmlformats.org/markup-compatibility/2006" xmlns:sle15="http://schemas.microsoft.com/office/drawing/2012/slicer">
      <mc:Choice Requires="sle15">
        <xdr:graphicFrame macro="">
          <xdr:nvGraphicFramePr>
            <xdr:cNvPr id="2" name="Nombre completo">
              <a:extLst>
                <a:ext uri="{FF2B5EF4-FFF2-40B4-BE49-F238E27FC236}">
                  <a16:creationId xmlns:a16="http://schemas.microsoft.com/office/drawing/2014/main" id="{E6689AE2-9165-36C6-A998-8DF00C9C05B0}"/>
                </a:ext>
              </a:extLst>
            </xdr:cNvPr>
            <xdr:cNvGraphicFramePr/>
          </xdr:nvGraphicFramePr>
          <xdr:xfrm>
            <a:off x="0" y="0"/>
            <a:ext cx="0" cy="0"/>
          </xdr:xfrm>
          <a:graphic>
            <a:graphicData uri="http://schemas.microsoft.com/office/drawing/2010/slicer">
              <sle:slicer xmlns:sle="http://schemas.microsoft.com/office/drawing/2010/slicer" name="Nombre completo"/>
            </a:graphicData>
          </a:graphic>
        </xdr:graphicFrame>
      </mc:Choice>
      <mc:Fallback xmlns:sle="http://schemas.microsoft.com/office/drawing/2010/slicer"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217488</xdr:colOff>
      <xdr:row>1</xdr:row>
      <xdr:rowOff>0</xdr:rowOff>
    </xdr:from>
    <xdr:to>
      <xdr:col>2</xdr:col>
      <xdr:colOff>11113</xdr:colOff>
      <xdr:row>14</xdr:row>
      <xdr:rowOff>198438</xdr:rowOff>
    </xdr:to>
    <mc:AlternateContent xmlns:mc="http://schemas.openxmlformats.org/markup-compatibility/2006" xmlns:sle15="http://schemas.microsoft.com/office/drawing/2012/slicer">
      <mc:Choice Requires="sle15">
        <xdr:graphicFrame macro="">
          <xdr:nvGraphicFramePr>
            <xdr:cNvPr id="3" name="Tareas">
              <a:extLst>
                <a:ext uri="{FF2B5EF4-FFF2-40B4-BE49-F238E27FC236}">
                  <a16:creationId xmlns:a16="http://schemas.microsoft.com/office/drawing/2014/main" id="{6EAE9355-1737-EC2F-09AB-8E64A9FC30E4}"/>
                </a:ext>
              </a:extLst>
            </xdr:cNvPr>
            <xdr:cNvGraphicFramePr/>
          </xdr:nvGraphicFramePr>
          <xdr:xfrm>
            <a:off x="0" y="0"/>
            <a:ext cx="0" cy="0"/>
          </xdr:xfrm>
          <a:graphic>
            <a:graphicData uri="http://schemas.microsoft.com/office/drawing/2010/slicer">
              <sle:slicer xmlns:sle="http://schemas.microsoft.com/office/drawing/2010/slicer" name="Tareas"/>
            </a:graphicData>
          </a:graphic>
        </xdr:graphicFrame>
      </mc:Choice>
      <mc:Fallback xmlns:sle="http://schemas.microsoft.com/office/drawing/2010/slicer" xmlns="">
        <xdr:sp macro="" textlink="">
          <xdr:nvSpPr>
            <xdr:cNvPr id="0" name="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231457" y="3826192"/>
    <xdr:ext cx="2257426" cy="3034666"/>
    <mc:AlternateContent xmlns:mc="http://schemas.openxmlformats.org/markup-compatibility/2006" xmlns:sle15="http://schemas.microsoft.com/office/drawing/2012/slicer">
      <mc:Choice Requires="sle15">
        <xdr:graphicFrame macro="">
          <xdr:nvGraphicFramePr>
            <xdr:cNvPr id="2" name="Nombre completo 1">
              <a:extLst>
                <a:ext uri="{FF2B5EF4-FFF2-40B4-BE49-F238E27FC236}">
                  <a16:creationId xmlns:a16="http://schemas.microsoft.com/office/drawing/2014/main" id="{29787ACD-E00C-4FA6-9193-324016B69925}"/>
                </a:ext>
              </a:extLst>
            </xdr:cNvPr>
            <xdr:cNvGraphicFramePr/>
          </xdr:nvGraphicFramePr>
          <xdr:xfrm>
            <a:off x="0" y="0"/>
            <a:ext cx="0" cy="0"/>
          </xdr:xfrm>
          <a:graphic>
            <a:graphicData uri="http://schemas.microsoft.com/office/drawing/2010/slicer">
              <sle:slicer xmlns:sle="http://schemas.microsoft.com/office/drawing/2010/slicer" name="Nombre completo 1"/>
            </a:graphicData>
          </a:graphic>
        </xdr:graphicFrame>
      </mc:Choice>
      <mc:Fallback xmlns="">
        <xdr:sp macro="" textlink="">
          <xdr:nvSpPr>
            <xdr:cNvPr id="0" name=""/>
            <xdr:cNvSpPr>
              <a:spLocks noTextEdit="1"/>
            </xdr:cNvSpPr>
          </xdr:nvSpPr>
          <xdr:spPr>
            <a:xfrm>
              <a:off x="231457" y="3826192"/>
              <a:ext cx="2257426" cy="3034666"/>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absoluteAnchor>
  <xdr:absoluteAnchor>
    <xdr:pos x="221933" y="733425"/>
    <xdr:ext cx="2295525" cy="2978468"/>
    <mc:AlternateContent xmlns:mc="http://schemas.openxmlformats.org/markup-compatibility/2006" xmlns:sle15="http://schemas.microsoft.com/office/drawing/2012/slicer">
      <mc:Choice Requires="sle15">
        <xdr:graphicFrame macro="">
          <xdr:nvGraphicFramePr>
            <xdr:cNvPr id="3" name="Tareas 1">
              <a:extLst>
                <a:ext uri="{FF2B5EF4-FFF2-40B4-BE49-F238E27FC236}">
                  <a16:creationId xmlns:a16="http://schemas.microsoft.com/office/drawing/2014/main" id="{ED400FB8-F6DA-4BD8-8942-63749D2BF5CC}"/>
                </a:ext>
              </a:extLst>
            </xdr:cNvPr>
            <xdr:cNvGraphicFramePr/>
          </xdr:nvGraphicFramePr>
          <xdr:xfrm>
            <a:off x="0" y="0"/>
            <a:ext cx="0" cy="0"/>
          </xdr:xfrm>
          <a:graphic>
            <a:graphicData uri="http://schemas.microsoft.com/office/drawing/2010/slicer">
              <sle:slicer xmlns:sle="http://schemas.microsoft.com/office/drawing/2010/slicer" name="Tareas 1"/>
            </a:graphicData>
          </a:graphic>
        </xdr:graphicFrame>
      </mc:Choice>
      <mc:Fallback xmlns="">
        <xdr:sp macro="" textlink="">
          <xdr:nvSpPr>
            <xdr:cNvPr id="0" name=""/>
            <xdr:cNvSpPr>
              <a:spLocks noTextEdit="1"/>
            </xdr:cNvSpPr>
          </xdr:nvSpPr>
          <xdr:spPr>
            <a:xfrm>
              <a:off x="221933" y="733425"/>
              <a:ext cx="2295525" cy="2978468"/>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ZULUAGA" refreshedDate="46138.515187731478" createdVersion="8" refreshedVersion="8" minRefreshableVersion="3" recordCount="410" xr:uid="{AE808BD3-7B41-49F1-A014-D56FB548A7EF}">
  <cacheSource type="worksheet">
    <worksheetSource name="table"/>
  </cacheSource>
  <cacheFields count="12">
    <cacheField name="Nombre completo" numFmtId="0">
      <sharedItems count="41">
        <s v="Paula Andrea Arciniegas Cardenas"/>
        <s v="Sofia Giraldo Pico"/>
        <s v="Valery Linares Hernandez"/>
        <s v="Nicolas Torres Calderon"/>
        <s v="Cristian Bermudez"/>
        <s v="Mariana Carmona Romero"/>
        <s v="Mariana Pena Rodriguez"/>
        <s v="Isabella Carranza Tapiero"/>
        <s v="Samuel David Lozano Holguin"/>
        <s v="Sebastian Vanoy Gutierrez"/>
        <s v="Jose Daniel Escobar Hurtado"/>
        <s v="Maria Jose Botero Galviz"/>
        <s v="Maria Juliana Mejia Quintero"/>
        <s v="Alejandra Leon Vargas"/>
        <s v="Alessandro Di Mauro Bonilla Correa"/>
        <s v="Arianne Mariana Amorocho Quiroga"/>
        <s v="Maria Juliana Herrera Pulido"/>
        <s v="Simon Gustavo Restrepo Alvarez"/>
        <s v="Daniel Felipe Camacho Pedraza"/>
        <s v="Mateo Perez Daza"/>
        <s v="Matias Mondragon Osorio"/>
        <s v="Juan David Neuta Medina"/>
        <s v="Laura Fernanda Lopez Parra"/>
        <s v="Lukas Blanco Llanes"/>
        <s v="Juan Sebastian Salas Hinojosa"/>
        <s v="Avril Avril Ariza Quitian"/>
        <s v="Samuel David Simancas Contreras"/>
        <s v="Derek Sebastian Quintero Espindola"/>
        <s v="Maria Jose Huertas Osorio"/>
        <s v="Juan Camilo Leyton Lancheros"/>
        <s v="Samuel Mathias Gonzalez Bernal"/>
        <s v="Valeria Morales"/>
        <s v="Samantha Vanegas Russi"/>
        <s v="Cristobal Robayo Jimenez"/>
        <s v="Juan Jose Caballero Mantilla"/>
        <s v="Daniel Camilo Lopez Piraquive"/>
        <s v="Gabriela Ruiz Perez"/>
        <s v="Juan Sebastian Perdomo Herrera"/>
        <s v="Martin Martin Trujillo Rodriguez"/>
        <s v="Alan David Rossoff Vanegas"/>
        <s v="Diego Alejandro Hermida Limas"/>
      </sharedItems>
    </cacheField>
    <cacheField name="Nombre" numFmtId="0">
      <sharedItems/>
    </cacheField>
    <cacheField name="Apellidos" numFmtId="0">
      <sharedItems/>
    </cacheField>
    <cacheField name="Dirección de correo electrónico" numFmtId="0">
      <sharedItems/>
    </cacheField>
    <cacheField name="Tareas" numFmtId="0">
      <sharedItems count="10">
        <s v="ENTREGA PARCIAL CORTE 1"/>
        <s v="Tarea Clase 4 🚀 Reto - El Organizador de Precios (Bono +0.5)"/>
        <s v="Tarea Clase 3 🚀 Reto Opcional - Sistema de Login Seguro (Bono +0.5)"/>
        <s v="Asistencia Clase 4"/>
        <s v="🚀 ENTREGA TALLER CORTE 1"/>
        <s v="TAREA - Calculadora de Divisas (COP/USD/EUR) – Grupos de 3"/>
        <s v="Asistencia Clase 3"/>
        <s v="Asistencia Clase 2"/>
        <s v="Tarea 1: Instalación y Ensayo"/>
        <s v="Asistencia 1: Compromiso y Lógica"/>
      </sharedItems>
    </cacheField>
    <cacheField name="Fecha de vencimiento" numFmtId="14">
      <sharedItems containsSemiMixedTypes="0" containsNonDate="0" containsDate="1" containsString="0" minDate="2026-01-28T00:00:00" maxDate="2026-02-26T00:00:00"/>
    </cacheField>
    <cacheField name="Etiqueta" numFmtId="0">
      <sharedItems count="5">
        <s v="PARCIAL CORTE 1"/>
        <s v="Puntos extra - Corte 1"/>
        <s v="Asistencia"/>
        <s v="TALLER CORTE 1"/>
        <s v="Tareas - Corte 1"/>
      </sharedItems>
    </cacheField>
    <cacheField name="Estado" numFmtId="0">
      <sharedItems/>
    </cacheField>
    <cacheField name="Comentarios" numFmtId="0">
      <sharedItems containsBlank="1" longText="1"/>
    </cacheField>
    <cacheField name="Puntos" numFmtId="1">
      <sharedItems containsSemiMixedTypes="0" containsString="0" containsNumber="1" minValue="0" maxValue="65"/>
    </cacheField>
    <cacheField name="Puntos máximos" numFmtId="1">
      <sharedItems containsSemiMixedTypes="0" containsString="0" containsNumber="1" containsInteger="1" minValue="5" maxValue="50"/>
    </cacheField>
    <cacheField name="Porcentaje" numFmtId="9">
      <sharedItems containsSemiMixedTypes="0" containsString="0" containsNumber="1" minValue="0" maxValue="1.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ZULUAGA" refreshedDate="46138.515188078702" createdVersion="8" refreshedVersion="8" minRefreshableVersion="3" recordCount="975" xr:uid="{103F7516-D552-4E11-8D56-07415BD12972}">
  <cacheSource type="worksheet">
    <worksheetSource name="table3"/>
  </cacheSource>
  <cacheFields count="12">
    <cacheField name="Nombre completo" numFmtId="0">
      <sharedItems count="39">
        <s v="Paula Andrea Arciniegas Cardenas"/>
        <s v="Sofia Giraldo Pico"/>
        <s v="Valery Linares Hernandez"/>
        <s v="Nicolas Torres Calderon"/>
        <s v="Cristian Bermudez"/>
        <s v="Mariana Carmona Romero"/>
        <s v="Mariana Pena Rodriguez"/>
        <s v="Isabella Carranza Tapiero"/>
        <s v="Samuel David Lozano Holguin"/>
        <s v="Sebastian Vanoy Gutierrez"/>
        <s v="Jose Daniel Escobar Hurtado"/>
        <s v="Maria Jose Botero Galviz"/>
        <s v="Maria Juliana Mejia Quintero"/>
        <s v="Alejandra Leon Vargas"/>
        <s v="Alessandro Di Mauro Bonilla Correa"/>
        <s v="Arianne Mariana Amorocho Quiroga"/>
        <s v="Maria Juliana Herrera Pulido"/>
        <s v="Simon Gustavo Restrepo Alvarez"/>
        <s v="Daniel Felipe Camacho Pedraza"/>
        <s v="Mateo Perez Daza"/>
        <s v="Matias Mondragon Osorio"/>
        <s v="Juan David Neuta Medina"/>
        <s v="Laura Fernanda Lopez Parra"/>
        <s v="Lukas Blanco Llanes"/>
        <s v="Juan Sebastian Salas Hinojosa"/>
        <s v="Avril Avril Ariza Quitian"/>
        <s v="Samuel David Simancas Contreras"/>
        <s v="Maria Jose Huertas Osorio"/>
        <s v="Juan Camilo Leyton Lancheros"/>
        <s v="Samuel Mathias Gonzalez Bernal"/>
        <s v="Valeria Morales"/>
        <s v="Samantha Vanegas Russi"/>
        <s v="Juan Jose Caballero Mantilla"/>
        <s v="Daniel Camilo Lopez Piraquive"/>
        <s v="Gabriela Ruiz Perez"/>
        <s v="Juan Sebastian Perdomo Herrera"/>
        <s v="Martin Martin Trujillo Rodriguez"/>
        <s v="Alan David Rossoff Vanegas"/>
        <s v="Diego Alejandro Hermida Limas"/>
      </sharedItems>
    </cacheField>
    <cacheField name="Nombre" numFmtId="0">
      <sharedItems/>
    </cacheField>
    <cacheField name="Apellidos" numFmtId="0">
      <sharedItems/>
    </cacheField>
    <cacheField name="Dirección de correo" numFmtId="0">
      <sharedItems/>
    </cacheField>
    <cacheField name="Tareas" numFmtId="0">
      <sharedItems count="24">
        <s v="🚀 Entrega Parcial Final Corte 2 (50%)"/>
        <s v="Asistencia Clase 8"/>
        <s v="Tarea 2 - Clase 8: Datos con Pandas"/>
        <s v="Tarea 1 - Clase 8: Autogestión NoSQL"/>
        <s v="Asistencia Clase 7"/>
        <s v="🔗 Tarea 2 - Clase 7 - Normalización y Llaves"/>
        <s v="🚀 Tarea 1 - Clase 7 - CRUD en SQLite"/>
        <s v="🚀 Entrega Final Taller Corte 2"/>
        <s v="📦 Tarea Clase 6: Módulo de Proveedores"/>
        <s v="Asistencia Clase 6"/>
        <s v="🛒 Tarea 3 Clase 5 - Modelando un Carrito de Compras (POO)"/>
        <s v="Tarea 2 Clase 5 - Mi Primer Análisis con IA (Prompt Engineering)"/>
        <s v="Tarea 1 Clase 5 - Análisis de Marketing con IA"/>
        <s v="Asistencia Clase 5"/>
        <s v="ENTREGA PARCIAL CORTE 1"/>
        <s v="Tarea Clase 4 🚀 Reto - El Organizador de Precios (Bono +0.5)"/>
        <s v="Tarea Clase 3 🚀 Reto Opcional - Sistema de Login Seguro (Bono +0.5)"/>
        <s v="Asistencia Clase 4"/>
        <s v="🚀 ENTREGA TALLER CORTE 1"/>
        <s v="TAREA - Calculadora de Divisas (COP/USD/EUR) – Grupos de 3"/>
        <s v="Asistencia Clase 3"/>
        <s v="Asistencia Clase 2"/>
        <s v="Tarea 1: Instalación y Ensayo"/>
        <s v="Asistencia 1: Compromiso y Lógica"/>
      </sharedItems>
    </cacheField>
    <cacheField name="Fecha de vencimiento" numFmtId="14">
      <sharedItems containsSemiMixedTypes="0" containsNonDate="0" containsDate="1" containsString="0" minDate="2026-01-28T00:00:00" maxDate="2026-04-16T00:00:00"/>
    </cacheField>
    <cacheField name="Etiqueta" numFmtId="0">
      <sharedItems count="9">
        <s v="PARCIAL CORTE 2"/>
        <s v="Asistencia (Corte 2)"/>
        <s v="Tareas - Corte 2"/>
        <s v="TALLER CORTE 2"/>
        <s v="PARCIAL CORTE 1"/>
        <s v="Puntos extra - Corte 1"/>
        <s v="Asistencia"/>
        <s v="TALLER CORTE 1"/>
        <s v="Tareas - Corte 1"/>
      </sharedItems>
    </cacheField>
    <cacheField name="Estado" numFmtId="0">
      <sharedItems/>
    </cacheField>
    <cacheField name="Comentarios" numFmtId="0">
      <sharedItems containsBlank="1" longText="1"/>
    </cacheField>
    <cacheField name="Puntos" numFmtId="1">
      <sharedItems containsSemiMixedTypes="0" containsString="0" containsNumber="1" minValue="0" maxValue="65"/>
    </cacheField>
    <cacheField name="Puntos máximos" numFmtId="1">
      <sharedItems containsSemiMixedTypes="0" containsString="0" containsNumber="1" containsInteger="1" minValue="5" maxValue="50"/>
    </cacheField>
    <cacheField name="Porcentaje" numFmtId="9">
      <sharedItems containsSemiMixedTypes="0" containsString="0" containsNumber="1" minValue="0" maxValue="1.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x v="0"/>
    <s v="Paula Andrea"/>
    <s v="Arciniegas Cardenas"/>
    <s v="paulaarcca@unisabana.edu.co"/>
    <x v="0"/>
    <d v="2026-02-25T00:00:00"/>
    <x v="0"/>
    <s v="Devuelta"/>
    <s v="Retroalimentación de la Entrega: Examen Parcial 1 - Motor_x000a_Lógico &quot;FinVes&quot;  Estudiante: ARCINIEGAS CARDENAS, PAULA ANDREA Calificación Final: 5.0 / 5.0  Comentarios del Profesor: Paula, excelente trabajo. Has entregado un examen parcial_x000a_muy sólido y estructurado. Demostraste un dominio claro de los fundamentos de_x000a_Python y cumpliste a cabalidad con los requerimientos lógicos del caso de_x000a_negocio &quot;FinVes&quot;.  Puntos a destacar (Lo excelente): _x000a_ Autogestión_x000a_     y Lógica: Tu pseudocódigo es uno de los más ordenados que he revisado._x000a_     El sistema de numeración (1.0, 1.1, 2.0...) refleja una mente analítica y_x000a_     estructurada. Lo más importante: el código en Python es un espejo exacto_x000a_     de tu planeación. _x000a_ Estructuras_x000a_     de Datos: Declaraste e implementaste a la perfección el Diccionario_x000a_     para el perfil, la Tupla para los activos fijos y la Lista para el_x000a_     portafolio dinámico. _x000a_ Procesamiento_x000a_     Matemático: El cálculo del ingreso pasivo mensual (inv[&quot;monto&quot;]_x000a_     * (inv[&quot;tasa&quot;] / 100)) / 12 y el acumulador dentro del ciclo for_x000a_     están impecables. Entendiste perfectamente la lógica financiera detrás del_x000a_     algoritmo.  Oportunidades de Mejora (Sanity Check y UX): _x000a_ Manejo_x000a_     de Errores (El Bono perdido): El parcial ofrecía hasta +1.0 unidad_x000a_     extra por implementar bloques try-except. En tu código, si el usuario_x000a_     digita la letra &quot;A&quot; cuando pides la opción del menú (int(input(...)))_x000a_     o el monto a invertir, el programa colapsará inmediatamente con un ValueError._x000a_     En el mundo real, los usuarios cometen errores de digitación; siempre_x000a_     debemos blindar nuestras aplicaciones. _x000a_ Experiencia_x000a_     de Usuario (UX): Aunque calculaste el ingreso_pasivo_total_x000a_     correctamente y mostraste el porcentaje de avance con formato :,2f,_x000a_     omitiste imprimirle al usuario cuánto dinero exacto está generando_x000a_     mensualmente. En una App financiera, ver el monto en pesos es el mayor_x000a_     incentivo para el cliente.  Motivación: _x000a_Tienes una excelente capacidad de abstracción y lógica de programación. Posees_x000a_las bases técnicas necesarias para modelar problemas complejos del mundo de los_x000a_negocios. Sigue cultivando este nivel de orden y disciplina en los próximos_x000a_cortes.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
    <s v="Sofia"/>
    <s v="Giraldo Pico"/>
    <s v="sofiagipi@unisabana.edu.co"/>
    <x v="0"/>
    <d v="2026-02-25T00:00:00"/>
    <x v="0"/>
    <s v="Devuelta"/>
    <s v="Retroalimentación de la Entrega: Examen Parcial 1 - Motor_x000a_Lógico &quot;FinVes&quot;  Estudiante: Sofia Giraldo Pico Calificación Final: 5.0 / 5.0  Comentarios del Profesor: Tu desempeño en este primer examen parcial ha sido_x000a_excelente. Has logrado plasmar la lógica de negocio solicitada en un código_x000a_limpio, estructurado y completamente funcional, demostrando que los conceptos_x000a_fundamentales del primer corte están consolidados.  Puntos a destacar (Lo excelente): _x000a_ Autogestión_x000a_     Evidenciada: El pseudocódigo entregado en la celda de Markdown es_x000a_     claro, secuencial y refleja exactamente la estructura que luego_x000a_     programaste en Python. Este paso de planeación es vital y lo has ejecutado_x000a_     a la perfección. _x000a_ Manejo_x000a_     de Estructuras de Datos: Utilizaste el diccionario (perfil_usuario),_x000a_     la tupla (activos_disponibles) y la lista (portafolio) de manera precisa._x000a_     La forma en que inicializaste el diccionario vacío y luego le asignaste_x000a_     las llaves dinámicamente con los input() demuestra una comprensión_x000a_     profunda de la mutabilidad de esta estructura. _x000a_ Procesamiento_x000a_     y Matemáticas: El ciclo for para recorrer el portafolio y la_x000a_     aplicación de las fórmulas financieras (cálculo del ingreso pasivo mensual_x000a_     y el porcentaje de avance) son exactos. No hay errores de casting_x000a_     ni de lógica aritmética. _x000a_ Presentación_x000a_     (UX): El uso de f-strings con el formato :,.2f para mostrar el dinero_x000a_     y los porcentajes le da un toque muy profesional a la salida en consola.  Oportunidad de Mejora (El Siguiente Nivel): _x000a_El código cumple con el 100% de los requerimientos base. Para alcanzar el nivel_x000a_de excelencia absoluta (y obtener el bono de +1.0), faltó implementar el bloque_x000a_de seguridad try-except al momento de solicitar los datos numéricos (monto y_x000a_tasa). En el mundo real, los usuarios cometen errores de digitación, y un_x000a_sistema financiero no puede permitirse colapsar (ValueError) por un texto_x000a_ingresado accidentalmente. Te invito a incorporar esta validación en tus_x000a_futuros proyectos.  Motivación: _x000a_Tienes una base técnica muy sólida y una capacidad analítica destacable. Si_x000a_mantienes este nivel de organización y rigor en tu código, los retos de_x000a_análisis de datos que vienen en los próximos cortes serán muy fáciles de_x000a_dominar.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se implementó el bloque try-except para validación de_x000a_  errores.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2"/>
    <s v="Valery"/>
    <s v="Linares Hernandez"/>
    <s v="valerylihe@unisabana.edu.co"/>
    <x v="0"/>
    <d v="2026-02-25T00:00:00"/>
    <x v="0"/>
    <s v="Devuelta"/>
    <s v="Retroalimentación de la Entrega: Examen Parcial 1 - Motor_x000a_Lógico &quot;FinVes&quot;  Estudiante: Linares Hernandez, Valery Calificación Final: 5.0 / 5.0 (+1.0 Unidad de Bono por excelencia técnica)  Comentarios del Profesor: Este es un examen de nivel profesional. No solo_x000a_has cumplido con todos los requerimientos técnicos, sino que has demostrado una_x000a_comprensión profunda de la lógica de programación y la autogestión, que son los_x000a_pilares de este curso.  Puntos a destacar (Lo excelente): _x000a_ Autogestión_x000a_     y Diseño (Sanity Check): Tu pseudocódigo en Markdown es un ejemplo_x000a_     perfecto de cómo se debe planificar un proyecto. Es detallado, sigue una_x000a_     secuencia lógica impecable y, lo más importante, tu código en Python es un_x000a_     reflejo exacto de esa planeación. Esto demuestra que dominas la_x000a_     metodología de &quot;pensar antes de programar&quot;. _x000a_ Robustez_x000a_     y Seguridad (Bono +1.0): Implementaste bloques try-except para manejar_x000a_     posibles errores de formato (ValueError) del usuario. Esta es la_x000a_     mentalidad de un desarrollador senior: anticiparse a los problemas y crear_x000a_     un programa &quot;a prueba de balas&quot;. Por esta iniciativa, te has_x000a_     ganado la unidad de bono completa. _x000a_ Lógica_x000a_     Avanzada: No solo cumpliste con lo solicitado, sino que añadiste una_x000a_     capa de validación extra (if activo_elegido not in activos_disponibles:)._x000a_     Este pequeño detalle demuestra que piensas en la integridad de los datos y_x000a_     en la experiencia del usuario, evitando que se registren inversiones en_x000a_     activos no autorizados. _x000a_ Clean_x000a_     Code y Presentación: Tu código está excepcionalmente bien documentado_x000a_     y organizado. El uso de f-strings con formato de moneda y el diseño de los_x000a_     reportes en consola son limpios y profesionales.  Motivación: _x000a_Has demostrado tener una base técnica y lógica sobresaliente. Si continúas_x000a_aplicando este nivel de disciplina, análisis y atención al detalle, tienes el_x000a_potencial no solo para destacar en el ámbito académico, sino para liderar_x000a_proyectos tecnológicos complejos en el sector financiero o administrativo._x000a_¡Felicitaciones por un trabajo excepcional!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perfectamente con la lógica programada.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código_x000a_  documentado y mensajes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
    <s v="Nicolas"/>
    <s v="Torres Calderon"/>
    <s v="nicolastorca@unisabana.edu.co"/>
    <x v="0"/>
    <d v="2026-02-25T00:00:00"/>
    <x v="0"/>
    <s v="Devuelta"/>
    <s v="Retroalimentación de la Entrega: Examen Parcial 1 - Motor_x000a_Lógico &quot;FinVes&quot;  Estudiante: TORRES CALDERON, NICOLAS Calificación Final: 5.0 / 5.0 (Nota Desglosada: 4.0 Base + 1.0 Bono por Robustez Técnica. La ausencia del_x000a_Pseudocódigo anuló el punto de Lógica, pero el Bono compensó la nota final).  Comentarios del Profesor: Técnicamente has entregado uno de los códigos más_x000a_robustos de la clase. Tu implementación en Python demuestra un dominio sólido_x000a_de la sintaxis y una excelente capacidad para validar datos (evitando que el_x000a_programa colapse). Sin embargo, hay un punto crítico de Autogestión que_x000a_omitiste y que casi te cuesta la nota perfecta.  Puntos a destacar (Lo excelente): _x000a_ Robustez_x000a_     y Seguridad (Bono +1.0): Implementaste bloques try-except y_x000a_     validaciones while True para asegurar que los datos ingresados (meta,_x000a_     monto, tasa) sean correctos. Esto protege al sistema de errores de usuario_x000a_     (ValueError) y cumple con el criterio para el bono extra. ¡Excelente_x000a_     trabajo blindando el código! _x000a_ Lógica_x000a_     de Negocio: La fórmula de libertad financiera y el cálculo de ingresos_x000a_     pasivos son matemáticamente correctos. _x000a_ Presentación:_x000a_     El uso de f-strings con separadores de miles (:,.2f) facilita la lectura_x000a_     de los datos financieros.  Oportunidad de Mejora (Atención a la Autogestión): _x000a_ Ausencia_x000a_     de Pseudocódigo: El enunciado era explícito: &quot;Antes de_x000a_     escribir una sola línea de código... DEBEN escribir el Pseudocódigo&quot;._x000a_     Tu celda de Markdown solo tiene tu nombre. En este parcial, el Bono de_x000a_     Seguridad salvó tu nota, cubriendo el punto perdido por Lógica y_x000a_     Diseño. En futuros entregables, la planeación escrita es obligatoria y no_x000a_     negociable. _x000a_ Tip_x000a_     Técnico: Usaste portafolio = portafolio + [inversion]. Aunque funciona_x000a_     (concatenación de listas), la forma estándar y más eficiente en memoria en_x000a_     Python es usar el método .append(inversion).  Motivación: _x000a_Tienes una habilidad técnica muy fuerte. Si logras combinar esa capacidad de_x000a_programación con la disciplina de documentar tu lógica previamente_x000a_(Pseudocódigo), serás un desarrollador/analista excepcional. ¡Sigue así, pero_x000a_no descuides las instrucciones de autogestión!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faltante. No se presentó la planeación_x000a_  lógica en Markdown requerida. _x000a_  _x000a_  _x000a_  1.0 _x000a_  _x000a_  _x000a_  0.0 _x000a_  _x000a_ _x000a_ _x000a_  _x000a_  2. Estructuras de Datos _x000a_  _x000a_  _x000a_  Uso correcto de Diccionarios, Tuplas y Listas anidadas. _x000a_  _x000a_  _x000a_  1.5 _x000a_  _x000a_  _x000a_  1.5 _x000a_  _x000a_ _x000a_ _x000a_  _x000a_  3. Control de Flujo _x000a_  _x000a_  _x000a_  Menú interactivo funcional con opciones de salida y_x000a_  validación correcta. _x000a_  _x000a_  _x000a_  1.0 _x000a_  _x000a_  _x000a_  1.0 _x000a_  _x000a_ _x000a_ _x000a_  _x000a_  4. Procesamiento _x000a_  _x000a_  _x000a_  Cálculos matemáticos precisos e iteración correcta de la_x000a_  lista. _x000a_  _x000a_  _x000a_  1.0 _x000a_  _x000a_  _x000a_  1.0 _x000a_  _x000a_ _x000a_ _x000a_  _x000a_  5. Presentación (UX) _x000a_  _x000a_  _x000a_  Formato de moneda legible y mensajes claros al usuario. _x000a_  _x000a_  _x000a_  0.5 _x000a_  _x000a_  _x000a_  0.5 _x000a_  _x000a_ _x000a_ _x000a_  _x000a_  Bono de Seguridad _x000a_  _x000a_  _x000a_  Implementación efectiva de try-except y validaciones de_x000a_  entrada. _x000a_  _x000a_  _x000a_  + 1.0 _x000a_  _x000a_  _x000a_  + 1.0 _x000a_  _x000a_ _x000a_ _x000a_  _x000a_  TOTAL _x000a_  _x000a_  _x000a_  _x000a_  5.0 _x000a_  _x000a_  _x000a_  5.0 _x000a_  _x000a_ Diego Mauricio Zuluaga Rodríguez _x000a_Profesor - Departamento de Economía _x000a_Universidad de La Sabana"/>
    <n v="50"/>
    <n v="50"/>
    <n v="1"/>
  </r>
  <r>
    <x v="4"/>
    <s v="Cristian"/>
    <s v="Bermudez"/>
    <s v="cristianbe@unisabana.edu.co"/>
    <x v="0"/>
    <d v="2026-02-25T00:00:00"/>
    <x v="0"/>
    <s v="Devuelta"/>
    <s v="Retroalimentación de la Entrega: Examen Parcial 1 - Motor_x000a_Lógico &quot;FinVes&quot;  Estudiante: Cristian Bermudez Calificación Final: 5.0 / 5.0 (Nota Desglosada: 4.0 Base + 1.0 Bono por Robustez Técnica. La ausencia del_x000a_Pseudocódigo anuló el punto de Lógica, pero el Bono compensó la nota final).  Comentarios del Profesor: Cristian, técnicamente has entregado uno de los códigos más_x000a_robustos de la clase. Tu implementación en Python demuestra un dominio sólido_x000a_de la sintaxis y una excelente capacidad para validar datos (evitando que el_x000a_programa colapse). Sin embargo, hay un punto crítico de Autogestión que_x000a_omitiste y que casi te cuesta la nota perfecta.  Puntos a destacar (Lo excelente): _x000a_ Robustez_x000a_     y Seguridad (Bono +1.0): Implementaste bloques try-except y_x000a_     validaciones while True para asegurar que los datos ingresados (meta,_x000a_     monto, tasa) sean correctos. Esto protege al sistema de errores de usuario_x000a_     (ValueError) y cumple con el criterio para el bono extra. ¡Excelente_x000a_     trabajo blindando el código! _x000a_ Lógica_x000a_     de Negocio: La fórmula de libertad financiera y el cálculo de ingresos_x000a_     pasivos son matemáticamente correctos. _x000a_ Presentación:_x000a_     El uso de f-strings con separadores de miles (:,.2f) facilita la lectura_x000a_     de los datos financieros.  Oportunidad de Mejora (Atención a la Autogestión): _x000a_ Ausencia_x000a_     de Pseudocódigo: El enunciado era explícito: &quot;Antes de_x000a_     escribir una sola línea de código... DEBEN escribir el Pseudocódigo&quot;._x000a_     Tu celda de Markdown solo tiene tu nombre. En este parcial, el Bono de_x000a_     Seguridad salvó tu nota, cubriendo el punto perdido por Lógica y_x000a_     Diseño. En futuros entregables, la planeación escrita es obligatoria y no_x000a_     negociable. _x000a_ Tip_x000a_     Técnico: Usaste portafolio = portafolio + [inversion]. Aunque funciona_x000a_     (concatenación de listas), la forma estándar y más eficiente en memoria en_x000a_     Python es usar el método .append(inversion).  Motivación: _x000a_Tienes una habilidad técnica muy fuerte. Si logras combinar esa capacidad de_x000a_programación con la disciplina de documentar tu lógica previamente_x000a_(Pseudocódigo), serás un desarrollador/analista excepcional. ¡Sigue así, pero_x000a_no descuides las instrucciones de autogestión!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faltante. No se presentó la planeación_x000a_  lógica en Markdown requerida. _x000a_  _x000a_  _x000a_  1.0 _x000a_  _x000a_  _x000a_  0.0 _x000a_  _x000a_ _x000a_ _x000a_  _x000a_  2. Estructuras de Datos _x000a_  _x000a_  _x000a_  Uso correcto de Diccionarios, Tuplas y Listas anidadas. _x000a_  _x000a_  _x000a_  1.5 _x000a_  _x000a_  _x000a_  1.5 _x000a_  _x000a_ _x000a_ _x000a_  _x000a_  3. Control de Flujo _x000a_  _x000a_  _x000a_  Menú interactivo funcional con opciones de salida y_x000a_  validación correcta. _x000a_  _x000a_  _x000a_  1.0 _x000a_  _x000a_  _x000a_  1.0 _x000a_  _x000a_ _x000a_ _x000a_  _x000a_  4. Procesamiento _x000a_  _x000a_  _x000a_  Cálculos matemáticos precisos e iteración correcta de la_x000a_  lista. _x000a_  _x000a_  _x000a_  1.0 _x000a_  _x000a_  _x000a_  1.0 _x000a_  _x000a_ _x000a_ _x000a_  _x000a_  5. Presentación (UX) _x000a_  _x000a_  _x000a_  Formato de moneda legible y mensajes claros al usuario. _x000a_  _x000a_  _x000a_  0.5 _x000a_  _x000a_  _x000a_  0.5 _x000a_  _x000a_ _x000a_ _x000a_  _x000a_  Bono de Seguridad _x000a_  _x000a_  _x000a_  Implementación efectiva de try-except y validaciones de_x000a_  entrada. _x000a_  _x000a_  _x000a_  + 1.0 _x000a_  _x000a_  _x000a_  + 1.0 _x000a_  _x000a_ _x000a_ _x000a_  _x000a_  TOTAL _x000a_  _x000a_  _x000a_  _x000a_  5.0 _x000a_  _x000a_  _x000a_  5.0 _x000a_  _x000a_ Diego Mauricio Zuluaga Rodríguez _x000a_Profesor - Departamento de Economía _x000a_Universidad de La Sabana"/>
    <n v="50"/>
    <n v="50"/>
    <n v="1"/>
  </r>
  <r>
    <x v="5"/>
    <s v="Mariana"/>
    <s v="Carmona Romero"/>
    <s v="marianacarrom@unisabana.edu.co"/>
    <x v="0"/>
    <d v="2026-02-25T00:00:00"/>
    <x v="0"/>
    <s v="Devuelta"/>
    <s v="Retroalimentación de la Entrega: Examen Parcial 1 - Motor_x000a_Lógico &quot;FinVes&quot;  Estudiante: Mariana Carmona Romero Calificación Final: 5.0 / 5.0  Comentarios del Profesor: Tu desempeño en este parcial ha sido excepcional. Has_x000a_demostrado no solo un dominio completo de los conceptos técnicos del primer_x000a_corte, sino también una capacidad de autogestión y planeación que es_x000a_precisamente lo que buscamos en los profesionales de la EICEA.  Puntos a destacar (Lo excelente): _x000a_ Autogestión_x000a_     y Lógica Impecable: Tu pseudocódigo en la celda de Markdown es un_x000a_     ejemplo perfecto de cómo se debe planificar un programa. Es claro,_x000a_     detallado y, lo más importante, se traduce directamente en la lógica de tu_x000a_     código en Python. Cumpliste a cabalidad la regla de &quot;pensar antes de_x000a_     programar&quot;. _x000a_ Dominio_x000a_     de Estructuras de Datos: Utilizaste las tres estructuras de datos_x000a_     (Diccionario, Tupla y Lista) de manera precisa y para el propósito_x000a_     correcto, demostrando que entiendes la naturaleza y el uso de cada una. La_x000a_     validación if activo_seleccionado in activos_disponibles es una_x000a_     implementación de alto nivel. _x000a_ Presentación_x000a_     y UX Profesional: El uso de f-strings con formato de moneda (:,.2f),_x000a_     los menús limpios y los mensajes de estado claros hacen que tu aplicación_x000a_     se sienta como un producto real y profesional.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sentado una base técnica y lógica extremadamente sólida para el resto del_x000a_semestre. Tu capacidad para seguir instrucciones detalladas y entregar un_x000a_producto de alta calidad es una habilidad muy valorada en la industria._x000a_¡Felicitaciones por un trabaj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6"/>
    <s v="Mariana"/>
    <s v="Pena Rodriguez"/>
    <s v="marianapero@unisabana.edu.co"/>
    <x v="0"/>
    <d v="2026-02-25T00:00:00"/>
    <x v="0"/>
    <s v="Devuelta"/>
    <s v="Retroalimentación de la Entrega: Examen Parcial 1 - Motor_x000a_Lógico &quot;FinVes&quot;  Estudiante: PEÑA RODRIGUEZ, MARIANA Calificación Final: 5.0 / 5.0 (+1.0 Unidad de Bono por uso de try-except)  Comentarios del Profesor: Has entregado un examen parcial impecable._x000a_Demostraste un dominio absoluto de todos los temas vistos durante el primer_x000a_corte y, lo más importante, probaste que tienes la lógica estructurada de una_x000a_verdadera analista y desarrolladora.  Puntos a destacar (Lo excelente): _x000a_ Autogestión_x000a_     y Sanity Check: Tu pseudocódigo en la celda de Markdown es detallado,_x000a_     claro y coincide paso a paso con la ejecución de tu código en Python._x000a_     Cumpliste a la perfección la regla de &quot;pensar antes de_x000a_     programar&quot;. _x000a_ Robustez_x000a_     del Código (Bono +1.0): Implementaste bloques try-except tanto en la_x000a_     configuración inicial del perfil como en el registro de inversiones. Esto_x000a_     demuestra que te pones en los zapatos del usuario y previenes que la_x000a_     aplicación colapse por un error de digitación. Excelente iniciativa. _x000a_ Estructuras_x000a_     de Datos: Manejaste a la perfección la combinación de Diccionarios_x000a_     (para el perfil y las inversiones individuales), Tuplas (para los activos_x000a_     fijos) y Listas (para el portafolio dinámico). _x000a_ Presentación_x000a_     (UX): El uso de f-strings con el formato :,.2f hace que tu aplicación_x000a_     se vea como un software financiero real. Además, los menús y mensajes en_x000a_     consola son muy limpios e intuitivos (noté en el registro de salida que_x000a_     hiciste pruebas exhaustivas, incluso usando &quot;Matias&quot; como_x000a_     usuario de prueba, lo cual es una excelente práctica de testeo).  Motivación: _x000a_Tienes una base técnica y lógica sumamente sólida. Si mantienes esta_x000a_disciplina, rigurosidad y atención al detalle, no solo te irá excelente en lo_x000a_que resta del semestre, sino que tendrás las herramientas necesarias para_x000a_liderar proyectos tecnológicos reales en tu vida profesional. ¡Felicitaciones_x000a_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7"/>
    <s v="Isabella"/>
    <s v="Carranza Tapiero"/>
    <s v="isabellacata@unisabana.edu.co"/>
    <x v="0"/>
    <d v="2026-02-25T00:00:00"/>
    <x v="0"/>
    <s v="Devuelta"/>
    <s v="Retroalimentación de la Entrega: Examen Parcial 1 - Motor_x000a_Lógico &quot;FinVes&quot;  Estudiante: CARRANZA TAPIERO, ISABELLA Calificación Final: 5.0 / 5.0  Comentarios del Profesor: Excelente trabajo. Has entregado un examen parcial_x000a_muy sólido y estructurado. Demostraste un dominio claro de los fundamentos de_x000a_Python y cumpliste a cabalidad con los requerimientos lógicos del caso de_x000a_negocio &quot;FinVes&quot;.  Puntos a destacar (Lo excelente): _x000a_ Autogestión_x000a_     y Lógica: Tu pseudocódigo es uno de los más ordenados que he revisado._x000a_     El sistema de numeración (1.0, 1.1, 2.0...) refleja una mente analítica y_x000a_     estructurada. Lo más importante: el código en Python es un espejo exacto_x000a_     de tu planeación. _x000a_ Estructuras_x000a_     de Datos: Declaraste e implementaste a la perfección el Diccionario_x000a_     para el perfil, la Tupla para los activos fijos y la Lista para el_x000a_     portafolio dinámico. _x000a_ Procesamiento_x000a_     Matemático: El cálculo del ingreso pasivo mensual (inv[&quot;monto&quot;]_x000a_     * (inv[&quot;tasa&quot;] / 100)) / 12 y el acumulador dentro del ciclo for_x000a_     están impecables. Entendiste perfectamente la lógica financiera detrás del_x000a_     algoritmo.  Oportunidades de Mejora (Sanity Check y UX): _x000a_ Manejo_x000a_     de Errores (El Bono perdido): El parcial ofrecía hasta +1.0 unidad_x000a_     extra por implementar bloques try-except. En tu código, si el usuario_x000a_     digita la letra &quot;A&quot; cuando pides la opción del menú (int(input(...)))_x000a_     o el monto a invertir, el programa colapsará inmediatamente con un ValueError._x000a_     En el mundo real, los usuarios cometen errores de digitación; siempre_x000a_     debemos blindar nuestras aplicaciones. _x000a_ Experiencia_x000a_     de Usuario (UX): Aunque calculaste el ingreso_pasivo_total_x000a_     correctamente y mostraste el porcentaje de avance con formato :,2f,_x000a_     omitiste imprimirle al usuario cuánto dinero exacto está generando_x000a_     mensualmente. En una App financiera, ver el monto en pesos es el mayor_x000a_     incentivo para el cliente.  Motivación: _x000a_Tienes una excelente capacidad de abstracción y lógica de programación. Posees_x000a_las bases técnicas necesarias para modelar problemas complejos del mundo de los_x000a_negocios. Sigue cultivando este nivel de orden y disciplina en los próximos_x000a_cortes.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8"/>
    <s v="Samuel David"/>
    <s v="Lozano Holguin"/>
    <s v="samuelloho@unisabana.edu.co"/>
    <x v="0"/>
    <d v="2026-02-25T00:00:00"/>
    <x v="0"/>
    <s v="Devuelta"/>
    <s v="Retroalimentación de la Entrega: Examen Parcial 1 - Motor_x000a_Lógico &quot;FinVes&quot;  Estudiante: Lozano Holguin, Samuel David Calificación Final: 4.3 / 5.0  Comentarios del Profesor: Has entregado un parcial con una estructura muy interesante_x000a_y con destellos de programación avanzada. Se nota que comprendes la sintaxis de_x000a_Python y te sientes cómodo explorando formas eficientes de resolver problemas.  Puntos a destacar (Lo excelente): _x000a_ Autogestión_x000a_     (Pseudocódigo): Cumpliste a la perfección con la regla de escribir el_x000a_     pseudocódigo antes de programar. Tu paso a paso es lógico, estructurado y_x000a_     fácil de leer. _x000a_ Estructuras_x000a_     de Datos: Implementaste correctamente el diccionario, la tupla y la_x000a_     lista. Validar si el activo ingresado existe dentro de la tupla (if activo_x000a_     in activos_disponibles:) es una excelente práctica de validación de datos. _x000a_ Código_x000a_     Avanzado (&quot;Pythónico&quot;): El uso de la función sum() combinada_x000a_     con un generador en una sola línea (sum(inversion[&quot;monto&quot;] * ..._x000a_     for inversion in portafolio)) para calcular el rendimiento total demuestra_x000a_     un nivel de abstracción superior al promedio. ¡Muy bien hecho! _x000a_ Presentación_x000a_     Visual (UX): El uso de f-strings con separadores de miles y decimales_x000a_     (:,.2f) hace que la salida en consola sea muy profesional y fácil de leer_x000a_     para un usuario financiero.  Oportunidades de Mejora (Atención al Detalle): _x000a_El motivo por el cual no alcanzas la nota máxima se debe a tres detalles_x000a_específicos en el seguimiento de instrucciones y la lógica de procesamiento: _x000a_ Bug_x000a_     Lógico (Duplicidad de Datos): En la Opción 1, estás agregando la misma_x000a_     inversión dos veces a la lista portafolio. Primero haces un .append()_x000a_     parcial, luego le agregas la tasa, y unas líneas más abajo creas el_x000a_     diccionario datos_inversion y le haces .append() de nuevo. Si revisas tu_x000a_     propia consola de salida, verás que &quot;Bonos del Estado&quot; aparece_x000a_     duplicado y el ingreso pasivo se calcula por el doble del valor real. _x000a_ Requerimiento_x000a_     Omitido (Porcentaje): La rúbrica exigía explícitamente calcular el_x000a_     porcentaje de avance (Ingreso Pasivo / Meta) * 100 e imprimir el mensaje &quot;Te_x000a_     falta un camino por recorrer. Tu avance es del X.XX%.&quot;. Omitiste_x000a_     este cálculo matemático y el mensaje solicitado. _x000a_ Documentación_x000a_     del Código: La rúbrica pedía &quot;código documentado con # explicando_x000a_     cada bloque&quot;. Tu script carece por completo de comentarios internos._x000a_     En el entorno profesional, documentar el código es vital para el trabajo_x000a_     en equipo. _x000a_ Bono_x000a_     de Seguridad: No implementaste el bloque try-except para capturar_x000a_     errores de digitación (ValueError), por lo que no aplicas para la unidad_x000a_     extra.  Motivación: _x000a_Tienes una lógica de programación muy ágil y utilizas herramientas avanzadas de_x000a_Python de forma natural. Tu reto ahora es la auditoría de tu propio código_x000a_(Sanity Check). Revisa siempre las salidas de tu consola para detectar bugs_x000a_(como la duplicidad) y lee los requerimientos del cliente línea por línea. Si_x000a_ajustas ese nivel de atención al detalle, tus próximos proyectos serán_x000a_perfectos. ¡Sigue ade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y decisiones lógicas precisas con if/elif/else. _x000a_  _x000a_  _x000a_  1.0 _x000a_  _x000a_  _x000a_  1.0 _x000a_  _x000a_ _x000a_ _x000a_  _x000a_  4. Procesamiento _x000a_  _x000a_  _x000a_  Penalización por duplicidad de datos en el .append() y por_x000a_  omitir el cálculo del porcentaje de avance exigido. _x000a_  _x000a_  _x000a_  1.0 _x000a_  _x000a_  _x000a_  0.5 _x000a_  _x000a_ _x000a_ _x000a_  _x000a_  5. Presentación (UX) _x000a_  _x000a_  _x000a_  Excelente uso de f-strings, pero ausencia total de_x000a_  comentarios (#) en el código.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3 _x000a_  _x000a_ Diego Mauricio Zuluaga Rodríguez _x000a_Profesor - Departamento de Economía _x000a_Universidad de La Sabana"/>
    <n v="43"/>
    <n v="50"/>
    <n v="0.86"/>
  </r>
  <r>
    <x v="9"/>
    <s v="Sebastian"/>
    <s v="Vanoy Gutierrez"/>
    <s v="sebastianvagu@unisabana.edu.co"/>
    <x v="0"/>
    <d v="2026-02-25T00:00:00"/>
    <x v="0"/>
    <s v="Devuelta"/>
    <s v="Retroalimentación de la Entrega: Examen Parcial 1 - Motor_x000a_Lógico &quot;FinVes&quot;  Estudiante: Vanoy Gutierrez, Sebastian Calificación Final: 4.3 / 5.0  Comentarios del Profesor: Has entregado un parcial con una estructura muy interesante_x000a_y con destellos de programación avanzada. Se nota que comprendes la sintaxis de_x000a_Python y te sientes cómodo explorando formas eficientes de resolver problemas.  Puntos a destacar (Lo excelente): _x000a_ Autogestión_x000a_     (Pseudocódigo): Cumpliste a la perfección con la regla de escribir el_x000a_     pseudocódigo antes de programar. Tu paso a paso es lógico, estructurado y_x000a_     fácil de leer. _x000a_ Estructuras_x000a_     de Datos: Implementaste correctamente el diccionario, la tupla y la_x000a_     lista. Validar si el activo ingresado existe dentro de la tupla (if activo_x000a_     in activos_disponibles:) es una excelente práctica de validación de datos. _x000a_ Código_x000a_     Avanzado (&quot;Pythónico&quot;): El uso de la función sum() combinada_x000a_     con un generador en una sola línea (sum(inversion[&quot;monto&quot;] * ..._x000a_     for inversion in portafolio)) para calcular el rendimiento total demuestra_x000a_     un nivel de abstracción superior al promedio. ¡Muy bien hecho! _x000a_ Presentación_x000a_     Visual (UX): El uso de f-strings con separadores de miles y decimales_x000a_     (:,.2f) hace que la salida en consola sea muy profesional y fácil de leer_x000a_     para un usuario financiero.  Oportunidades de Mejora (Atención al Detalle): _x000a_El motivo por el cual no alcanzas la nota máxima se debe a tres detalles_x000a_específicos en el seguimiento de instrucciones y la lógica de procesamiento: _x000a_ Bug_x000a_     Lógico (Duplicidad de Datos): En la Opción 1, estás agregando la misma_x000a_     inversión dos veces a la lista portafolio. Primero haces un .append()_x000a_     parcial, luego le agregas la tasa, y unas líneas más abajo creas el_x000a_     diccionario datos_inversion y le haces .append() de nuevo. Si revisas tu_x000a_     propia consola de salida, verás que &quot;Bonos del Estado&quot; aparece_x000a_     duplicado y el ingreso pasivo se calcula por el doble del valor real. _x000a_ Requerimiento_x000a_     Omitido (Porcentaje): La rúbrica exigía explícitamente calcular el_x000a_     porcentaje de avance (Ingreso Pasivo / Meta) * 100 e imprimir el mensaje &quot;Te_x000a_     falta un camino por recorrer. Tu avance es del X.XX%.&quot;. Omitiste_x000a_     este cálculo matemático y el mensaje solicitado. _x000a_ Documentación_x000a_     del Código: La rúbrica pedía &quot;código documentado con # explicando_x000a_     cada bloque&quot;. Tu script carece por completo de comentarios internos._x000a_     En el entorno profesional, documentar el código es vital para el trabajo_x000a_     en equipo. _x000a_ Bono_x000a_     de Seguridad: No implementaste el bloque try-except para capturar_x000a_     errores de digitación (ValueError), por lo que no aplicas para la unidad_x000a_     extra.  Motivación: _x000a_Tienes una lógica de programación muy ágil y utilizas herramientas avanzadas de_x000a_Python de forma natural. Tu reto ahora es la auditoría de tu propio código_x000a_(Sanity Check). Revisa siempre las salidas de tu consola para detectar bugs_x000a_(como la duplicidad) y lee los requerimientos del cliente línea por línea. Si_x000a_ajustas ese nivel de atención al detalle, tus próximos proyectos serán_x000a_perfectos. ¡Sigue ade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y decisiones lógicas precisas con if/elif/else. _x000a_  _x000a_  _x000a_  1.0 _x000a_  _x000a_  _x000a_  1.0 _x000a_  _x000a_ _x000a_ _x000a_  _x000a_  4. Procesamiento _x000a_  _x000a_  _x000a_  Penalización por duplicidad de datos en el .append() y por_x000a_  omitir el cálculo del porcentaje de avance exigido. _x000a_  _x000a_  _x000a_  1.0 _x000a_  _x000a_  _x000a_  0.5 _x000a_  _x000a_ _x000a_ _x000a_  _x000a_  5. Presentación (UX) _x000a_  _x000a_  _x000a_  Excelente uso de f-strings, pero ausencia total de_x000a_  comentarios (#) en el código.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3 _x000a_  _x000a_ Diego Mauricio Zuluaga Rodríguez _x000a_Profesor - Departamento de Economía _x000a_Universidad de La Sabana"/>
    <n v="43"/>
    <n v="50"/>
    <n v="0.86"/>
  </r>
  <r>
    <x v="10"/>
    <s v="Jose Daniel"/>
    <s v="Escobar Hurtado"/>
    <s v="joseeshu@unisabana.edu.co"/>
    <x v="0"/>
    <d v="2026-02-25T00:00:00"/>
    <x v="0"/>
    <s v="Devuelta"/>
    <s v="Retroalimentación de la Entrega: Examen Parcial 1 - Motor_x000a_Lógico &quot;FinVes&quot;  Estudiante: Jóse Daniel Escobar Hurtado Calificación Final: 5.0 / 5.0  Comentarios del Profesor: Tu examen es un ejemplo de excelencia técnica y_x000a_metodológica. Has demostrado un dominio completo de todos los conceptos del_x000a_primer corte y, lo que es más importante, una capacidad de autogestión y_x000a_pensamiento estructurado que es precisamente lo que buscamos en los_x000a_profesionales de la EICEA.  Puntos a destacar (Lo excelente): _x000a_ Autogestión_x000a_     y Lógica Impecable: Tu pseudocódigo en la celda de Markdown es de_x000a_     altísima calidad. Es detallado, sigue una estructura lógica profesional y_x000a_     se refleja perfectamente en tu código final. Cumpliste a cabalidad la_x000a_     regla de &quot;pensar antes de programar&quot;. _x000a_ Programación_x000a_     Defensiva: La validación if activo not in activos_disponibles: es una_x000a_     muestra de pensamiento computacional avanzado. No solo hiciste que el_x000a_     programa funcionara, sino que lo hiciste robusto, anticipándote a los_x000a_     errores del usuario. _x000a_ Presentación_x000a_     y UX Profesional: El uso de emojis, mensajes claros y una interfaz de_x000a_     consola bien organizada demuestra que piensas en el usuario final. Esto_x000a_     transforma un simple script en una aplicación amigable.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demostrado que no solo sabes programar, sino que sabes cómo construir una_x000a_solución completa y bien pensada. Esta habilidad para pasar de un problema de_x000a_negocio a un prototipo funcional es extremadamente valiosa en el mercado._x000a_¡Felicitaciones por un trabajo impecabl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ódigo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1"/>
    <s v="Maria Jose"/>
    <s v="Botero Galviz"/>
    <s v="mariabotga@unisabana.edu.co"/>
    <x v="0"/>
    <d v="2026-02-25T00:00:00"/>
    <x v="0"/>
    <s v="Devuelta"/>
    <s v="Retroalimentación de la Entrega: Examen Parcial 1 - Motor_x000a_Lógico &quot;FinVes&quot;  Estudiante: María José Botero Galviz Calificación Final: 5.0 / 5.0 (+1.0 Unidad de Bono por excelencia técnica)  Comentarios del Profesor: María José, este es un examen de nivel profesional. No solo_x000a_has cumplido con todos los requerimientos técnicos, sino que has demostrado una_x000a_comprensión profunda de la lógica de programación y la autogestión, que son los_x000a_pilares de este curso.  Puntos a destacar (Lo excelente): _x000a_ Autogestión_x000a_     y Diseño (Sanity Check): Tu pseudocódigo en Markdown es un ejemplo_x000a_     perfecto de cómo se debe planificar un proyecto. Es detallado, sigue una_x000a_     secuencia lógica impecable y, lo más importante, tu código en Python es un_x000a_     reflejo exacto de esa planeación. Esto demuestra que dominas la_x000a_     metodología de &quot;pensar antes de programar&quot;. _x000a_ Robustez_x000a_     y Seguridad (Bono +1.0): Implementaste bloques try-except para manejar_x000a_     posibles errores de formato (ValueError) del usuario. Esta es la_x000a_     mentalidad de un desarrollador senior: anticiparse a los problemas y crear_x000a_     un programa &quot;a prueba de balas&quot;. Por esta iniciativa, te has_x000a_     ganado la unidad de bono completa. _x000a_ Lógica_x000a_     Avanzada: No solo cumpliste con lo solicitado, sino que añadiste una_x000a_     capa de validación extra (if activo_elegido not in activos_disponibles:)._x000a_     Este pequeño detalle demuestra que piensas en la integridad de los datos y_x000a_     en la experiencia del usuario, evitando que se registren inversiones en_x000a_     activos no autorizados. _x000a_ Clean_x000a_     Code y Presentación: Tu código está excepcionalmente bien documentado_x000a_     y organizado. El uso de f-strings con formato de moneda y el diseño de los_x000a_     reportes en consola son limpios y profesionales.  Motivación: _x000a_Has demostrado tener una base técnica y lógica sobresaliente. Si continúas_x000a_aplicando este nivel de disciplina, análisis y atención al detalle, tienes el_x000a_potencial no solo para destacar en el ámbito académico, sino para liderar_x000a_proyectos tecnológicos complejos en el sector financiero o administrativo._x000a_¡Felicitaciones por un trabajo excepcional!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perfectamente con la lógica programada.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código_x000a_  documentado y mensajes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12"/>
    <s v="Maria Juliana"/>
    <s v="Mejia Quintero"/>
    <s v="mariamequ@unisabana.edu.co"/>
    <x v="0"/>
    <d v="2026-02-25T00:00:00"/>
    <x v="0"/>
    <s v="Devuelta"/>
    <s v="Retroalimentación de la Entrega: Examen Parcial 1 - Motor_x000a_Lógico &quot;FinVes&quot;  Estudiante: Mariana Carmona Romero Calificación Final: 5.0 / 5.0  Comentarios del Profesor: Tu desempeño en este parcial ha sido excepcional. Has_x000a_demostrado no solo un dominio completo de los conceptos técnicos del primer_x000a_corte, sino también una capacidad de autogestión y planeación que es_x000a_precisamente lo que buscamos en los profesionales de la EICEA.  Puntos a destacar (Lo excelente): _x000a_ Autogestión_x000a_     y Lógica Impecable: Tu pseudocódigo en la celda de Markdown es un_x000a_     ejemplo perfecto de cómo se debe planificar un programa. Es claro,_x000a_     detallado y, lo más importante, se traduce directamente en la lógica de tu_x000a_     código en Python. Cumpliste a cabalidad la regla de &quot;pensar antes de_x000a_     programar&quot;. _x000a_ Dominio_x000a_     de Estructuras de Datos: Utilizaste las tres estructuras de datos_x000a_     (Diccionario, Tupla y Lista) de manera precisa y para el propósito_x000a_     correcto, demostrando que entiendes la naturaleza y el uso de cada una. La_x000a_     validación if activo_seleccionado in activos_disponibles es una_x000a_     implementación de alto nivel. _x000a_ Presentación_x000a_     y UX Profesional: El uso de f-strings con formato de moneda (:,.2f),_x000a_     los menús limpios y los mensajes de estado claros hacen que tu aplicación_x000a_     se sienta como un producto real y profesional.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sentado una base técnica y lógica extremadamente sólida para el resto del_x000a_semestre. Tu capacidad para seguir instrucciones detalladas y entregar un_x000a_producto de alta calidad es una habilidad muy valorada en la industria._x000a_¡Felicitaciones por un trabaj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3"/>
    <s v="Alejandra"/>
    <s v="Leon Vargas"/>
    <s v="alejandraleva@unisabana.edu.co"/>
    <x v="0"/>
    <d v="2026-02-25T00:00:00"/>
    <x v="0"/>
    <s v="Devuelta"/>
    <s v="Retroalimentación de la Entrega: Examen Parcial 1 - Motor_x000a_Lógico &quot;FinVes&quot;  Estudiante: Leon Vargas, Alejandra Calificación Final: 5.0 / 5.0  Comentarios del Profesor: Tu desempeño en este primer examen parcial ha sido_x000a_excelente. Has logrado plasmar la lógica de negocio solicitada en un código_x000a_limpio, estructurado y completamente funcional, demostrando que los conceptos_x000a_fundamentales del primer corte están consolidados.  Puntos a destacar (Lo excelente): _x000a_ Autogestión_x000a_     Evidenciada: El pseudocódigo entregado en la celda de Markdown es_x000a_     claro, secuencial y refleja exactamente la estructura que luego_x000a_     programaste en Python. Este paso de planeación es vital y lo has ejecutado_x000a_     a la perfección. _x000a_ Manejo_x000a_     de Estructuras de Datos: Utilizaste el diccionario (perfil_usuario),_x000a_     la tupla (activos_disponibles) y la lista (portafolio) de manera precisa._x000a_     La forma en que inicializaste el diccionario vacío y luego le asignaste_x000a_     las llaves dinámicamente con los input() demuestra una comprensión_x000a_     profunda de la mutabilidad de esta estructura. _x000a_ Procesamiento_x000a_     y Matemáticas: El ciclo for para recorrer el portafolio y la_x000a_     aplicación de las fórmulas financieras (cálculo del ingreso pasivo mensual_x000a_     y el porcentaje de avance) son exactos. No hay errores de casting_x000a_     ni de lógica aritmética. _x000a_ Presentación_x000a_     (UX): El uso de f-strings con el formato :,.2f para mostrar el dinero_x000a_     y los porcentajes le da un toque muy profesional a la salida en consola.  Oportunidad de Mejora (El Siguiente Nivel): _x000a_El código cumple con el 100% de los requerimientos base. Para alcanzar el nivel_x000a_de excelencia absoluta (y obtener el bono de +1.0), faltó implementar el bloque_x000a_de seguridad try-except al momento de solicitar los datos numéricos (monto y_x000a_tasa). En el mundo real, los usuarios cometen errores de digitación, y un_x000a_sistema financiero no puede permitirse colapsar (ValueError) por un texto_x000a_ingresado accidentalmente. Te invito a incorporar esta validación en tus_x000a_futuros proyectos.  Motivación: _x000a_Tienes una base técnica muy sólida y una capacidad analítica destacable. Si_x000a_mantienes este nivel de organización y rigor en tu código, los retos de_x000a_análisis de datos que vienen en los próximos cortes serán muy fáciles de_x000a_dominar.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se implementó el bloque try-except para validación de_x000a_  errores.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4"/>
    <s v="Alessandro Di Mauro"/>
    <s v="Bonilla Correa"/>
    <s v="alessandroboco@unisabana.edu.co"/>
    <x v="0"/>
    <d v="2026-02-25T00:00:00"/>
    <x v="0"/>
    <s v="Devuelta"/>
    <s v="Retroalimentación de la Entrega: Examen Parcial 1 - Motor_x000a_Lógico &quot;FinVes&quot;  Estudiante: Alessandro Bonilla Calificación Final: 4.5 / 5.0  Comentarios del Profesor: Alessandro, tu examen demuestra un nivel de pensamiento_x000a_lógico y estructurado excepcional. La forma en que desglosaste el problema en_x000a_el pseudocódigo y el diagrama de flujo es exactamente lo que se espera de un_x000a_analista que domina la autogestión.  Puntos a destacar (Lo excelente): _x000a_ Autogestión_x000a_     y Diseño: Tu pseudocódigo no es solo una lista de pasos, es una_x000a_     narración técnica del flujo del programa. Junto con el diagrama de flujo,_x000a_     demuestras una comprensión profunda del problema antes de escribir una_x000a_     sola línea de código. Este es el pilar de un buen desarrollador. _x000a_ Lógica_x000a_     de Programación: Tu código es limpio, sigue todos los requerimientos y_x000a_     la lógica es impecable. El uso combinado de diccionarios, tuplas y listas_x000a_     es perfecto. Mención especial a la validación if activo_seleccionado not_x000a_     in activos_disponibles:, una iniciativa que añade robustez al programa y_x000a_     demuestra que piensas en los posibles errores del usuario.  Oportunidad de Mejora (El punto crítico): _x000a_ Funcionalidad_x000a_     y Entorno: El único factor que impidió una calificación perfecta fue_x000a_     que el código no es ejecutable. El error ipykernel package que se muestra_x000a_     en la salida indica que el entorno de tu Jupyter Notebook no estaba_x000a_     correctamente configurado para correr el código. En el mundo profesional,_x000a_     un código que no corre, sin importar cuán perfecto sea en teoría, no es un_x000a_     entregable funcional. Es una lección crucial: un programador de élite no_x000a_     solo escribe código correcto, sino que se asegura de que sea ejecutable_x000a_     y reproducible. _x000a_ Bono_x000a_     de Seguridad: No implementaste el bloque try-except, por lo que no_x000a_     aplicas al bono de +1.0 unidad. Si lo hubieras hecho, tu programa habría_x000a_     sido aún más robusto.  Motivación: _x000a_La buena noticia es que tu error no fue de lógica, sino de configuración de_x000a_entorno, algo que se aprende y se corrige con la práctica. Tu capacidad para_x000a_diseñar y estructurar soluciones es de primer nivel. Si a esa habilidad le_x000a_sumas la disciplina de probar y asegurar que tus entregables funcionen siempre,_x000a_estarás más que preparado para cualquier reto técnico en tu carrera. ¡Sigue_x000a_trabajando en esa lógica bril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y Diagrama de Flujo detallados y_x000a_  perfectamente alineados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La lógica del menú while y las decisiones if/elif/else es_x000a_  perfecta, pero el programa no es funcional (error de ipykernel). _x000a_  _x000a_  _x000a_  1.0 _x000a_  _x000a_  _x000a_  0.5 _x000a_  _x000a_ _x000a_ _x000a_  _x000a_  4. Procesamiento _x000a_  _x000a_  _x000a_  El ciclo for y los cálculos matemáticos son lógicamente_x000a_  correctos. _x000a_  _x000a_  _x000a_  1.0 _x000a_  _x000a_  _x000a_  1.0 _x000a_  _x000a_ _x000a_ _x000a_  _x000a_  5. Presentación (UX) _x000a_  _x000a_  _x000a_  Uso de f-strings, código documentado y mensajes claros_x000a_  para el usuario. _x000a_  _x000a_  _x000a_  0.5 _x000a_  _x000a_  _x000a_  0.5 _x000a_  _x000a_ _x000a_ _x000a_  _x000a_  Bono de Seguridad _x000a_  _x000a_  _x000a_  No se implementó el bloque try-except. _x000a_  _x000a_  _x000a_  + 1.0 _x000a_  _x000a_  _x000a_  + 0.0 _x000a_  _x000a_ _x000a_ _x000a_  _x000a_  TOTAL _x000a_  _x000a_  _x000a_  _x000a_  5.0 _x000a_  _x000a_  _x000a_  4.5 _x000a_  _x000a_ Diego Mauricio Zuluaga Rodríguez _x000a_Profesor - Departamento de Economía _x000a_Universidad de La Sabana"/>
    <n v="45"/>
    <n v="50"/>
    <n v="0.9"/>
  </r>
  <r>
    <x v="15"/>
    <s v="Arianne Mariana"/>
    <s v="Amorocho Quiroga"/>
    <s v="arianneamqu@unisabana.edu.co"/>
    <x v="0"/>
    <d v="2026-02-25T00:00:00"/>
    <x v="0"/>
    <s v="Devuelta"/>
    <s v="Retroalimentación de la Entrega: Examen Parcial 1 - Motor_x000a_Lógico &quot;FinVes&quot;  Estudiante: AMOROCHO QUIROGA, ARIANNE MARIANA Calificación Final: 5.0 / 5.0 (+1.0 Unidad de Bono por uso de try-except)  Comentarios del Profesor: Arianne, has entregado un examen parcial impecable._x000a_Demostraste un dominio absoluto de todos los temas vistos durante el primer_x000a_corte y, lo más importante, probaste que tienes la lógica estructurada de una_x000a_verdadera analista y desarrolladora.  Puntos a destacar (Lo excelente): _x000a_ Autogestión_x000a_     y Sanity Check: Tu pseudocódigo en la celda de Markdown es detallado,_x000a_     claro y coincide paso a paso con la ejecución de tu código en Python._x000a_     Cumpliste a la perfección la regla de &quot;pensar antes de_x000a_     programar&quot;. _x000a_ Robustez_x000a_     del Código (Bono +1.0): Implementaste bloques try-except tanto en la_x000a_     configuración inicial del perfil como en el registro de inversiones. Esto_x000a_     demuestra que te pones en los zapatos del usuario y previenes que la_x000a_     aplicación colapse por un error de digitación. Excelente iniciativa. _x000a_ Estructuras_x000a_     de Datos: Manejaste a la perfección la combinación de Diccionarios_x000a_     (para el perfil y las inversiones individuales), Tuplas (para los activos_x000a_     fijos) y Listas (para el portafolio dinámico). _x000a_ Presentación_x000a_     (UX): El uso de f-strings con el formato :,.2f hace que tu aplicación_x000a_     se vea como un software financiero real. Además, los menús y mensajes en_x000a_     consola son muy limpios e intuitivos (noté en el registro de salida que_x000a_     hiciste pruebas exhaustivas, incluso usando &quot;Matias&quot; como_x000a_     usuario de prueba, lo cual es una excelente práctica de testeo).  Motivación: _x000a_Tienes una base técnica y lógica sumamente sólida. Si mantienes esta_x000a_disciplina, rigurosidad y atención al detalle, no solo te irá excelente en lo_x000a_que resta del semestre, sino que tendrás las herramientas necesarias para_x000a_liderar proyectos tecnológicos reales en tu vida profesional. ¡Felicitaciones_x000a_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16"/>
    <s v="Maria Juliana"/>
    <s v="Herrera Pulido"/>
    <s v="mariahepu@unisabana.edu.co"/>
    <x v="0"/>
    <d v="2026-02-25T00:00:00"/>
    <x v="0"/>
    <s v="Devuelta"/>
    <s v="Retroalimentación de la Entrega: Examen Parcial 1 - Motor_x000a_Lógico &quot;FinVes&quot;  Estudiante: Mariana Carmona Romero Calificación Final: 5.0 / 5.0  Comentarios del Profesor: Tu desempeño en este parcial ha sido excepcional. Has_x000a_demostrado no solo un dominio completo de los conceptos técnicos del primer_x000a_corte, sino también una capacidad de autogestión y planeación que es_x000a_precisamente lo que buscamos en los profesionales de la EICEA.  Puntos a destacar (Lo excelente): _x000a_ Autogestión_x000a_     y Lógica Impecable: Tu pseudocódigo en la celda de Markdown es un_x000a_     ejemplo perfecto de cómo se debe planificar un programa. Es claro,_x000a_     detallado y, lo más importante, se traduce directamente en la lógica de tu_x000a_     código en Python. Cumpliste a cabalidad la regla de &quot;pensar antes de_x000a_     programar&quot;. _x000a_ Dominio_x000a_     de Estructuras de Datos: Utilizaste las tres estructuras de datos_x000a_     (Diccionario, Tupla y Lista) de manera precisa y para el propósito_x000a_     correcto, demostrando que entiendes la naturaleza y el uso de cada una. La_x000a_     validación if activo_seleccionado in activos_disponibles es una_x000a_     implementación de alto nivel. _x000a_ Presentación_x000a_     y UX Profesional: El uso de f-strings con formato de moneda (:,.2f),_x000a_     los menús limpios y los mensajes de estado claros hacen que tu aplicación_x000a_     se sienta como un producto real y profesional.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sentado una base técnica y lógica extremadamente sólida para el resto del_x000a_semestre. Tu capacidad para seguir instrucciones detalladas y entregar un_x000a_producto de alta calidad es una habilidad muy valorada en la industria._x000a_¡Felicitaciones por un trabaj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7"/>
    <s v="Simon Gustavo"/>
    <s v="Restrepo Alvarez"/>
    <s v="simonreal@unisabana.edu.co"/>
    <x v="0"/>
    <d v="2026-02-25T00:00:00"/>
    <x v="0"/>
    <s v="Devuelta"/>
    <s v="Retroalimentación de la Entrega: Examen Parcial 1 - Motor_x000a_Lógico &quot;FinVes&quot;  Estudiante: Restrepo Alvarez, Simon Gustavo Calificación Final: 4.8 / 5.0  Comentarios del Profesor: Has entregado un examen con una lógica de programación muy_x000a_sólida. Es grato ver que fuiste un paso más allá de lo enseñado en este primer_x000a_corte al implementar funciones (def) para modularizar tu código. Esto demuestra_x000a_curiosidad intelectual y una excelente capacidad de abstracción.  Puntos a destacar (Lo excelente): _x000a_ Autogestión_x000a_     (Pseudocódigo): Tu paso a paso en la celda de Markdown es claro,_x000a_     estructurado y refleja fielmente lo que programaste después. Cumpliste_x000a_     perfectamente con la regla de planear antes de codificar. _x000a_ Modularidad_x000a_     Avanzada: Separar la lógica en registrar_inversion() y mostrar_reporte()_x000a_     hace que tu menú principal (while True) quede sumamente limpio y fácil de_x000a_     leer. Esta es una práctica profesional excelente. _x000a_ Estructuras_x000a_     de Datos y Matemáticas: Implementaste correctamente el diccionario, la_x000a_     tupla y la lista. Además, los cálculos del ingreso pasivo mensual y el_x000a_     porcentaje de avance son matemáticamente exactos y están bien aplicados_x000a_     dentro del ciclo for.  Oportunidades de Mejora (Atención al Detalle): _x000a_El motivo por el cual no alcanzas la nota máxima (y el bono) se debe a detalles_x000a_específicos de la rúbrica en cuanto a presentación y seguridad: _x000a_ Documentación_x000a_     del Código: La rúbrica exigía explícitamente &quot;código documentado_x000a_     con # explicando cada bloque&quot;. Tu script en Python carece de_x000a_     comentarios internos. En el entorno profesional, documentar el código es_x000a_     vital para que otros desarrolladores entiendan tu lógica. _x000a_ Formato_x000a_     de Moneda (UX): Utilizaste :.2f para los decimales, lo cual está bien,_x000a_     pero la rúbrica pedía :,.2f para incluir los separadores de miles. En_x000a_     finanzas, leer $1000000.00 es mucho más difícil que leer $1,000,000.00. _x000a_ Bono_x000a_     de Seguridad: No implementaste el bloque try-except para capturar_x000a_     errores de digitación (por ejemplo, si el usuario escribe &quot;diez&quot;_x000a_     en lugar de &quot;10&quot; en el monto). Por este motivo, no aplicas para_x000a_     la unidad extra del parcial.  Motivación: _x000a_Tienes una intuición natural para la programación y la estructuración de_x000a_software. El uso de funciones demuestra que estás listo para temas más_x000a_avanzados. Si ajustas tu atención a los detalles de los requerimientos del_x000a_cliente (la rúbrica) y te acostumbras a documentar tu código, tus próximos_x000a_proyectos serán de nivel &quot;Senior&quot;. ¡Excelente trabaj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exacta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uso innovador de funciones (def) y_x000a_  decisiones lógicas precisas.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Ausencia de comentarios (#) en el código y falta del_x000a_  separador de miles (,) en los f-strings.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8 _x000a_  _x000a_ Diego Mauricio Zuluaga Rodríguez _x000a_Profesor - Departamento de Economía _x000a_Universidad de La Sabana"/>
    <n v="48"/>
    <n v="50"/>
    <n v="0.96"/>
  </r>
  <r>
    <x v="18"/>
    <s v="Daniel Felipe"/>
    <s v="Camacho Pedraza"/>
    <s v="danielcampe@unisabana.edu.co"/>
    <x v="0"/>
    <d v="2026-02-25T00:00:00"/>
    <x v="0"/>
    <s v="Devuelta"/>
    <s v="Retroalimentación de la Entrega: Examen Parcial 1 - Motor_x000a_Lógico &quot;FinVes&quot;  Estudiante: Camacho Pedraza, Daniel Felipe Calificación Final: 4.5 / 5.0 (Incluye +1.0 de Bono por uso de try-except)  Comentarios del Profesor: Tu desempeño técnico en este parcial es sobresaliente._x000a_El código que has escrito no solo es funcional, sino que demuestra un nivel de_x000a_habilidad y atención al detalle en la presentación (UX) que va más allá de lo_x000a_esperado para este primer corte.  Puntos a destacar (Lo excelente): _x000a_ Robustez_x000a_     del Código (Bono +1.0): Implementaste try-except de manera impecable_x000a_     para validar las entradas numéricas, evitando que la aplicación colapse._x000a_     Además, la validación if activo_elegido not in activos_disponibles es una_x000a_     muestra de pensamiento lógico defensivo de alto nivel. _x000a_ Presentación_x000a_     Profesional (UX): El uso de f-strings con alineación (:&amp;lt;20, :&amp;gt;14)_x000a_     y el cálculo de la cantidad faltante para la meta financiera son detalles_x000a_     que transforman un script funcional en una herramienta útil y profesional. _x000a_ Lógica_x000a_     de Programación: El control de flujo con el menú while, el_x000a_     procesamiento con el ciclo for y las decisiones con if/else son perfectos.  Oportunidades de Mejora (Atención al Detalle y_x000a_Autogestión): _x000a_El motivo por el cual la nota no es superior a 5.0, a pesar de tu brillantez_x000a_técnica, se debe a dos fallos críticos en el seguimiento de instrucciones, que_x000a_es un pilar de la competencia de Autogestión: _x000a_ Ausencia_x000a_     del Pseudocódigo: La regla #3 del examen era explícita: &quot;DEBEN_x000a_     escribir el Pseudocódigo&quot; en una celda de Markdown antes del_x000a_     código. Omitir este paso, que valida el proceso de &quot;pensar antes de_x000a_     programar&quot;, anula por completo el puntaje del primer criterio de la_x000a_     rúbrica. _x000a_ Precisión_x000a_     en los Datos: La tupla activos_disponibles debía contener 4 mercados,_x000a_     pero omitiste &quot;S&amp;amp;P500&quot;. En el mundo financiero y de_x000a_     negocios, si un cliente te pide un reporte con 4 KPIs, entregar 3 es un_x000a_     error crítico. _x000a_ Bug_x000a_     Menor: Hubo un error de variable (NameError) en la creación del_x000a_     diccionario perfil_usuario al usar meta en lugar de meta_str, lo que_x000a_     indica que faltó una revisión final.  Motivación: _x000a_Tienes un talento natural para la programación y la lógica. Tu código es de los_x000a_mejores del curso. El siguiente paso en tu desarrollo profesional es combinar_x000a_ese talento técnico con una disciplina férrea para seguir los requerimientos de_x000a_un proyecto al pie de la letra. Si logras eso, tu potencial es ilimi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El pseudocódigo no fue entregado en la celda de Markdown. _x000a_  _x000a_  _x000a_  1.0 _x000a_  _x000a_  _x000a_  1.0 _x000a_  _x000a_ _x000a_ _x000a_  _x000a_  2. Estructuras de Datos _x000a_  _x000a_  _x000a_  Implementación correcta de Lista y Diccionario. La Tupla_x000a_  está incompleta. _x000a_  _x000a_  _x000a_  1.5 _x000a_  _x000a_  _x000a_  1.0 _x000a_  _x000a_ _x000a_ _x000a_  _x000a_  3. Control de Flujo _x000a_  _x000a_  _x000a_  Menú while y decisiones if/else implementados de forma_x000a_  impecable. _x000a_  _x000a_  _x000a_  1.0 _x000a_  _x000a_  _x000a_  1.0 _x000a_  _x000a_ _x000a_ _x000a_  _x000a_  4. Procesamiento _x000a_  _x000a_  _x000a_  Recorrido con for y cálculos matemáticos correctos. _x000a_  _x000a_  _x000a_  1.0 _x000a_  _x000a_  _x000a_  1.0 _x000a_  _x000a_ _x000a_ _x000a_  _x000a_  5. Presentación (UX) _x000a_  _x000a_  _x000a_  Uso de f-strings y comentarios excelente. Supera las_x000a_  expectativas. _x000a_  _x000a_  _x000a_  0.5 _x000a_  _x000a_  _x000a_  0.5 _x000a_  _x000a_ _x000a_ _x000a_  _x000a_  Bono de Seguridad _x000a_  _x000a_  _x000a_  Implementación de try-except para evitar ValueError.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19"/>
    <s v="Mateo"/>
    <s v="Perez Daza"/>
    <s v="mateopeda@unisabana.edu.co"/>
    <x v="0"/>
    <d v="2026-02-25T00:00:00"/>
    <x v="0"/>
    <s v="Devuelta"/>
    <s v="Retroalimentación de la Entrega: Examen Parcial 1 - Motor_x000a_Lógico &quot;FinVes&quot;  Estudiante: Perez Daza, Mateo Calificación Final: 4.8 / 5.0  Comentarios del Profesor: Has entregado un examen con una lógica de programación muy_x000a_sólida. Es grato ver que fuiste un paso más allá de lo enseñado en este primer_x000a_corte al implementar funciones (def) para modularizar tu código. Esto demuestra_x000a_curiosidad intelectual y una excelente capacidad de abstracción.  Puntos a destacar (Lo excelente): _x000a_ Autogestión_x000a_     (Pseudocódigo): Tu paso a paso en la celda de Markdown es claro,_x000a_     estructurado y refleja fielmente lo que programaste después. Cumpliste_x000a_     perfectamente con la regla de planear antes de codificar. _x000a_ Modularidad_x000a_     Avanzada: Separar la lógica en registrar_inversion() y mostrar_reporte()_x000a_     hace que tu menú principal (while True) quede sumamente limpio y fácil de_x000a_     leer. Esta es una práctica profesional excelente. _x000a_ Estructuras_x000a_     de Datos y Matemáticas: Implementaste correctamente el diccionario, la_x000a_     tupla y la lista. Además, los cálculos del ingreso pasivo mensual y el_x000a_     porcentaje de avance son matemáticamente exactos y están bien aplicados_x000a_     dentro del ciclo for.  Oportunidades de Mejora (Atención al Detalle): _x000a_El motivo por el cual no alcanzas la nota máxima (y el bono) se debe a detalles_x000a_específicos de la rúbrica en cuanto a presentación y seguridad: _x000a_ Documentación_x000a_     del Código: La rúbrica exigía explícitamente &quot;código documentado_x000a_     con # explicando cada bloque&quot;. Tu script en Python carece de_x000a_     comentarios internos. En el entorno profesional, documentar el código es_x000a_     vital para que otros desarrolladores entiendan tu lógica. _x000a_ Formato_x000a_     de Moneda (UX): Utilizaste :.2f para los decimales, lo cual está bien,_x000a_     pero la rúbrica pedía :,.2f para incluir los separadores de miles. En_x000a_     finanzas, leer $1000000.00 es mucho más difícil que leer $1,000,000.00. _x000a_ Bono_x000a_     de Seguridad: No implementaste el bloque try-except para capturar_x000a_     errores de digitación (por ejemplo, si el usuario escribe &quot;diez&quot;_x000a_     en lugar de &quot;10&quot; en el monto). Por este motivo, no aplicas para_x000a_     la unidad extra del parcial.  Motivación: _x000a_Tienes una intuición natural para la programación y la estructuración de_x000a_software. El uso de funciones demuestra que estás listo para temas más_x000a_avanzados. Si ajustas tu atención a los detalles de los requerimientos del_x000a_cliente (la rúbrica) y te acostumbras a documentar tu código, tus próximos_x000a_proyectos serán de nivel &quot;Senior&quot;. ¡Excelente trabaj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exacta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uso innovador de funciones (def) y_x000a_  decisiones lógicas precisas.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Ausencia de comentarios (#) en el código y falta del_x000a_  separador de miles (,) en los f-strings.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8 _x000a_  _x000a_ Diego Mauricio Zuluaga Rodríguez _x000a_Profesor - Departamento de Economía _x000a_Universidad de La Sabana"/>
    <n v="48"/>
    <n v="50"/>
    <n v="0.96"/>
  </r>
  <r>
    <x v="20"/>
    <s v="Matias"/>
    <s v="Mondragon Osorio"/>
    <s v="matiasmoos@unisabana.edu.co"/>
    <x v="0"/>
    <d v="2026-02-25T00:00:00"/>
    <x v="0"/>
    <s v="Devuelta"/>
    <s v="Retroalimentación de la Entrega: Examen Parcial 1 - Motor_x000a_Lógico &quot;FinVes&quot;  Estudiante: MONDRAGON OSORIO, MATIAS Calificación Final: 5.0 / 5.0 (+1.0 Unidad de Bono por uso de try-except)  Comentarios del Profesor: Has entregado un examen parcial impecable._x000a_Demostraste un dominio absoluto de todos los temas vistos durante el primer_x000a_corte y, lo más importante, probaste que tienes la lógica estructurada de una_x000a_verdadera analista y desarrolladora.  Puntos a destacar (Lo excelente): _x000a_ Autogestión_x000a_     y Sanity Check: Tu pseudocódigo en la celda de Markdown es detallado,_x000a_     claro y coincide paso a paso con la ejecución de tu código en Python._x000a_     Cumpliste a la perfección la regla de &quot;pensar antes de_x000a_     programar&quot;. _x000a_ Robustez_x000a_     del Código (Bono +1.0): Implementaste bloques try-except tanto en la_x000a_     configuración inicial del perfil como en el registro de inversiones. Esto_x000a_     demuestra que te pones en los zapatos del usuario y previenes que la_x000a_     aplicación colapse por un error de digitación. Excelente iniciativa. _x000a_ Estructuras_x000a_     de Datos: Manejaste a la perfección la combinación de Diccionarios_x000a_     (para el perfil y las inversiones individuales), Tuplas (para los activos_x000a_     fijos) y Listas (para el portafolio dinámico). _x000a_ Presentación_x000a_     (UX): El uso de f-strings con el formato :,.2f hace que tu aplicación_x000a_     se vea como un software financiero real. Además, los menús y mensajes en_x000a_     consola son muy limpios e intuitivos (noté en el registro de salida que_x000a_     hiciste pruebas exhaustivas, incluso usando &quot;Matias&quot; como_x000a_     usuario de prueba, lo cual es una excelente práctica de testeo).  Motivación: _x000a_Tienes una base técnica y lógica sumamente sólida. Si mantienes esta_x000a_disciplina, rigurosidad y atención al detalle, no solo te irá excelente en lo_x000a_que resta del semestre, sino que tendrás las herramientas necesarias para_x000a_liderar proyectos tecnológicos reales en tu vida profesional. ¡Felicitaciones_x000a_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21"/>
    <s v="Juan David"/>
    <s v="Neuta Medina"/>
    <s v="juanneme@unisabana.edu.co"/>
    <x v="0"/>
    <d v="2026-02-25T00:00:00"/>
    <x v="0"/>
    <s v="Devuelta"/>
    <s v="Retroalimentación de la Entrega: Examen Parcial 1 - Motor_x000a_Lógico &quot;FinVes&quot;  Estudiante: Neuta Medina, Juan David Calificación Final: 5.0 / 5.0  Comentarios del Profesor: Tu examen es un ejemplo de excelencia técnica y_x000a_metodológica. Has demostrado un dominio completo de todos los conceptos del_x000a_primer corte y, lo que es más importante, una capacidad de autogestión y_x000a_pensamiento estructurado que es precisamente lo que buscamos en los_x000a_profesionales de la EICEA.  Puntos a destacar (Lo excelente): _x000a_ Autogestión_x000a_     y Lógica Impecable: Tu pseudocódigo en la celda de Markdown es de_x000a_     altísima calidad. Es detallado, sigue una estructura lógica profesional y_x000a_     se refleja perfectamente en tu código final. Cumpliste a cabalidad la_x000a_     regla de &quot;pensar antes de programar&quot;. _x000a_ Programación_x000a_     Defensiva: La validación if activo not in activos_disponibles: es una_x000a_     muestra de pensamiento computacional avanzado. No solo hiciste que el_x000a_     programa funcionara, sino que lo hiciste robusto, anticipándote a los_x000a_     errores del usuario. _x000a_ Presentación_x000a_     y UX Profesional: El uso de emojis, mensajes claros y una interfaz de_x000a_     consola bien organizada demuestra que piensas en el usuario final. Esto_x000a_     transforma un simple script en una aplicación amigable.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demostrado que no solo sabes programar, sino que sabes cómo construir una_x000a_solución completa y bien pensada. Esta habilidad para pasar de un problema de_x000a_negocio a un prototipo funcional es extremadamente valiosa en el mercado._x000a_¡Felicitaciones por un trabajo impecabl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ódigo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22"/>
    <s v="Laura Fernanda"/>
    <s v="Lopez Parra"/>
    <s v="lauraloppa@unisabana.edu.co"/>
    <x v="0"/>
    <d v="2026-02-25T00:00:00"/>
    <x v="0"/>
    <s v="Devuelta"/>
    <s v="Retroalimentación de la Entrega: Examen Parcial 1 - Motor_x000a_Lógico &quot;FinVes&quot;  Estudiante: Lopez Parra, Laura Fernanda Calificación Final: 5.0 / 5.0  Comentarios del Profesor: Tu examen es un ejemplo de excelencia técnica y_x000a_metodológica. Has demostrado un dominio completo de todos los conceptos del_x000a_primer corte y, lo que es más importante, una capacidad de autogestión y_x000a_pensamiento estructurado que es precisamente lo que buscamos en los_x000a_profesionales de la EICEA.  Puntos a destacar (Lo excelente): _x000a_ Autogestión_x000a_     y Lógica Impecable: Tu pseudocódigo en la celda de Markdown es de_x000a_     altísima calidad. Es detallado, sigue una estructura lógica profesional y_x000a_     se refleja perfectamente en tu código final. Cumpliste a cabalidad la_x000a_     regla de &quot;pensar antes de programar&quot;. _x000a_ Programación_x000a_     Defensiva: La validación if activo not in activos_disponibles: es una_x000a_     muestra de pensamiento computacional avanzado. No solo hiciste que el_x000a_     programa funcionara, sino que lo hiciste robusto, anticipándote a los_x000a_     errores del usuario. _x000a_ Presentación_x000a_     y UX Profesional: El uso de emojis, mensajes claros y una interfaz de_x000a_     consola bien organizada demuestra que piensas en el usuario final. Esto_x000a_     transforma un simple script en una aplicación amigable.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demostrado que no solo sabes programar, sino que sabes cómo construir una_x000a_solución completa y bien pensada. Esta habilidad para pasar de un problema de_x000a_negocio a un prototipo funcional es extremadamente valiosa en el mercado._x000a_¡Felicitaciones por un trabajo impecabl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ódigo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23"/>
    <s v="Lukas"/>
    <s v="Blanco Llanes"/>
    <s v="lukasblll@unisabana.edu.co"/>
    <x v="0"/>
    <d v="2026-02-25T00:00:00"/>
    <x v="0"/>
    <s v="Devuelta"/>
    <s v="Retroalimentación del Examen Parcial - Corte 1: App_x000a_&quot;FinVes&quot;  Estudiante: Lukas Blanco Llanes Calificación Final: 55.0 / 50.0 (Nota registrada: 5.0 +_x000a_Bono acumulable).  Comentarios del Profesor: Lukas, has entregado un examen parcial excepcional. No solo_x000a_cumpliste con todos los requerimientos técnicos de la rúbrica, sino que fuiste_x000a_más allá, implementando lógica avanzada de limpieza de datos que demuestra un_x000a_nivel de seniority poco común en un primer corte.  Aspectos Sobresalientes (Excelencia Técnica): _x000a_ Ingeniería_x000a_     de Datos (Función leer_numero): Me impresionó gratamente tu función_x000a_     personalizada para limpiar la entrada de números. Manejar formatos_x000a_     complejos como 1.000.000,50 o 1,000,000.50 y convertirlos correctamente a float_x000a_     es un problema real en la industria financiera que resolviste con_x000a_     elegancia. Esto supera las expectativas del curso. _x000a_ Autogestión_x000a_     Impecable: Tu pseudocódigo en Markdown es detallado, estructurado y_x000a_     coincide al 100% con la lógica final. Es evidente que planeaste antes de_x000a_     ejecutar. _x000a_ Sanity_x000a_     Checks: Las validaciones de monto &amp;lt;= 0, tasa &amp;lt; 0 y la_x000a_     verificación de activos not in activos_disponibles blindan tu aplicación_x000a_     contra errores humanos. _x000a_ UX_x000a_     Financiera: El reporte final con el desglose por inversión y el_x000a_     cálculo de avance porcentual es claro y profesional.  Bono de GitHub: _x000a_Al haber entregado tu parcial mediante un repositorio de GitHub, sumas +5.0_x000a_puntos adicionales a tu nota (o al acumulado del corte), demostrando_x000a_competencia en gestión de versiones.  Conclusión: _x000a_Tienes un talento natural para la lógica de programación aplicada a negocios._x000a_Esa capacidad para anticipar cómo un usuario puede escribir mal un número (1.000.000_x000a_vs 1000000) es lo que diferencia a un programador promedio de uno excelente._x000a_¡Sigue así!  Rúbrica de Calificación Detallada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 con el_x000a_  código. _x000a_  _x000a_  _x000a_  10.0 _x000a_  _x000a_  _x000a_  10.0 _x000a_  _x000a_ _x000a_ _x000a_  _x000a_  2. Estructuras de Datos _x000a_  _x000a_  _x000a_  Implementación correcta de perfil_usuario (dict), activos_disponibles_x000a_  (tuple) y portafolio (list). _x000a_  _x000a_  _x000a_  15.0 _x000a_  _x000a_  _x000a_  15.0 _x000a_  _x000a_ _x000a_ _x000a_  _x000a_  3. Control de Flujo _x000a_  _x000a_  _x000a_  Menú while robusto, validaciones if/else y manejo de_x000a_  opciones inválidas. _x000a_  _x000a_  _x000a_  10.0 _x000a_  _x000a_  _x000a_  10.0 _x000a_  _x000a_ _x000a_ _x000a_  _x000a_  4. Procesamiento _x000a_  _x000a_  _x000a_  Cálculo preciso de ingresos pasivos, recorridos con for y_x000a_  lógica financiera correcta. _x000a_  _x000a_  _x000a_  10.0 _x000a_  _x000a_  _x000a_  10.0 _x000a_  _x000a_ _x000a_ _x000a_  _x000a_  5. Presentación (UX) _x000a_  _x000a_  _x000a_  Uso avanzado de f-strings y función propia para limpieza_x000a_  de formatos numéricos. _x000a_  _x000a_  _x000a_  5.0 _x000a_  _x000a_  _x000a_  5.0 _x000a_  _x000a_ _x000a_ _x000a_  _x000a_  Bono GitHub _x000a_  _x000a_  _x000a_  Entrega mediante repositorio de control de versiones. _x000a_  _x000a_  _x000a_  + 5.0 _x000a_  _x000a_  _x000a_  + 5.0 _x000a_  _x000a_ _x000a_ _x000a_  _x000a_  TOTAL _x000a_  _x000a_  _x000a_  _x000a_  50.0 _x000a_  _x000a_  _x000a_  65.0 _x000a_  _x000a_ Diego Mauricio Zuluaga Rodríguez _x000a_Profesor - Departamento de Economía _x000a_Universidad de La Sabana"/>
    <n v="65"/>
    <n v="50"/>
    <n v="1.3"/>
  </r>
  <r>
    <x v="24"/>
    <s v="Juan Sebastian"/>
    <s v="Salas Hinojosa"/>
    <s v="juansahi@unisabana.edu.co"/>
    <x v="0"/>
    <d v="2026-02-25T00:00:00"/>
    <x v="0"/>
    <s v="Devuelta"/>
    <s v="Retroalimentación de la Entrega: Examen Parcial 1 - Motor_x000a_Lógico &quot;FinVes&quot;  Estudiante: SALAS HINOJOSA, JUAN SEBASTIAN Calificación Final: 6.0 / 5.0 (5.0 Base + 1.0 Bono por excelencia_x000a_técnica)  Comentarios del Profesor: Tu examen no solo es correcto, es excepcional. Has ido_x000a_más allá de los requerimientos del parcial y has entregado una solución que_x000a_demuestra la mentalidad de un desarrollador senior: no solo resuelves el_x000a_problema, lo anticipas.  Puntos a destacar (Lo sobresaliente): _x000a_ Autogestión_x000a_     y Diseño Lógico: Tu pseudocódigo es una obra de arte. Es tan detallado_x000a_     que incluso incluye una sección de &quot;Criterios de cumplimiento de la_x000a_     rúbrica&quot;. Esto demuestra un nivel de autogestión y planeación que_x000a_     excede por completo las expectativas del curso. _x000a_ Ingeniería_x000a_     de Software (Función leer_numero): La creación de la función leer_numero_x000a_     es la marca de un programador que piensa en la reutilización y la_x000a_     robustez. Esta función no solo usa try-except (lo que te otorga el bono de_x000a_     +1.0), sino que resuelve un problema real y complejo del contexto_x000a_     colombiano: la ambigüedad entre el punto y la coma como separadores_x000a_     decimales y de miles. Esto es pensamiento de ingeniería aplicado a un_x000a_     problema de negocio. _x000a_ Dominio_x000a_     Técnico Integral: Has implementado a la perfección todas las_x000a_     estructuras de datos (Listas, Tuplas, Diccionarios) y de control (while, for,_x000a_     if/else). La forma en que guardas cada inversión como un diccionario_x000a_     dentro de la lista portafolio es la práctica estándar en la industria. _x000a_ Experiencia_x000a_     de Usuario (UX): Tu programa es &quot;a prueba de balas&quot;. Valida_x000a_     que la meta sea positiva, que el activo exista en la tupla, que los montos_x000a_     no sean negativos y que el usuario no pueda romper el programa con_x000a_     entradas inválidas.  Motivación: _x000a_Este es el tipo de trabajo que se presenta en un portafolio para conseguir un_x000a_rol en una FinTech. Tienes una base lógica y técnica extremadamente sólida. Si_x000a_continúas con esta disciplina y curiosidad por resolver problemas de forma_x000a_elegante y robusta, tienes un futuro muy prometedor en el mundo de la_x000a_tecnología y los datos. ¡Felicitaciones por un desempeñ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 nivel superior, detallado y perfectamente_x000a_  alineado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Menú while robusto, con validaciones de entrada y_x000a_  decisiones if/else precisas. _x000a_  _x000a_  _x000a_  1.0 _x000a_  _x000a_  _x000a_  1.0 _x000a_  _x000a_ _x000a_ _x000a_  _x000a_  4. Procesamiento _x000a_  _x000a_  _x000a_  Recorrido con for, cálculos matemáticos correctos y_x000a_  casting manejado de forma avanzada. _x000a_  _x000a_  _x000a_  1.0 _x000a_  _x000a_  _x000a_  1.0 _x000a_  _x000a_ _x000a_ _x000a_  _x000a_  5. Presentación (UX) _x000a_  _x000a_  _x000a_  Uso de f-strings con formato, código limpio y mensajes_x000a_  claros. _x000a_  _x000a_  _x000a_  0.5 _x000a_  _x000a_  _x000a_  0.5 _x000a_  _x000a_ _x000a_ _x000a_  _x000a_  Bono de Excelencia _x000a_  _x000a_  _x000a_  Creación de función reutilizable (leer_numero) con try-except_x000a_  y lógica avanzada de validación.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25"/>
    <s v="Avril Avril"/>
    <s v="Ariza Quitian"/>
    <s v="avrilarqu@unisabana.edu.co"/>
    <x v="0"/>
    <d v="2026-02-25T00:00:00"/>
    <x v="0"/>
    <s v="Devuelta"/>
    <s v="Retroalimentación de la Entrega: Examen Parcial 1 - Motor_x000a_Lógico &quot;FinVes&quot;  Estudiante: ARIZA QUITIAN, AVRIL Calificación Final: 5.0 / 5.0 (Nota Base: 4.5/5.0 + 1.0 Unidad de Bono por uso avanzado de try-except. La_x000a_nota máxima del sistema es 5.0).  Comentarios del Profesor: Avril, has entregado un examen parcial con un nivel técnico_x000a_sobresaliente. Has demostrado un dominio muy sólido de las estructuras de_x000a_control y de la prevención de errores, lo cual es vital para cualquier_x000a_aplicación financiera real.  Puntos a destacar (Lo excelente): _x000a_ Robustez_x000a_     y Seguridad (Bono +1.0): Tu implementación de los bloques try-except_x000a_     fue excepcional. No solo validaste la entrada de la meta financiera, sino_x000a_     que creaste un sistema de selección de activos por índice numérico (enumerate)_x000a_     validando que el usuario no ingresara opciones fuera de rango. Esto es_x000a_     pensar como una verdadera desarrolladora. _x000a_ Autogestión:_x000a_     El pseudocódigo está perfectamente estructurado y refleja paso a paso lo_x000a_     que programaste después. Cumpliste la regla de oro: pensar antes de_x000a_     codificar. _x000a_ Estructuras_x000a_     de Datos: Manipulaste correctamente el Diccionario para el perfil, la_x000a_     Tupla para los activos y la Lista de diccionarios para el portafolio. _x000a_ Presentación_x000a_     (UX): El uso de f-strings con separadores de miles (:,.2f) y la_x000a_     limpieza de los menús hacen que tu código sea muy agradable para el_x000a_     usuario final.  Oportunidad de Mejora (Atención al Detalle /_x000a_Requerimientos del Cliente): _x000a_ El_x000a_     Cálculo del Avance: En el Paso 4, el requerimiento exigía_x000a_     explícitamente calcular el porcentaje de avance (Ingreso Pasivo /_x000a_     Meta) * 100 e imprimir el mensaje &quot;Te falta un camino por_x000a_     recorrer. Tu avance es del X.XX%.&quot;. En tu código, calculaste el valor_x000a_     faltante absoluto (la resta). _x000a_ Lección_x000a_     de Negocios: Aunque tu cálculo matemático es correcto y útil, en el_x000a_     mundo real, si un cliente o gerente te pide un KPI en porcentaje, entregar_x000a_     un valor absoluto se considera un fallo en el levantamiento de requisitos._x000a_     Por este detalle tu nota base fue de 4.5, pero gracias a tu excelente_x000a_     trabajo extra con las validaciones (try-except), recuperaste el puntaje y_x000a_     lograste el 5.0 perfecto.  Motivación: _x000a_Tienes una lógica de programación excelente y construyes código muy seguro._x000a_Sigue cultivando esa atención a la prevención de errores, ajustando un poco más_x000a_la lectura estricta de los requerimientos, y serás una profesional imparable en_x000a_el análisis de datos y la tecnología. ¡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y cálculo de ingresos pasivos. (Penalización_x000a_  de -0.5 por no calcular el porcentaje de avance solicitado). _x000a_  _x000a_  _x000a_  1.0 _x000a_  _x000a_  _x000a_  0.5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avanzada de try-except para evitar cierres_x000a_  abruptos en múltiples inputs.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26"/>
    <s v="Samuel David"/>
    <s v="Simancas Contreras"/>
    <s v="samuelsico@unisabana.edu.co"/>
    <x v="0"/>
    <d v="2026-02-25T00:00:00"/>
    <x v="0"/>
    <s v="Devuelta"/>
    <s v="Retroalimentación de la Entrega: Examen Parcial 1 - Motor_x000a_Lógico &quot;FinVes&quot;  Estudiante: Simancas Contreras, Samuel David Calificación Final: 4.5 / 5.0 (Incluye +1.0 de Bono por uso de try-except)  Comentarios del Profesor: Tu desempeño técnico en este parcial es sobresaliente._x000a_El código que has escrito no solo es funcional, sino que demuestra un nivel de_x000a_habilidad y atención al detalle en la presentación (UX) que va más allá de lo_x000a_esperado para este primer corte.  Puntos a destacar (Lo excelente): _x000a_ Robustez_x000a_     del Código (Bono +1.0): Implementaste try-except de manera impecable_x000a_     para validar las entradas numéricas, evitando que la aplicación colapse._x000a_     Además, la validación if activo_elegido not in activos_disponibles es una_x000a_     muestra de pensamiento lógico defensivo de alto nivel. _x000a_ Presentación_x000a_     Profesional (UX): El uso de f-strings con alineación (:&amp;lt;20, :&amp;gt;14)_x000a_     y el cálculo de la cantidad faltante para la meta financiera son detalles_x000a_     que transforman un script funcional en una herramienta útil y profesional. _x000a_ Lógica_x000a_     de Programación: El control de flujo con el menú while, el_x000a_     procesamiento con el ciclo for y las decisiones con if/else son perfectos.  Oportunidades de Mejora (Atención al Detalle y_x000a_Autogestión): _x000a_El motivo por el cual la nota no es superior a 5.0, a pesar de tu brillantez_x000a_técnica, se debe a dos fallos críticos en el seguimiento de instrucciones, que_x000a_es un pilar de la competencia de Autogestión: _x000a_ Ausencia_x000a_     del Pseudocódigo: La regla #3 del examen era explícita: &quot;DEBEN_x000a_     escribir el Pseudocódigo&quot; en una celda de Markdown antes del_x000a_     código. Omitir este paso, que valida el proceso de &quot;pensar antes de_x000a_     programar&quot;, anula por completo el puntaje del primer criterio de la_x000a_     rúbrica. _x000a_ Precisión_x000a_     en los Datos: La tupla activos_disponibles debía contener 4 mercados,_x000a_     pero omitiste &quot;S&amp;amp;P500&quot;. En el mundo financiero y de_x000a_     negocios, si un cliente te pide un reporte con 4 KPIs, entregar 3 es un_x000a_     error crítico. _x000a_ Bug_x000a_     Menor: Hubo un error de variable (NameError) en la creación del_x000a_     diccionario perfil_usuario al usar meta en lugar de meta_str, lo que_x000a_     indica que faltó una revisión final.  Motivación: _x000a_Tienes un talento natural para la programación y la lógica. Tu código es de los_x000a_mejores del curso. El siguiente paso en tu desarrollo profesional es combinar_x000a_ese talento técnico con una disciplina férrea para seguir los requerimientos de_x000a_un proyecto al pie de la letra. Si logras eso, tu potencial es ilimi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El pseudocódigo no fue entregado en la celda de Markdown. _x000a_  _x000a_  _x000a_  1.0 _x000a_  _x000a_  _x000a_  1.0 _x000a_  _x000a_ _x000a_ _x000a_  _x000a_  2. Estructuras de Datos _x000a_  _x000a_  _x000a_  Implementación correcta de Lista y Diccionario. La Tupla_x000a_  está incompleta. _x000a_  _x000a_  _x000a_  1.5 _x000a_  _x000a_  _x000a_  1.0 _x000a_  _x000a_ _x000a_ _x000a_  _x000a_  3. Control de Flujo _x000a_  _x000a_  _x000a_  Menú while y decisiones if/else implementados de forma_x000a_  impecable. _x000a_  _x000a_  _x000a_  1.0 _x000a_  _x000a_  _x000a_  1.0 _x000a_  _x000a_ _x000a_ _x000a_  _x000a_  4. Procesamiento _x000a_  _x000a_  _x000a_  Recorrido con for y cálculos matemáticos correctos. _x000a_  _x000a_  _x000a_  1.0 _x000a_  _x000a_  _x000a_  1.0 _x000a_  _x000a_ _x000a_ _x000a_  _x000a_  5. Presentación (UX) _x000a_  _x000a_  _x000a_  Uso de f-strings y comentarios excelente. Supera las_x000a_  expectativas. _x000a_  _x000a_  _x000a_  0.5 _x000a_  _x000a_  _x000a_  0.5 _x000a_  _x000a_ _x000a_ _x000a_  _x000a_  Bono de Seguridad _x000a_  _x000a_  _x000a_  Implementación de try-except para evitar ValueError.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27"/>
    <s v="Derek Sebastian"/>
    <s v="Quintero Espindola"/>
    <s v="derekques@unisabana.edu.co"/>
    <x v="0"/>
    <d v="2026-02-25T00:00:00"/>
    <x v="0"/>
    <s v="Devuelta"/>
    <m/>
    <n v="0"/>
    <n v="50"/>
    <n v="0"/>
  </r>
  <r>
    <x v="28"/>
    <s v="Maria Jose"/>
    <s v="Huertas Osorio"/>
    <s v="mariahueos@unisabana.edu.co"/>
    <x v="0"/>
    <d v="2026-02-25T00:00:00"/>
    <x v="0"/>
    <s v="Devuelta"/>
    <s v="Retroalimentación de la Entrega: Examen Parcial 1 - Motor_x000a_Lógico &quot;FinVes&quot;  Estudiante: Alessandro Bonilla Calificación Final: 4.5 / 5.0  Comentarios del Profesor: Alessandro, tu examen demuestra un nivel de pensamiento_x000a_lógico y estructurado excepcional. La forma en que desglosaste el problema en_x000a_el pseudocódigo y el diagrama de flujo es exactamente lo que se espera de un_x000a_analista que domina la autogestión.  Puntos a destacar (Lo excelente): _x000a_ Autogestión_x000a_     y Diseño: Tu pseudocódigo no es solo una lista de pasos, es una_x000a_     narración técnica del flujo del programa. Junto con el diagrama de flujo,_x000a_     demuestras una comprensión profunda del problema antes de escribir una_x000a_     sola línea de código. Este es el pilar de un buen desarrollador. _x000a_ Lógica_x000a_     de Programación: Tu código es limpio, sigue todos los requerimientos y_x000a_     la lógica es impecable. El uso combinado de diccionarios, tuplas y listas_x000a_     es perfecto. Mención especial a la validación if activo_seleccionado not_x000a_     in activos_disponibles:, una iniciativa que añade robustez al programa y_x000a_     demuestra que piensas en los posibles errores del usuario.  Oportunidad de Mejora (El punto crítico): _x000a_ Funcionalidad_x000a_     y Entorno: El único factor que impidió una calificación perfecta fue_x000a_     que el código no es ejecutable. El error ipykernel package que se muestra_x000a_     en la salida indica que el entorno de tu Jupyter Notebook no estaba_x000a_     correctamente configurado para correr el código. En el mundo profesional,_x000a_     un código que no corre, sin importar cuán perfecto sea en teoría, no es un_x000a_     entregable funcional. Es una lección crucial: un programador de élite no_x000a_     solo escribe código correcto, sino que se asegura de que sea ejecutable_x000a_     y reproducible. _x000a_ Bono_x000a_     de Seguridad: No implementaste el bloque try-except, por lo que no_x000a_     aplicas al bono de +1.0 unidad. Si lo hubieras hecho, tu programa habría_x000a_     sido aún más robusto.  Motivación: _x000a_La buena noticia es que tu error no fue de lógica, sino de configuración de_x000a_entorno, algo que se aprende y se corrige con la práctica. Tu capacidad para_x000a_diseñar y estructurar soluciones es de primer nivel. Si a esa habilidad le_x000a_sumas la disciplina de probar y asegurar que tus entregables funcionen siempre,_x000a_estarás más que preparado para cualquier reto técnico en tu carrera. ¡Sigue_x000a_trabajando en esa lógica bril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y Diagrama de Flujo detallados y_x000a_  perfectamente alineados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La lógica del menú while y las decisiones if/elif/else es_x000a_  perfecta, pero el programa no es funcional (error de ipykernel). _x000a_  _x000a_  _x000a_  1.0 _x000a_  _x000a_  _x000a_  0.5 _x000a_  _x000a_ _x000a_ _x000a_  _x000a_  4. Procesamiento _x000a_  _x000a_  _x000a_  El ciclo for y los cálculos matemáticos son lógicamente_x000a_  correctos. _x000a_  _x000a_  _x000a_  1.0 _x000a_  _x000a_  _x000a_  1.0 _x000a_  _x000a_ _x000a_ _x000a_  _x000a_  5. Presentación (UX) _x000a_  _x000a_  _x000a_  Uso de f-strings, código documentado y mensajes claros_x000a_  para el usuario. _x000a_  _x000a_  _x000a_  0.5 _x000a_  _x000a_  _x000a_  0.5 _x000a_  _x000a_ _x000a_ _x000a_  _x000a_  Bono de Seguridad _x000a_  _x000a_  _x000a_  No se implementó el bloque try-except. _x000a_  _x000a_  _x000a_  + 1.0 _x000a_  _x000a_  _x000a_  + 0.0 _x000a_  _x000a_ _x000a_ _x000a_  _x000a_  TOTAL _x000a_  _x000a_  _x000a_  _x000a_  5.0 _x000a_  _x000a_  _x000a_  4.5 _x000a_  _x000a_ Diego Mauricio Zuluaga Rodríguez _x000a_Profesor - Departamento de Economía _x000a_Universidad de La Sabana"/>
    <n v="45"/>
    <n v="50"/>
    <n v="0.9"/>
  </r>
  <r>
    <x v="29"/>
    <s v="Juan Camilo"/>
    <s v="Leyton Lancheros"/>
    <s v="juanleyla@unisabana.edu.co"/>
    <x v="0"/>
    <d v="2026-02-25T00:00:00"/>
    <x v="0"/>
    <s v="Devuelta"/>
    <s v="Retroalimentación de la Entrega: Examen Parcial 1 - Motor_x000a_Lógico &quot;FinVes&quot;  Estudiante: LEYTON LANCHEROS, JUAN CAMILO Calificación Final: 5.0 / 5.0 (Nota Desglosada: 4.0 Base + 1.0 Bono por Robustez Técnica. La ausencia del_x000a_Pseudocódigo anuló el punto de Lógica, pero el Bono compensó la nota final).  Comentarios del Profesor: Técnicamente has entregado uno de los códigos más_x000a_robustos de la clase. Tu implementación en Python demuestra un dominio sólido_x000a_de la sintaxis y una excelente capacidad para validar datos (evitando que el_x000a_programa colapse). Sin embargo, hay un punto crítico de Autogestión que_x000a_omitiste y que casi te cuesta la nota perfecta.  Puntos a destacar (Lo excelente): _x000a_ Robustez_x000a_     y Seguridad (Bono +1.0): Implementaste bloques try-except y_x000a_     validaciones while True para asegurar que los datos ingresados (meta,_x000a_     monto, tasa) sean correctos. Esto protege al sistema de errores de usuario_x000a_     (ValueError) y cumple con el criterio para el bono extra. ¡Excelente_x000a_     trabajo blindando el código! _x000a_ Lógica_x000a_     de Negocio: La fórmula de libertad financiera y el cálculo de ingresos_x000a_     pasivos son matemáticamente correctos. _x000a_ Presentación:_x000a_     El uso de f-strings con separadores de miles (:,.2f) facilita la lectura_x000a_     de los datos financieros.  Oportunidad de Mejora (Atención a la Autogestión): _x000a_ Ausencia_x000a_     de Pseudocódigo: El enunciado era explícito: &quot;Antes de_x000a_     escribir una sola línea de código... DEBEN escribir el Pseudocódigo&quot;._x000a_     Tu celda de Markdown solo tiene tu nombre. En este parcial, el Bono de_x000a_     Seguridad salvó tu nota, cubriendo el punto perdido por Lógica y_x000a_     Diseño. En futuros entregables, la planeación escrita es obligatoria y no_x000a_     negociable. _x000a_ Tip_x000a_     Técnico: Usaste portafolio = portafolio + [inversion]. Aunque funciona_x000a_     (concatenación de listas), la forma estándar y más eficiente en memoria en_x000a_     Python es usar el método .append(inversion).  Motivación: _x000a_Tienes una habilidad técnica muy fuerte. Si logras combinar esa capacidad de_x000a_programación con la disciplina de documentar tu lógica previamente_x000a_(Pseudocódigo), serás un desarrollador/analista excepcional. ¡Sigue así, pero_x000a_no descuides las instrucciones de autogestión!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faltante. No se presentó la planeación_x000a_  lógica en Markdown requerida. _x000a_  _x000a_  _x000a_  1.0 _x000a_  _x000a_  _x000a_  0.0 _x000a_  _x000a_ _x000a_ _x000a_  _x000a_  2. Estructuras de Datos _x000a_  _x000a_  _x000a_  Uso correcto de Diccionarios, Tuplas y Listas anidadas. _x000a_  _x000a_  _x000a_  1.5 _x000a_  _x000a_  _x000a_  1.5 _x000a_  _x000a_ _x000a_ _x000a_  _x000a_  3. Control de Flujo _x000a_  _x000a_  _x000a_  Menú interactivo funcional con opciones de salida y_x000a_  validación correcta. _x000a_  _x000a_  _x000a_  1.0 _x000a_  _x000a_  _x000a_  1.0 _x000a_  _x000a_ _x000a_ _x000a_  _x000a_  4. Procesamiento _x000a_  _x000a_  _x000a_  Cálculos matemáticos precisos e iteración correcta de la_x000a_  lista. _x000a_  _x000a_  _x000a_  1.0 _x000a_  _x000a_  _x000a_  1.0 _x000a_  _x000a_ _x000a_ _x000a_  _x000a_  5. Presentación (UX) _x000a_  _x000a_  _x000a_  Formato de moneda legible y mensajes claros al usuario. _x000a_  _x000a_  _x000a_  0.5 _x000a_  _x000a_  _x000a_  0.5 _x000a_  _x000a_ _x000a_ _x000a_  _x000a_  Bono de Seguridad _x000a_  _x000a_  _x000a_  Implementación efectiva de try-except y validaciones de_x000a_  entrada. _x000a_  _x000a_  _x000a_  + 1.0 _x000a_  _x000a_  _x000a_  + 1.0 _x000a_  _x000a_ _x000a_ _x000a_  _x000a_  TOTAL _x000a_  _x000a_  _x000a_  _x000a_  5.0 _x000a_  _x000a_  _x000a_  5.0 _x000a_  _x000a_ Diego Mauricio Zuluaga Rodríguez _x000a_Profesor - Departamento de Economía _x000a_Universidad de La Sabana"/>
    <n v="50"/>
    <n v="50"/>
    <n v="1"/>
  </r>
  <r>
    <x v="30"/>
    <s v="Samuel Mathias"/>
    <s v="Gonzalez Bernal"/>
    <s v="samuelgonbe@unisabana.edu.co"/>
    <x v="0"/>
    <d v="2026-02-25T00:00:00"/>
    <x v="0"/>
    <s v="Devuelta"/>
    <s v="Retroalimentación de la Entrega: Examen Parcial 1 - Motor_x000a_Lógico &quot;FinVes&quot;  Estudiante: Samuel Mathias González Bernal Calificación Final: 4.3 / 5.0  Comentarios del Profesor: Has entregado un parcial con una estructura muy interesante_x000a_y con destellos de programación avanzada. Se nota que comprendes la sintaxis de_x000a_Python y te sientes cómodo explorando formas eficientes de resolver problemas.  Puntos a destacar (Lo excelente): _x000a_ Autogestión_x000a_     (Pseudocódigo): Cumpliste a la perfección con la regla de escribir el_x000a_     pseudocódigo antes de programar. Tu paso a paso es lógico, estructurado y_x000a_     fácil de leer. _x000a_ Estructuras_x000a_     de Datos: Implementaste correctamente el diccionario, la tupla y la_x000a_     lista. Validar si el activo ingresado existe dentro de la tupla (if activo_x000a_     in activos_disponibles:) es una excelente práctica de validación de datos. _x000a_ Código_x000a_     Avanzado (&quot;Pythónico&quot;): El uso de la función sum() combinada_x000a_     con un generador en una sola línea (sum(inversion[&quot;monto&quot;] * ..._x000a_     for inversion in portafolio)) para calcular el rendimiento total demuestra_x000a_     un nivel de abstracción superior al promedio. ¡Muy bien hecho! _x000a_ Presentación_x000a_     Visual (UX): El uso de f-strings con separadores de miles y decimales_x000a_     (:,.2f) hace que la salida en consola sea muy profesional y fácil de leer_x000a_     para un usuario financiero.  Oportunidades de Mejora (Atención al Detalle): _x000a_El motivo por el cual no alcanzas la nota máxima se debe a tres detalles_x000a_específicos en el seguimiento de instrucciones y la lógica de procesamiento: _x000a_ Bug_x000a_     Lógico (Duplicidad de Datos): En la Opción 1, estás agregando la misma_x000a_     inversión dos veces a la lista portafolio. Primero haces un .append()_x000a_     parcial, luego le agregas la tasa, y unas líneas más abajo creas el_x000a_     diccionario datos_inversion y le haces .append() de nuevo. Si revisas tu_x000a_     propia consola de salida, verás que &quot;Bonos del Estado&quot; aparece_x000a_     duplicado y el ingreso pasivo se calcula por el doble del valor real. _x000a_ Requerimiento_x000a_     Omitido (Porcentaje): La rúbrica exigía explícitamente calcular el_x000a_     porcentaje de avance (Ingreso Pasivo / Meta) * 100 e imprimir el mensaje &quot;Te_x000a_     falta un camino por recorrer. Tu avance es del X.XX%.&quot;. Omitiste_x000a_     este cálculo matemático y el mensaje solicitado. _x000a_ Documentación_x000a_     del Código: La rúbrica pedía &quot;código documentado con # explicando_x000a_     cada bloque&quot;. Tu script carece por completo de comentarios internos._x000a_     En el entorno profesional, documentar el código es vital para el trabajo_x000a_     en equipo. _x000a_ Bono_x000a_     de Seguridad: No implementaste el bloque try-except para capturar_x000a_     errores de digitación (ValueError), por lo que no aplicas para la unidad_x000a_     extra.  Motivación: _x000a_Tienes una lógica de programación muy ágil y utilizas herramientas avanzadas de_x000a_Python de forma natural. Tu reto ahora es la auditoría de tu propio código_x000a_(Sanity Check). Revisa siempre las salidas de tu consola para detectar bugs_x000a_(como la duplicidad) y lee los requerimientos del cliente línea por línea. Si_x000a_ajustas ese nivel de atención al detalle, tus próximos proyectos serán_x000a_perfectos. ¡Sigue ade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y decisiones lógicas precisas con if/elif/else. _x000a_  _x000a_  _x000a_  1.0 _x000a_  _x000a_  _x000a_  1.0 _x000a_  _x000a_ _x000a_ _x000a_  _x000a_  4. Procesamiento _x000a_  _x000a_  _x000a_  Penalización por duplicidad de datos en el .append() y por_x000a_  omitir el cálculo del porcentaje de avance exigido. _x000a_  _x000a_  _x000a_  1.0 _x000a_  _x000a_  _x000a_  0.5 _x000a_  _x000a_ _x000a_ _x000a_  _x000a_  5. Presentación (UX) _x000a_  _x000a_  _x000a_  Excelente uso de f-strings, pero ausencia total de_x000a_  comentarios (#) en el código.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3 _x000a_  _x000a_ Diego Mauricio Zuluaga Rodríguez _x000a_Profesor - Departamento de Economía _x000a_Universidad de La Sabana"/>
    <n v="43"/>
    <n v="50"/>
    <n v="0.86"/>
  </r>
  <r>
    <x v="31"/>
    <s v="Valeria"/>
    <s v="Morales"/>
    <s v="valeriamor@unisabana.edu.co"/>
    <x v="0"/>
    <d v="2026-02-25T00:00:00"/>
    <x v="0"/>
    <s v="Devuelta"/>
    <s v="Retroalimentación de la Entrega: Examen Parcial 1 - Motor_x000a_Lógico &quot;FinVes&quot;  Estudiante: MORALES , VALERIA Calificación Final: 5.0 / 5.0  Comentarios del Profesor: Excelente trabajo. Has entregado un examen parcial_x000a_muy sólido y estructurado. Demostraste un dominio claro de los fundamentos de_x000a_Python y cumpliste a cabalidad con los requerimientos lógicos del caso de_x000a_negocio &quot;FinVes&quot;.  Puntos a destacar (Lo excelente): _x000a_ Autogestión_x000a_     y Lógica: Tu pseudocódigo es uno de los más ordenados que he revisado._x000a_     El sistema de numeración (1.0, 1.1, 2.0...) refleja una mente analítica y_x000a_     estructurada. Lo más importante: el código en Python es un espejo exacto_x000a_     de tu planeación. _x000a_ Estructuras_x000a_     de Datos: Declaraste e implementaste a la perfección el Diccionario_x000a_     para el perfil, la Tupla para los activos fijos y la Lista para el_x000a_     portafolio dinámico. _x000a_ Procesamiento_x000a_     Matemático: El cálculo del ingreso pasivo mensual (inv[&quot;monto&quot;]_x000a_     * (inv[&quot;tasa&quot;] / 100)) / 12 y el acumulador dentro del ciclo for_x000a_     están impecables. Entendiste perfectamente la lógica financiera detrás del_x000a_     algoritmo.  Oportunidades de Mejora (Sanity Check y UX): _x000a_ Manejo_x000a_     de Errores (El Bono perdido): El parcial ofrecía hasta +1.0 unidad_x000a_     extra por implementar bloques try-except. En tu código, si el usuario_x000a_     digita la letra &quot;A&quot; cuando pides la opción del menú (int(input(...)))_x000a_     o el monto a invertir, el programa colapsará inmediatamente con un ValueError._x000a_     En el mundo real, los usuarios cometen errores de digitación; siempre_x000a_     debemos blindar nuestras aplicaciones. _x000a_ Experiencia_x000a_     de Usuario (UX): Aunque calculaste el ingreso_pasivo_total_x000a_     correctamente y mostraste el porcentaje de avance con formato :,2f,_x000a_     omitiste imprimirle al usuario cuánto dinero exacto está generando_x000a_     mensualmente. En una App financiera, ver el monto en pesos es el mayor_x000a_     incentivo para el cliente.  Motivación: _x000a_Tienes una excelente capacidad de abstracción y lógica de programación. Posees_x000a_las bases técnicas necesarias para modelar problemas complejos del mundo de los_x000a_negocios. Sigue cultivando este nivel de orden y disciplina en los próximos_x000a_cortes.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32"/>
    <s v="Samantha"/>
    <s v="Vanegas Russi"/>
    <s v="samanthavaru@unisabana.edu.co"/>
    <x v="0"/>
    <d v="2026-02-25T00:00:00"/>
    <x v="0"/>
    <s v="Devuelta"/>
    <s v="Retroalimentación de la Entrega: Examen Parcial 1 - Motor_x000a_Lógico &quot;FinVes&quot;  Estudiante: VANEGAS RUSSI, SAMANTHA Calificación Final: 5.0 / 5.0 (Nota Base: 4.5/5.0 + 1.0 Unidad de Bono por uso avanzado de try-except. La_x000a_nota máxima del sistema es 5.0).  Comentarios del Profesor: Has entregado un examen parcial con un nivel técnico_x000a_sobresaliente. Has demostrado un dominio muy sólido de las estructuras de_x000a_control y de la prevención de errores, lo cual es vital para cualquier_x000a_aplicación financiera real.  Puntos a destacar (Lo excelente): _x000a_ Robustez_x000a_     y Seguridad (Bono +1.0): Tu implementación de los bloques try-except_x000a_     fue excepcional. No solo validaste la entrada de la meta financiera, sino_x000a_     que creaste un sistema de selección de activos por índice numérico (enumerate)_x000a_     validando que el usuario no ingresara opciones fuera de rango. Esto es_x000a_     pensar como una verdadera desarrolladora. _x000a_ Autogestión:_x000a_     El pseudocódigo está perfectamente estructurado y refleja paso a paso lo_x000a_     que programaste después. Cumpliste la regla de oro: pensar antes de_x000a_     codificar. _x000a_ Estructuras_x000a_     de Datos: Manipulaste correctamente el Diccionario para el perfil, la_x000a_     Tupla para los activos y la Lista de diccionarios para el portafolio. _x000a_ Presentación_x000a_     (UX): El uso de f-strings con separadores de miles (:,.2f) y la_x000a_     limpieza de los menús hacen que tu código sea muy agradable para el_x000a_     usuario final.  Oportunidad de Mejora (Atención al Detalle /_x000a_Requerimientos del Cliente): _x000a_ El_x000a_     Cálculo del Avance: En el Paso 4, el requerimiento exigía_x000a_     explícitamente calcular el porcentaje de avance (Ingreso Pasivo /_x000a_     Meta) * 100 e imprimir el mensaje &quot;Te falta un camino por_x000a_     recorrer. Tu avance es del X.XX%.&quot;. En tu código, calculaste el valor_x000a_     faltante absoluto (la resta). _x000a_ Lección_x000a_     de Negocios: Aunque tu cálculo matemático es correcto y útil, en el_x000a_     mundo real, si un cliente o gerente te pide un KPI en porcentaje, entregar_x000a_     un valor absoluto se considera un fallo en el levantamiento de requisitos._x000a_     Por este detalle tu nota base fue de 4.5, pero gracias a tu excelente_x000a_     trabajo extra con las validaciones (try-except), recuperaste el puntaje y_x000a_     lograste el 5.0 perfecto.  Motivación: _x000a_Tienes una lógica de programación excelente y construyes código muy seguro._x000a_Sigue cultivando esa atención a la prevención de errores, ajustando un poco más_x000a_la lectura estricta de los requerimientos, y serás una profesional imparable en_x000a_el análisis de datos y la tecnología. ¡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y cálculo de ingresos pasivos. (Penalización_x000a_  de -0.5 por no calcular el porcentaje de avance solicitado). _x000a_  _x000a_  _x000a_  1.0 _x000a_  _x000a_  _x000a_  0.5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avanzada de try-except para evitar cierres_x000a_  abruptos en múltiples inputs.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33"/>
    <s v="Cristobal"/>
    <s v="Robayo Jimenez"/>
    <s v="cristobalroji@unisabana.edu.co"/>
    <x v="0"/>
    <d v="2026-02-25T00:00:00"/>
    <x v="0"/>
    <s v="Devuelta"/>
    <m/>
    <n v="0"/>
    <n v="50"/>
    <n v="0"/>
  </r>
  <r>
    <x v="34"/>
    <s v="Juan Jose"/>
    <s v="Caballero Mantilla"/>
    <s v="juancabma@unisabana.edu.co"/>
    <x v="0"/>
    <d v="2026-02-25T00:00:00"/>
    <x v="0"/>
    <s v="Devuelta"/>
    <s v="Retroalimentación de la Entrega: Examen Parcial 1 - Motor_x000a_Lógico &quot;FinVes&quot;  Estudiante: Juan José Caballero Mantilla Calificación Final: 5.0 / 5.0 (+1.0 Unidad de Bono por uso de try-except)  Comentarios del Profesor: Has entregado un examen excelente. Demuestras una sólida_x000a_comprensión de todos los conceptos del primer corte y la capacidad de_x000a_integrarlos en una solución funcional y bien estructurada.  Puntos a destacar (Lo excelente): _x000a_ Autogestión_x000a_     y Lógica: Tu pseudocódigo, aunque conciso, sigue la secuencia lógica_x000a_     correcta y se refleja fielmente en tu código Python. Cumpliste con el_x000a_     requerimiento de planificar antes de ejecutar. _x000a_ Robustez_x000a_     del Código (Bono +1.0): La implementación del bloque try-except en el_x000a_     registro de la inversión es un acierto técnico muy importante. Demuestra_x000a_     que piensas en la experiencia del usuario y en cómo prevenir que el_x000a_     programa falle por entradas incorrectas. Por esta iniciativa, te has_x000a_     ganado la unidad de bono completa. _x000a_ Dominio_x000a_     de Estructuras: Utilizaste correctamente la Lista, la Tupla y el_x000a_     Diccionario, cada uno para el propósito que fue diseñado en el enunciado,_x000a_     lo cual es clave para la eficiencia del código. _x000a_ Presentación_x000a_     de Datos: El uso de f-strings con formato de moneda (:,.2f) es una_x000a_     práctica profesional que mejora enormemente la legibilidad de los reportes_x000a_     financieros.  Oportunidades de Mejora (Para llegar al siguiente nivel): _x000a_ Documentación_x000a_     del Código: Tu código funciona perfectamente, pero para que sea aún_x000a_     más profesional, te sugiero añadir más comentarios (#) que expliquen el porqué_x000a_     de ciertos bloques. Por ejemplo, un comentario como # Acumulador para_x000a_     sumar los ingresos de todas las inversiones antes de ingreso_total = 0. _x000a_ Validación_x000a_     de Entradas: Un siguiente paso en la robustez de tu app sería validar_x000a_     que el activo que el usuario ingresa esté realmente dentro de la tupla activos_disponibles._x000a_     Esto se logra con un simple if activo in activos_disponibles:.  Motivación: _x000a_Demuestras una gran capacidad para traducir un problema de negocio en una_x000a_solución técnica funcional. Tienes una base muy sólida para enfrentar los retos_x000a_más complejos que veremos en el segundo corte. Sigue puliendo estos detalles y_x000a_te convertirás en un excelente programador orientado a soluciones._x000a_¡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en Markdown que coincide con la lógica_x000a_  programad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y mensajes_x000a_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5"/>
    <s v="Daniel Camilo"/>
    <s v="Lopez Piraquive"/>
    <s v="danielloppi@unisabana.edu.co"/>
    <x v="0"/>
    <d v="2026-02-25T00:00:00"/>
    <x v="0"/>
    <s v="Devuelta"/>
    <s v="Retroalimentación de la Entrega: Examen Parcial 1 - Motor_x000a_Lógico &quot;FinVes&quot;  Estudiante: Lopez Piraquive, Daniel Camilo Calificación Final: 5.0 / 5.0 (+1.0 Unidad de Bono por uso de try-except)  Comentarios del Profesor: Has entregado un examen excelente. Demuestras una sólida_x000a_comprensión de todos los conceptos del primer corte y la capacidad de_x000a_integrarlos en una solución funcional y bien estructurada.  Puntos a destacar (Lo excelente): _x000a_ Autogestión_x000a_     y Lógica: Tu pseudocódigo, aunque conciso, sigue la secuencia lógica_x000a_     correcta y se refleja fielmente en tu código Python. Cumpliste con el_x000a_     requerimiento de planificar antes de ejecutar. _x000a_ Robustez_x000a_     del Código (Bono +1.0): La implementación del bloque try-except en el_x000a_     registro de la inversión es un acierto técnico muy importante. Demuestra_x000a_     que piensas en la experiencia del usuario y en cómo prevenir que el_x000a_     programa falle por entradas incorrectas. Por esta iniciativa, te has_x000a_     ganado la unidad de bono completa. _x000a_ Dominio_x000a_     de Estructuras: Utilizaste correctamente la Lista, la Tupla y el_x000a_     Diccionario, cada uno para el propósito que fue diseñado en el enunciado,_x000a_     lo cual es clave para la eficiencia del código. _x000a_ Presentación_x000a_     de Datos: El uso de f-strings con formato de moneda (:,.2f) es una_x000a_     práctica profesional que mejora enormemente la legibilidad de los reportes_x000a_     financieros.  Oportunidades de Mejora (Para llegar al siguiente nivel): _x000a_ Documentación_x000a_     del Código: Tu código funciona perfectamente, pero para que sea aún_x000a_     más profesional, te sugiero añadir más comentarios (#) que expliquen el porqué_x000a_     de ciertos bloques. Por ejemplo, un comentario como # Acumulador para_x000a_     sumar los ingresos de todas las inversiones antes de ingreso_total = 0. _x000a_ Validación_x000a_     de Entradas: Un siguiente paso en la robustez de tu app sería validar_x000a_     que el activo que el usuario ingresa esté realmente dentro de la tupla activos_disponibles._x000a_     Esto se logra con un simple if activo in activos_disponibles:.  Motivación: _x000a_Demuestras una gran capacidad para traducir un problema de negocio en una_x000a_solución técnica funcional. Tienes una base muy sólida para enfrentar los retos_x000a_más complejos que veremos en el segundo corte. Sigue puliendo estos detalles y_x000a_te convertirás en un excelente programador orientado a soluciones._x000a_¡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en Markdown que coincide con la lógica_x000a_  programad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y mensajes_x000a_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6"/>
    <s v="Gabriela"/>
    <s v="Ruiz Perez"/>
    <s v="gabrielarupe@unisabana.edu.co"/>
    <x v="0"/>
    <d v="2026-02-25T00:00:00"/>
    <x v="0"/>
    <s v="Devuelta"/>
    <s v="Retroalimentación de la Entrega: Examen Parcial 1 - Motor_x000a_Lógico &quot;FinVes&quot;  Estudiante: Alessandro Bonilla Calificación Final: 4.5 / 5.0  Comentarios del Profesor: Alessandro, tu examen demuestra un nivel de pensamiento_x000a_lógico y estructurado excepcional. La forma en que desglosaste el problema en_x000a_el pseudocódigo y el diagrama de flujo es exactamente lo que se espera de un_x000a_analista que domina la autogestión.  Puntos a destacar (Lo excelente): _x000a_ Autogestión_x000a_     y Diseño: Tu pseudocódigo no es solo una lista de pasos, es una_x000a_     narración técnica del flujo del programa. Junto con el diagrama de flujo,_x000a_     demuestras una comprensión profunda del problema antes de escribir una_x000a_     sola línea de código. Este es el pilar de un buen desarrollador. _x000a_ Lógica_x000a_     de Programación: Tu código es limpio, sigue todos los requerimientos y_x000a_     la lógica es impecable. El uso combinado de diccionarios, tuplas y listas_x000a_     es perfecto. Mención especial a la validación if activo_seleccionado not_x000a_     in activos_disponibles:, una iniciativa que añade robustez al programa y_x000a_     demuestra que piensas en los posibles errores del usuario.  Oportunidad de Mejora (El punto crítico): _x000a_ Funcionalidad_x000a_     y Entorno: El único factor que impidió una calificación perfecta fue_x000a_     que el código no es ejecutable. El error ipykernel package que se muestra_x000a_     en la salida indica que el entorno de tu Jupyter Notebook no estaba_x000a_     correctamente configurado para correr el código. En el mundo profesional,_x000a_     un código que no corre, sin importar cuán perfecto sea en teoría, no es un_x000a_     entregable funcional. Es una lección crucial: un programador de élite no_x000a_     solo escribe código correcto, sino que se asegura de que sea ejecutable_x000a_     y reproducible. _x000a_ Bono_x000a_     de Seguridad: No implementaste el bloque try-except, por lo que no_x000a_     aplicas al bono de +1.0 unidad. Si lo hubieras hecho, tu programa habría_x000a_     sido aún más robusto.  Motivación: _x000a_La buena noticia es que tu error no fue de lógica, sino de configuración de_x000a_entorno, algo que se aprende y se corrige con la práctica. Tu capacidad para_x000a_diseñar y estructurar soluciones es de primer nivel. Si a esa habilidad le_x000a_sumas la disciplina de probar y asegurar que tus entregables funcionen siempre,_x000a_estarás más que preparado para cualquier reto técnico en tu carrera. ¡Sigue_x000a_trabajando en esa lógica bril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y Diagrama de Flujo detallados y_x000a_  perfectamente alineados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La lógica del menú while y las decisiones if/elif/else es_x000a_  perfecta, pero el programa no es funcional (error de ipykernel). _x000a_  _x000a_  _x000a_  1.0 _x000a_  _x000a_  _x000a_  0.5 _x000a_  _x000a_ _x000a_ _x000a_  _x000a_  4. Procesamiento _x000a_  _x000a_  _x000a_  El ciclo for y los cálculos matemáticos son lógicamente_x000a_  correctos. _x000a_  _x000a_  _x000a_  1.0 _x000a_  _x000a_  _x000a_  1.0 _x000a_  _x000a_ _x000a_ _x000a_  _x000a_  5. Presentación (UX) _x000a_  _x000a_  _x000a_  Uso de f-strings, código documentado y mensajes claros_x000a_  para el usuario. _x000a_  _x000a_  _x000a_  0.5 _x000a_  _x000a_  _x000a_  0.5 _x000a_  _x000a_ _x000a_ _x000a_  _x000a_  Bono de Seguridad _x000a_  _x000a_  _x000a_  No se implementó el bloque try-except. _x000a_  _x000a_  _x000a_  + 1.0 _x000a_  _x000a_  _x000a_  + 0.0 _x000a_  _x000a_ _x000a_ _x000a_  _x000a_  TOTAL _x000a_  _x000a_  _x000a_  _x000a_  5.0 _x000a_  _x000a_  _x000a_  4.5 _x000a_  _x000a_ Diego Mauricio Zuluaga Rodríguez _x000a_Profesor - Departamento de Economía _x000a_Universidad de La Sabana"/>
    <n v="45"/>
    <n v="50"/>
    <n v="0.9"/>
  </r>
  <r>
    <x v="37"/>
    <s v="Juan Sebastian"/>
    <s v="Perdomo Herrera"/>
    <s v="juanperhe@unisabana.edu.co"/>
    <x v="0"/>
    <d v="2026-02-25T00:00:00"/>
    <x v="0"/>
    <s v="Devuelta"/>
    <s v="Retroalimentación de la Entrega: Examen Parcial 1 - Motor_x000a_Lógico &quot;FinVes&quot;  Estudiante: Perdomo Herrera, Juan Sebastian Calificación Final: 4.5 / 5.0 (Incluye +1.0 de Bono por uso de try-except)  Comentarios del Profesor: Tu desempeño técnico en este parcial es sobresaliente._x000a_El código que has escrito no solo es funcional, sino que demuestra un nivel de_x000a_habilidad y atención al detalle en la presentación (UX) que va más allá de lo_x000a_esperado para este primer corte.  Puntos a destacar (Lo excelente): _x000a_ Robustez_x000a_     del Código (Bono +1.0): Implementaste try-except de manera impecable_x000a_     para validar las entradas numéricas, evitando que la aplicación colapse._x000a_     Además, la validación if activo_elegido not in activos_disponibles es una_x000a_     muestra de pensamiento lógico defensivo de alto nivel. _x000a_ Presentación_x000a_     Profesional (UX): El uso de f-strings con alineación (:&amp;lt;20, :&amp;gt;14)_x000a_     y el cálculo de la cantidad faltante para la meta financiera son detalles_x000a_     que transforman un script funcional en una herramienta útil y profesional. _x000a_ Lógica_x000a_     de Programación: El control de flujo con el menú while, el_x000a_     procesamiento con el ciclo for y las decisiones con if/else son perfectos.  Oportunidades de Mejora (Atención al Detalle y_x000a_Autogestión): _x000a_El motivo por el cual la nota no es superior a 5.0, a pesar de tu brillantez_x000a_técnica, se debe a dos fallos críticos en el seguimiento de instrucciones, que_x000a_es un pilar de la competencia de Autogestión: _x000a_ Ausencia_x000a_     del Pseudocódigo: La regla #3 del examen era explícita: &quot;DEBEN_x000a_     escribir el Pseudocódigo&quot; en una celda de Markdown antes del_x000a_     código. Omitir este paso, que valida el proceso de &quot;pensar antes de_x000a_     programar&quot;, anula por completo el puntaje del primer criterio de la_x000a_     rúbrica. _x000a_ Precisión_x000a_     en los Datos: La tupla activos_disponibles debía contener 4 mercados,_x000a_     pero omitiste &quot;S&amp;amp;P500&quot;. En el mundo financiero y de_x000a_     negocios, si un cliente te pide un reporte con 4 KPIs, entregar 3 es un_x000a_     error crítico. _x000a_ Bug_x000a_     Menor: Hubo un error de variable (NameError) en la creación del_x000a_     diccionario perfil_usuario al usar meta en lugar de meta_str, lo que_x000a_     indica que faltó una revisión final.  Motivación: _x000a_Tienes un talento natural para la programación y la lógica. Tu código es de los_x000a_mejores del curso. El siguiente paso en tu desarrollo profesional es combinar_x000a_ese talento técnico con una disciplina férrea para seguir los requerimientos de_x000a_un proyecto al pie de la letra. Si logras eso, tu potencial es ilimi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El pseudocódigo no fue entregado en la celda de Markdown. _x000a_  _x000a_  _x000a_  1.0 _x000a_  _x000a_  _x000a_  1.0 _x000a_  _x000a_ _x000a_ _x000a_  _x000a_  2. Estructuras de Datos _x000a_  _x000a_  _x000a_  Implementación correcta de Lista y Diccionario. La Tupla_x000a_  está incompleta. _x000a_  _x000a_  _x000a_  1.5 _x000a_  _x000a_  _x000a_  1.0 _x000a_  _x000a_ _x000a_ _x000a_  _x000a_  3. Control de Flujo _x000a_  _x000a_  _x000a_  Menú while y decisiones if/else implementados de forma_x000a_  impecable. _x000a_  _x000a_  _x000a_  1.0 _x000a_  _x000a_  _x000a_  1.0 _x000a_  _x000a_ _x000a_ _x000a_  _x000a_  4. Procesamiento _x000a_  _x000a_  _x000a_  Recorrido con for y cálculos matemáticos correctos. _x000a_  _x000a_  _x000a_  1.0 _x000a_  _x000a_  _x000a_  1.0 _x000a_  _x000a_ _x000a_ _x000a_  _x000a_  5. Presentación (UX) _x000a_  _x000a_  _x000a_  Uso de f-strings y comentarios excelente. Supera las_x000a_  expectativas. _x000a_  _x000a_  _x000a_  0.5 _x000a_  _x000a_  _x000a_  0.5 _x000a_  _x000a_ _x000a_ _x000a_  _x000a_  Bono de Seguridad _x000a_  _x000a_  _x000a_  Implementación de try-except para evitar ValueError.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38"/>
    <s v="Martin Martin"/>
    <s v="Trujillo Rodriguez"/>
    <s v="martintrro@unisabana.edu.co"/>
    <x v="0"/>
    <d v="2026-02-25T00:00:00"/>
    <x v="0"/>
    <s v="Devuelta"/>
    <s v="Retroalimentación de la Entrega: Examen Parcial 1 - Motor_x000a_Lógico &quot;FinVes&quot;  Estudiante: Trujillo Rodriguez, Martin Martin Calificación Final: 5.0 / 5.0 (+1.0 Unidad de Bono por uso de try-except)  Comentarios del Profesor: Has entregado un examen excelente. Demuestras una sólida_x000a_comprensión de todos los conceptos del primer corte y la capacidad de_x000a_integrarlos en una solución funcional y bien estructurada.  Puntos a destacar (Lo excelente): _x000a_ Autogestión_x000a_     y Lógica: Tu pseudocódigo, aunque conciso, sigue la secuencia lógica_x000a_     correcta y se refleja fielmente en tu código Python. Cumpliste con el_x000a_     requerimiento de planificar antes de ejecutar. _x000a_ Robustez_x000a_     del Código (Bono +1.0): La implementación del bloque try-except en el_x000a_     registro de la inversión es un acierto técnico muy importante. Demuestra_x000a_     que piensas en la experiencia del usuario y en cómo prevenir que el_x000a_     programa falle por entradas incorrectas. Por esta iniciativa, te has_x000a_     ganado la unidad de bono completa. _x000a_ Dominio_x000a_     de Estructuras: Utilizaste correctamente la Lista, la Tupla y el_x000a_     Diccionario, cada uno para el propósito que fue diseñado en el enunciado,_x000a_     lo cual es clave para la eficiencia del código. _x000a_ Presentación_x000a_     de Datos: El uso de f-strings con formato de moneda (:,.2f) es una_x000a_     práctica profesional que mejora enormemente la legibilidad de los reportes_x000a_     financieros.  Oportunidades de Mejora (Para llegar al siguiente nivel): _x000a_ Documentación_x000a_     del Código: Tu código funciona perfectamente, pero para que sea aún_x000a_     más profesional, te sugiero añadir más comentarios (#) que expliquen el porqué_x000a_     de ciertos bloques. Por ejemplo, un comentario como # Acumulador para_x000a_     sumar los ingresos de todas las inversiones antes de ingreso_total = 0. _x000a_ Validación_x000a_     de Entradas: Un siguiente paso en la robustez de tu app sería validar_x000a_     que el activo que el usuario ingresa esté realmente dentro de la tupla activos_disponibles._x000a_     Esto se logra con un simple if activo in activos_disponibles:.  Motivación: _x000a_Demuestras una gran capacidad para traducir un problema de negocio en una_x000a_solución técnica funcional. Tienes una base muy sólida para enfrentar los retos_x000a_más complejos que veremos en el segundo corte. Sigue puliendo estos detalles y_x000a_te convertirás en un excelente programador orientado a soluciones._x000a_¡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en Markdown que coincide con la lógica_x000a_  programad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y mensajes_x000a_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9"/>
    <s v="Alan David"/>
    <s v="Rossoff Vanegas"/>
    <s v="alanrova@unisabana.edu.co"/>
    <x v="0"/>
    <d v="2026-02-25T00:00:00"/>
    <x v="0"/>
    <s v="Devuelta"/>
    <s v="Retroalimentación de la Entrega: Examen Parcial 1 - Motor_x000a_Lógico &quot;FinVes&quot;  Estudiante: Alan Rossoff Calificación Final: 6.0 / 5.0 (5.0 Base + 1.0 Bono por excelencia_x000a_técnica)  Comentarios del Profesor: Alan, tu examen no solo es correcto, es excepcional. Has ido_x000a_más allá de los requerimientos del parcial y has entregado una solución que_x000a_demuestra la mentalidad de un desarrollador senior: no solo resuelves el_x000a_problema, lo anticipas.  Puntos a destacar (Lo sobresaliente): _x000a_ Autogestión_x000a_     y Diseño Lógico: Tu pseudocódigo es una obra de arte. Es tan detallado_x000a_     que incluso incluye una sección de &quot;Criterios de cumplimiento de la_x000a_     rúbrica&quot;. Esto demuestra un nivel de autogestión y planeación que_x000a_     excede por completo las expectativas del curso. _x000a_ Ingeniería_x000a_     de Software (Función leer_numero): La creación de la función leer_numero_x000a_     es la marca de un programador que piensa en la reutilización y la_x000a_     robustez. Esta función no solo usa try-except (lo que te otorga el bono de_x000a_     +1.0), sino que resuelve un problema real y complejo del contexto_x000a_     colombiano: la ambigüedad entre el punto y la coma como separadores_x000a_     decimales y de miles. Esto es pensamiento de ingeniería aplicado a un_x000a_     problema de negocio. _x000a_ Dominio_x000a_     Técnico Integral: Has implementado a la perfección todas las_x000a_     estructuras de datos (Listas, Tuplas, Diccionarios) y de control (while, for,_x000a_     if/else). La forma en que guardas cada inversión como un diccionario_x000a_     dentro de la lista portafolio es la práctica estándar en la industria. _x000a_ Experiencia_x000a_     de Usuario (UX): Tu programa es &quot;a prueba de balas&quot;. Valida_x000a_     que la meta sea positiva, que el activo exista en la tupla, que los montos_x000a_     no sean negativos y que el usuario no pueda romper el programa con_x000a_     entradas inválidas.  Motivación: _x000a_Este es el tipo de trabajo que se presenta en un portafolio para conseguir un_x000a_rol en una FinTech. Tienes una base lógica y técnica extremadamente sólida. Si_x000a_continúas con esta disciplina y curiosidad por resolver problemas de forma_x000a_elegante y robusta, tienes un futuro muy prometedor en el mundo de la_x000a_tecnología y los datos. ¡Felicitaciones por un desempeñ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 nivel superior, detallado y perfectamente_x000a_  alineado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Menú while robusto, con validaciones de entrada y_x000a_  decisiones if/else precisas. _x000a_  _x000a_  _x000a_  1.0 _x000a_  _x000a_  _x000a_  1.0 _x000a_  _x000a_ _x000a_ _x000a_  _x000a_  4. Procesamiento _x000a_  _x000a_  _x000a_  Recorrido con for, cálculos matemáticos correctos y_x000a_  casting manejado de forma avanzada. _x000a_  _x000a_  _x000a_  1.0 _x000a_  _x000a_  _x000a_  1.0 _x000a_  _x000a_ _x000a_ _x000a_  _x000a_  5. Presentación (UX) _x000a_  _x000a_  _x000a_  Uso de f-strings con formato, código limpio y mensajes_x000a_  claros. _x000a_  _x000a_  _x000a_  0.5 _x000a_  _x000a_  _x000a_  0.5 _x000a_  _x000a_ _x000a_ _x000a_  _x000a_  Bono de Excelencia _x000a_  _x000a_  _x000a_  Creación de función reutilizable (leer_numero) con try-except_x000a_  y lógica avanzada de validación.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40"/>
    <s v="Diego Alejandro"/>
    <s v="Hermida Limas"/>
    <s v="diegoherli@unisabana.edu.co"/>
    <x v="0"/>
    <d v="2026-02-25T00:00:00"/>
    <x v="0"/>
    <s v="Devuelta"/>
    <s v="Retroalimentación de la Entrega: Examen Parcial 1 - Motor_x000a_Lógico &quot;FinVes&quot;  Estudiante: Hermida Limas, Diego Alejandro Calificación Final: 4.8 / 5.0  Comentarios del Profesor: Has entregado un examen con una lógica de programación muy_x000a_sólida. Es grato ver que fuiste un paso más allá de lo enseñado en este primer_x000a_corte al implementar funciones (def) para modularizar tu código. Esto demuestra_x000a_curiosidad intelectual y una excelente capacidad de abstracción.  Puntos a destacar (Lo excelente): _x000a_ Autogestión_x000a_     (Pseudocódigo): Tu paso a paso en la celda de Markdown es claro,_x000a_     estructurado y refleja fielmente lo que programaste después. Cumpliste_x000a_     perfectamente con la regla de planear antes de codificar. _x000a_ Modularidad_x000a_     Avanzada: Separar la lógica en registrar_inversion() y mostrar_reporte()_x000a_     hace que tu menú principal (while True) quede sumamente limpio y fácil de_x000a_     leer. Esta es una práctica profesional excelente. _x000a_ Estructuras_x000a_     de Datos y Matemáticas: Implementaste correctamente el diccionario, la_x000a_     tupla y la lista. Además, los cálculos del ingreso pasivo mensual y el_x000a_     porcentaje de avance son matemáticamente exactos y están bien aplicados_x000a_     dentro del ciclo for.  Oportunidades de Mejora (Atención al Detalle): _x000a_El motivo por el cual no alcanzas la nota máxima (y el bono) se debe a detalles_x000a_específicos de la rúbrica en cuanto a presentación y seguridad: _x000a_ Documentación_x000a_     del Código: La rúbrica exigía explícitamente &quot;código documentado_x000a_     con # explicando cada bloque&quot;. Tu script en Python carece de_x000a_     comentarios internos. En el entorno profesional, documentar el código es_x000a_     vital para que otros desarrolladores entiendan tu lógica. _x000a_ Formato_x000a_     de Moneda (UX): Utilizaste :.2f para los decimales, lo cual está bien,_x000a_     pero la rúbrica pedía :,.2f para incluir los separadores de miles. En_x000a_     finanzas, leer $1000000.00 es mucho más difícil que leer $1,000,000.00. _x000a_ Bono_x000a_     de Seguridad: No implementaste el bloque try-except para capturar_x000a_     errores de digitación (por ejemplo, si el usuario escribe &quot;diez&quot;_x000a_     en lugar de &quot;10&quot; en el monto). Por este motivo, no aplicas para_x000a_     la unidad extra del parcial.  Motivación: _x000a_Tienes una intuición natural para la programación y la estructuración de_x000a_software. El uso de funciones demuestra que estás listo para temas más_x000a_avanzados. Si ajustas tu atención a los detalles de los requerimientos del_x000a_cliente (la rúbrica) y te acostumbras a documentar tu código, tus próximos_x000a_proyectos serán de nivel &quot;Senior&quot;. ¡Excelente trabaj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exacta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uso innovador de funciones (def) y_x000a_  decisiones lógicas precisas.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Ausencia de comentarios (#) en el código y falta del_x000a_  separador de miles (,) en los f-strings.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8 _x000a_  _x000a_ Diego Mauricio Zuluaga Rodríguez _x000a_Profesor - Departamento de Economía _x000a_Universidad de La Sabana"/>
    <n v="48"/>
    <n v="50"/>
    <n v="0.96"/>
  </r>
  <r>
    <x v="0"/>
    <s v="Paula Andrea"/>
    <s v="Arciniegas Cardenas"/>
    <s v="paulaarcca@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y han_x000a_ demostrado un dominio sólido de las estructuras de datos y ciclos.Puntos Destacados:Atención al Detalle: Utilizaron exactamente los datos solicitados en el enunciado, lo cual es vital para la precisión financiera.Presentación de Resultados: El uso de un segundo bucle for con f-strings (:.2f)_x000a_ para imprimir los precios finales con formato de moneda es un valor _x000a_agregado excelente. Esto mejora significativamente la legibilidad para _x000a_el usuario final.Estructura: El archivo está perfectamente organizado, separando la lógica de negocio de la presentación de los datos.Motivación: Están_x000a_ aplicando muy bien el concepto de &quot;Clean Code&quot;. Mantengan este nivel de_x000a_ orden y precisión en el parcial presencial. El manejo de listas y el _x000a_formato de salida son temas clave que ya tienen dominados. ¡Muchos _x000a_éxitos!Rúbrica de CalificaciónCriterio de EvaluaciónRequisito TécnicoPuntaje MáximoPuntaje ObtenidoOrdenamientoUso correcto del método .sort() para organizar la lista.15.015.0Automatización (For)Implementación correcta del bucle para recorrer la lista.15.015.0Creación de ListasUso efectivo de .append() para generar la nueva lista con IVA.10.010.0Resultados y FormatoImpresión clara y uso de formato numérico (:.2f).10.010.0TOTAL50.050.0Diego Mauricio Zuluaga Rodríguez Profesor - Departamento de Economía Universidad de La Sabana"/>
    <n v="5"/>
    <n v="5"/>
    <n v="1"/>
  </r>
  <r>
    <x v="1"/>
    <s v="Sofia"/>
    <s v="Giraldo Pico"/>
    <s v="sofiagipi@unisabana.edu.co"/>
    <x v="1"/>
    <d v="2026-02-25T00:00:00"/>
    <x v="1"/>
    <s v="Devuelta"/>
    <s v="Retroalimentación de la Entrega: El Organizador de PreciosCalificación Final: 10/50 (Equivalente a 1.0 / 5.0) Incentivo Académico: No aplica (Se pierde el beneficio de +0.5 por entrega extemporánea).Comentarios del Profesor: Sofia, técnicamente el ejercicio es impecable. El uso de round(precio_final, 2) demuestra una atención al detalle superior y el flujo lógico es exactamente el solicitado.Sin embargo, la Autogestión_x000a_ es un pilar fundamental de este curso y del Departamento de Economía. _x000a_Entregar la tarea 7 horas después del plazo límite invalida el propósito_x000a_ del bono de preparación. Como se estableció en el contrato pedagógico: _x000a_el Syllabus y las fechas son ley. La puntualidad es un requisito mínimo _x000a_para la excelencia profesional.Puntos Técnicos Logrados:Uso correcto de .sort() para modificar la lista original.Implementación perfecta del ciclo for y el método .append().Presentación de resultados limpia y profesional.Rúbrica de CalificaciónCriterio de EvaluaciónRequisito TécnicoPuntaje BasePuntaje ObtenidoOrdenamientoUso correcto del método .sort().15.015.0Automatización (For)Implementación correcta del bucle.15.015.0Creación de ListasUso efectivo de .append().10.010.0ResultadosImpresión clara de ambas listas.10.010.0PenalizaciónEntrega extemporánea (7 horas tarde)-40.0-40.0TOTAL50.010.0Diego Mauricio Zuluaga Rodríguez Profesor - Departamento de Economía Universidad de La Sabana"/>
    <n v="1"/>
    <n v="5"/>
    <n v="0.2"/>
  </r>
  <r>
    <x v="2"/>
    <s v="Valery"/>
    <s v="Linares Hernandez"/>
    <s v="valerylihe@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_x000a_demostrando un dominio sólido de la manipulación de listas y la lógica _x000a_de automatización.Puntos Destacados:Precisión en los Datos: Utilizaron la lista exacta solicitada en el reto, lo cual demuestra atención al detalle y rigurosidad.Uso de Métodos: Aplicaron correctamente el método .sort() para modificar la lista original y el método .append() para construir la nueva colección.Claridad y Formato: El uso de f-strings para la impresión final hace que los resultados sean fáciles de leer y profesionales.Documentación:_x000a_ El código está muy bien comentado, explicando no solo qué hace la _x000a_línea, sino el porqué de la estructura (ej. la mención al &quot;menú _x000a_interactivo&quot;).Motivación: Esta_x000a_ entrega refleja una excelente preparación para los temas del primer _x000a_corte. Han comprendido la diferencia crítica entre la mutabilidad de una_x000a_ lista y la creación de nuevos objetos de datos. Mantengan este nivel de_x000a_ orden y claridad en sus exámenes presenciales. ¡Felicitaciones!Rúbrica de CalificaciónCriterio de EvaluaciónRequisito TécnicoPuntaje MáximoPuntaje ObtenidoOrdenamientoUso correcto del método .sort() sobre la lista original.15.015.0Automatización (For)Implementación efectiva del bucle para procesar los datos.15.015.0Manejo de ListasCreación de lista nueva y uso correcto de .append().10.010.0Claridad y FormatoImpresión de resultados con f-strings y documentación clara.10.010.0TOTAL50.050.0Diego Mauricio Zuluaga Rodríguez Profesor - Departamento de Economía Universidad de La Sabana"/>
    <n v="5"/>
    <n v="5"/>
    <n v="1"/>
  </r>
  <r>
    <x v="3"/>
    <s v="Nicolas"/>
    <s v="Torres Calderon"/>
    <s v="nicolastorca@unisabana.edu.co"/>
    <x v="1"/>
    <d v="2026-02-25T00:00:00"/>
    <x v="1"/>
    <s v="Devuelta"/>
    <s v="Retroalimentación de la Entrega: El Organizador de PreciosCalificación Final: 42/50 Incentivo Académico: Se otorgan +0.4 unidades para el Primer Parcial (Penalización de 0.1 por omisión de instrucciones técnicas y de autogestión).Comentarios del Profesor: El código es funcional y demuestra un conocimiento avanzado de Python al utilizar List Comprehension._x000a_ Sin embargo, como analistas, deben seguir estrictamente los _x000a_requerimientos del cliente/docente para asegurar la estandarización de _x000a_los procesos.Observaciones Técnicas:Uso de List Comprehension: Aunque es una técnica eficiente, el enunciado solicitaba explícitamente el uso de un bucle for (tradicional) para practicar la estructura de acumulación (.append()).Precisión de Flotantes: El resultado muestra errores de precisión decimal (ej. 11.899999999999999). En finanzas, esto debe controlarse con la función round() o formato de f-strings para evitar confusiones en el usuario final.Falla en Autogestión:Documentación Ausente: El código no contiene ni una sola línea de comentario (#). La autogestión implica hacer visible su proceso de pensamiento y facilitar la auditoría del código por parte de terceros.Instrucciones: Se solicitó el uso de .sort() y lo aplicaron correctamente, pero omitieron la estructura de bucle solicitada.Motivación: Tienen un buen nivel técnico, pero en este curso la rigurosidad en el seguimiento de instrucciones y la documentación_x000a_ son tan importantes como el resultado. En el parcial, asegúrense de _x000a_usar las estructuras solicitadas y comentar su código para obtener el _x000a_puntaje completo.Rúbrica de CalificaciónCriterio de EvaluaciónRequisito TécnicoPuntaje MáximoPuntaje ObtenidoOrdenamientoUso correcto del método .sort().15.015.0AutomatizaciónImplementación de bucle for y .append() (Se usó List Comprehension).15.010.0Claridad de SalidaImpresión de ambas listas (Faltó formato de decimales).10.010.0AutogestiónCódigo debidamente documentado y comentado.10.07.0TOTAL50.042.0Diego Mauricio Zuluaga Rodríguez Profesor - Departamento de Economía Universidad de La Sabana"/>
    <n v="4.2"/>
    <n v="5"/>
    <n v="0.84000000000000008"/>
  </r>
  <r>
    <x v="4"/>
    <s v="Cristian"/>
    <s v="Bermudez"/>
    <s v="cristianbe@unisabana.edu.co"/>
    <x v="1"/>
    <d v="2026-02-25T00:00:00"/>
    <x v="1"/>
    <s v="Devuelta"/>
    <s v="Retroalimentación de la Entrega: El Organizador de PreciosCalificación Final: 42/50 Incentivo Académico: Se otorgan +0.4 unidades para el Primer Parcial (Penalización de 0.1 por omisión de instrucciones técnicas y de autogestión).Comentarios del Profesor: El código es funcional y demuestra un conocimiento avanzado de Python al utilizar List Comprehension._x000a_ Sin embargo, como analistas, deben seguir estrictamente los _x000a_requerimientos del cliente/docente para asegurar la estandarización de _x000a_los procesos.Observaciones Técnicas:Uso de List Comprehension: Aunque es una técnica eficiente, el enunciado solicitaba explícitamente el uso de un bucle for (tradicional) para practicar la estructura de acumulación (.append()).Precisión de Flotantes: El resultado muestra errores de precisión decimal (ej. 11.899999999999999). En finanzas, esto debe controlarse con la función round() o formato de f-strings para evitar confusiones en el usuario final.Falla en Autogestión:Documentación Ausente: El código no contiene ni una sola línea de comentario (#). La autogestión implica hacer visible su proceso de pensamiento y facilitar la auditoría del código por parte de terceros.Instrucciones: Se solicitó el uso de .sort() y lo aplicaron correctamente, pero omitieron la estructura de bucle solicitada.Motivación: Tienen un buen nivel técnico, pero en este curso la rigurosidad en el seguimiento de instrucciones y la documentación_x000a_ son tan importantes como el resultado. En el parcial, asegúrense de _x000a_usar las estructuras solicitadas y comentar su código para obtener el _x000a_puntaje completo.Rúbrica de CalificaciónCriterio de EvaluaciónRequisito TécnicoPuntaje MáximoPuntaje ObtenidoOrdenamientoUso correcto del método .sort().15.015.0AutomatizaciónImplementación de bucle for y .append() (Se usó List Comprehension).15.010.0Claridad de SalidaImpresión de ambas listas (Faltó formato de decimales).10.010.0AutogestiónCódigo debidamente documentado y comentado.10.07.0TOTAL50.042.0Diego Mauricio Zuluaga Rodríguez Profesor - Departamento de Economía Universidad de La Sabana"/>
    <n v="4.2"/>
    <n v="5"/>
    <n v="0.84000000000000008"/>
  </r>
  <r>
    <x v="5"/>
    <s v="Mariana"/>
    <s v="Carmona Romero"/>
    <s v="marianacarrom@unisabana.edu.co"/>
    <x v="1"/>
    <d v="2026-02-25T00:00:00"/>
    <x v="1"/>
    <s v="Devuelta"/>
    <s v="No hay archivo adjunto."/>
    <n v="0"/>
    <n v="5"/>
    <n v="0"/>
  </r>
  <r>
    <x v="6"/>
    <s v="Mariana"/>
    <s v="Pena Rodriguez"/>
    <s v="marianapero@unisabana.edu.co"/>
    <x v="1"/>
    <d v="2026-02-25T00:00:00"/>
    <x v="1"/>
    <s v="Devuelta"/>
    <s v="Retroalimentación de la Entrega: El Organizador de Precios (Bono)Calificación Final: 50/50 Incentivo Académico: Se otorgan +0.5 unidades para el Primer Parcial del 25 de febrero.Comentarios del Profesor: Equipo,_x000a_ el ejercicio está técnicamente correcto y demuestra que han comprendido_x000a_ la manipulación de listas. La lógica del patrón acumulador (crear lista_x000a_ vacía -&amp;gt; iterar -&amp;gt; llenar) está perfectamente implementada.Puntos Destacados:Lógica de Mutabilidad: Entendieron perfectamente que .sort() modifica la lista original y no requiere una reasignación.Procesamiento: El ciclo for con el cálculo del IVA y el uso de .append() es impecable.Documentación: Los comentarios en el código explican claramente el &quot;porqué&quot; de cada paso, lo cual es excelente para su estudio personal.Observación de Autogestión (Atención al Detalle):Aunque la lógica es perfecta, noté que cambiaron los datos de entrada. La imagen del reto solicitaba usar la lista [100, 20, 50, 80, 10], y ustedes usaron valores en miles (12000, etc.).En este bono no afecta la nota porque el objetivo era practicar la lógica, pero tengan cuidado en el Parcial:_x000a_ si el enunciado les da datos específicos, deben usar esos datos _x000a_exactos. En la vida real, si un cliente les da una base de datos, no _x000a_podemos cambiar los valores arbitrariamente.Motivación: Tienen_x000a_ la técnica dominada. Si aplican esta misma estructura lógica y orden en_x000a_ el parcial (respetando los datos del enunciado), les irá muy bien. _x000a_¡Buen trabajo!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Impresión clara de la lista original y la procesada.10.010.0TOTAL50.050.0Diego Mauricio Zuluaga Rodríguez Profesor - Departamento de Economía Universidad de La Sabana"/>
    <n v="5"/>
    <n v="5"/>
    <n v="1"/>
  </r>
  <r>
    <x v="7"/>
    <s v="Isabella"/>
    <s v="Carranza Tapiero"/>
    <s v="isabellacata@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y han_x000a_ demostrado un dominio sólido de la lógica de colecciones y bucles.Puntos Destacados:Precisión Técnica: El uso de .sort() para ordenar la lista original antes del procesamiento es correcto.Valor Agregado: El uso de la función round(..., 2)_x000a_ para limitar los decimales en el cálculo del IVA demuestra una _x000a_excelente atención al detalle y un enfoque orientado al usuario final _x000a_(Sanity Check).Estructura de Código: La separación en celdas y la documentación mediante comentarios facilitan la trazabilidad y el estudio del código.Observación de Autogestión: Han respetado los datos exactos del enunciado ([100, 20, 50, 80, 10]), lo cual es vital en procesos de auditoría de datos.Motivación: Este_x000a_ nivel de orden y claridad es el que se espera en el parcial presencial._x000a_ Han comprendido la diferencia entre modificar una lista (.sort()) y generar una nueva (.append()), que es un concepto central de este corte. ¡Sigan así!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 y ClaridadImpresión clara de resultados y uso de comentarios.10.010.0TOTAL50.050.0Diego Mauricio Zuluaga Rodríguez Profesor - Departamento de Economía Universidad de La Sabana"/>
    <n v="5"/>
    <n v="5"/>
    <n v="1"/>
  </r>
  <r>
    <x v="8"/>
    <s v="Samuel David"/>
    <s v="Lozano Holguin"/>
    <s v="samuelloho@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de la imagen con total _x000a_precisión, utilizando los datos exactos solicitados y aplicando la _x000a_lógica de programación de forma impecable.Puntos Destacados:Atención al Detalle: A diferencia de otros grupos, ustedes mantuvieron los datos originales del ejercicio ([100, 20, 50, 80, 10]), lo cual demuestra una lectura rigurosa de los requerimientos.Proactividad Técnica: El uso de la función round(precios_con_iva, 2)_x000a_ es un excelente aporte. En el mundo financiero y contable, el manejo de_x000a_ decimales es crítico, y redondear a dos cifras es la práctica estándar.Estructura Limpia: El código es minimalista, efectivo y está bien comentado.Observación de Mejora:En_x000a_ el último comentario del código escribieron &quot;Inspiramos&quot; en lugar de _x000a_&quot;Imprimimos&quot;. Es un detalle menor de redacción, pero en la documentación_x000a_ técnica la precisión en el lenguaje también suma profesionalismo.Motivación: Están_x000a_ listos para el parcial. Han demostrado que entienden cómo transformar _x000a_una lista y cómo generar una nueva sin destruir la información previa. _x000a_Mantengan esa rigurosidad con los datos el próximo miércoles. ¡Buen _x000a_trabajo!Rúbrica de CalificaciónCriterio de EvaluaciónRequisito TécnicoPuntaje MáximoPuntaje ObtenidoOrdenamientoUso correcto del método .sort() para organizar la lista original.15.015.0Automatización (For)Implementación correcta del bucle para procesar cada precio.15.015.0Creación de ListasUso efectivo de .append() y creación de lista independiente.10.010.0Resultados y FormatoImpresión clara y uso de round() para precisión financiera.10.010.0TOTAL50.050.0Diego Mauricio Zuluaga Rodríguez Profesor - Departamento de Economía Universidad de La Sabana"/>
    <n v="5"/>
    <n v="5"/>
    <n v="1"/>
  </r>
  <r>
    <x v="9"/>
    <s v="Sebastian"/>
    <s v="Vanoy Gutierrez"/>
    <s v="sebastianvagu@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de la imagen con total _x000a_precisión, utilizando los datos exactos solicitados y aplicando la _x000a_lógica de programación de forma impecable.Puntos Destacados:Atención al Detalle: A diferencia de otros grupos, ustedes mantuvieron los datos originales del ejercicio ([100, 20, 50, 80, 10]), lo cual demuestra una lectura rigurosa de los requerimientos.Proactividad Técnica: El uso de la función round(precios_con_iva, 2)_x000a_ es un excelente aporte. En el mundo financiero y contable, el manejo de_x000a_ decimales es crítico, y redondear a dos cifras es la práctica estándar.Estructura Limpia: El código es minimalista, efectivo y está bien comentado.Observación de Mejora:En_x000a_ el último comentario del código escribieron &quot;Inspiramos&quot; en lugar de _x000a_&quot;Imprimimos&quot;. Es un detalle menor de redacción, pero en la documentación_x000a_ técnica la precisión en el lenguaje también suma profesionalismo.Motivación: Están_x000a_ listos para el parcial. Han demostrado que entienden cómo transformar _x000a_una lista y cómo generar una nueva sin destruir la información previa. _x000a_Mantengan esa rigurosidad con los datos el próximo miércoles. ¡Buen _x000a_trabajo!Rúbrica de CalificaciónCriterio de EvaluaciónRequisito TécnicoPuntaje MáximoPuntaje ObtenidoOrdenamientoUso correcto del método .sort() para organizar la lista original.15.015.0Automatización (For)Implementación correcta del bucle para procesar cada precio.15.015.0Creación de ListasUso efectivo de .append() y creación de lista independiente.10.010.0Resultados y FormatoImpresión clara y uso de round() para precisión financiera.10.010.0TOTAL50.050.0Diego Mauricio Zuluaga Rodríguez Profesor - Departamento de Economía Universidad de La Sabana"/>
    <n v="5"/>
    <n v="5"/>
    <n v="1"/>
  </r>
  <r>
    <x v="10"/>
    <s v="Jose Daniel"/>
    <s v="Escobar Hurtado"/>
    <s v="joseeshu@unisabana.edu.co"/>
    <x v="1"/>
    <d v="2026-02-25T00:00:00"/>
    <x v="1"/>
    <s v="Devuelta"/>
    <s v="Retroalimentación de la Entrega: El Organizador de Precios (Bono)Calificación Final: 45/50 Incentivo Académico: Se otorgan +0.5 unidades para el Primer Parcial del 25 de febrero.Comentarios del Profesor: Equipo,_x000a_ la lógica técnica del ejercicio es impecable. Han utilizado los datos _x000a_exactos solicitados en el reto y el flujo de control (ordenamiento -&amp;gt;_x000a_ iteración -&amp;gt; acumulación) funciona perfectamente.Puntos Destacados:Precisión de Datos: A diferencia de otros grupos, ustedes mantuvieron los valores originales del enunciado, lo cual demuestra atención al detalle.Eficacia: El código es minimalista y cumple con la función de transformar los datos mediante el bucle for.Oportunidad de Mejora (Rigurosidad y Autogestión):Falta de Documentación: Las instrucciones de autogestión solicitaban explícitamente que el código estuviera &quot;debidamente documentado&quot;. Su entrega no contiene un solo comentario (#) ni celdas de Markdown explicando la lógica.En_x000a_ este curso, el &quot;qué&quot; (resultado) es tan importante como el &quot;cómo&quot; _x000a_(explicación). La falta de comentarios penaliza la nota de esta entrega,_x000a_ ya que no se evidencia el seguimiento completo de las instrucciones.Motivación: Tienen una excelente base lógica. Para el parcial del miércoles, recuerden que documentar es obligatorio._x000a_ Un código sin explicar es difícil de auditar en un entorno profesional._x000a_ Mantengan la precisión técnica y sumen la rigurosidad en la _x000a_documentación. ¡Van por buen camino!Rúbrica de CalificaciónCriterio de EvaluaciónRequisito TécnicoPuntaje MáximoPuntaje ObtenidoOrdenamientoUso correcto del método .sort().15.015.0Automatización (For)Implementación correcta del bucle para recorrer la lista.15.015.0Creación de ListasUso efectivo de .append() para generar la nueva lista.10.010.0DocumentaciónCódigo debidamente documentado con comentarios y Markdown.10.05.0TOTAL50.045.0Diego Mauricio Zuluaga Rodríguez Profesor - Departamento de Economía Universidad de La Sabana"/>
    <n v="4.5"/>
    <n v="5"/>
    <n v="0.9"/>
  </r>
  <r>
    <x v="11"/>
    <s v="Maria Jose"/>
    <s v="Botero Galviz"/>
    <s v="mariabotga@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_x000a_demostrando un dominio sólido de la manipulación de listas y la lógica _x000a_de automatización.Puntos Destacados:Precisión en los Datos: Utilizaron la lista exacta solicitada en el reto, lo cual demuestra atención al detalle y rigurosidad.Uso de Métodos: Aplicaron correctamente el método .sort() para modificar la lista original y el método .append() para construir la nueva colección.Claridad y Formato: El uso de f-strings para la impresión final hace que los resultados sean fáciles de leer y profesionales.Documentación:_x000a_ El código está muy bien comentado, explicando no solo qué hace la _x000a_línea, sino el porqué de la estructura (ej. la mención al &quot;menú _x000a_interactivo&quot;).Motivación: Esta_x000a_ entrega refleja una excelente preparación para los temas del primer _x000a_corte. Han comprendido la diferencia crítica entre la mutabilidad de una_x000a_ lista y la creación de nuevos objetos de datos. Mantengan este nivel de_x000a_ orden y claridad en sus exámenes presenciales. ¡Felicitaciones!Rúbrica de CalificaciónCriterio de EvaluaciónRequisito TécnicoPuntaje MáximoPuntaje ObtenidoOrdenamientoUso correcto del método .sort() sobre la lista original.15.015.0Automatización (For)Implementación efectiva del bucle para procesar los datos.15.015.0Manejo de ListasCreación de lista nueva y uso correcto de .append().10.010.0Claridad y FormatoImpresión de resultados con f-strings y documentación clara.10.010.0TOTAL50.050.0Diego Mauricio Zuluaga Rodríguez Profesor - Departamento de Economía Universidad de La Sabana"/>
    <n v="5"/>
    <n v="5"/>
    <n v="1"/>
  </r>
  <r>
    <x v="12"/>
    <s v="Maria Juliana"/>
    <s v="Mejia Quintero"/>
    <s v="mariamequ@unisabana.edu.co"/>
    <x v="1"/>
    <d v="2026-02-25T00:00:00"/>
    <x v="1"/>
    <s v="Devuelta"/>
    <s v="No hay archivo adjunto."/>
    <n v="0"/>
    <n v="5"/>
    <n v="0"/>
  </r>
  <r>
    <x v="13"/>
    <s v="Alejandra"/>
    <s v="Leon Vargas"/>
    <s v="alejandraleva@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Alejandra. Tu código es limpio, eficiente y cumple _x000a_estrictamente con cada uno de los requerimientos solicitados en el reto.Puntos Destacados:Atención al Detalle: A diferencia de otros casos, utilizaste exactamente la lista de precios solicitada en el enunciado [100, 20, 50, 80, 10]. Esto demuestra una lectura cuidadosa de los requerimientos.Uso de round(): Implementaste la función round(precio_con_iva, 2)._x000a_ Este es un valor agregado excelente, ya que en el área de _x000a_administración y economía, el manejo de decimales debe ser preciso y _x000a_estético.Lógica de Programación: El uso de .sort() para modificar la lista original y el bucle for para llenar la nueva lista con .append() es impecable.Documentación: Los comentarios son breves y precisos, facilitando la comprensión del flujo de datos.Motivación: Dominas_x000a_ las bases de las estructuras de datos y ciclos. Esta disciplina en la _x000a_validación de datos y el formato de salida te servirá mucho en el _x000a_parcial presencial. ¡Sigue así!Rúbrica de CalificaciónCriterio de EvaluaciónRequisito TécnicoPuntaje MáximoPuntaje ObtenidoOrdenamientoUso correcto del método .sort() sobre la lista original.15.015.0Automatización (For)Implementación efectiva del bucle para procesar los datos.15.015.0Manejo de ListasCreación de nueva lista y uso correcto de .append().10.010.0Documentación y DatosUso de los datos del enunciado y comentarios claros.10.010.0TOTAL50.050.0Diego Mauricio Zuluaga Rodríguez Profesor - Departamento de Economía Universidad de La Sabana"/>
    <n v="5"/>
    <n v="5"/>
    <n v="1"/>
  </r>
  <r>
    <x v="14"/>
    <s v="Alessandro Di Mauro"/>
    <s v="Bonilla Correa"/>
    <s v="alessandroboco@unisabana.edu.co"/>
    <x v="1"/>
    <d v="2026-02-25T00:00:00"/>
    <x v="1"/>
    <s v="Devuelta"/>
    <s v="Retroalimentación de la Entrega: El Organizador de Precios (Bono)Calificación Final: 50/50 Incentivo Académico: Se otorgan +0.5 unidades para el Primer Parcial (Corte 1).Comentarios del Profesor: Excelente_x000a_ trabajo, equipo. Han seguido las instrucciones al pie de la letra y han_x000a_ demostrado un dominio sólido de las listas y los ciclos, que son temas _x000a_fundamentales para el examen de mañana.Puntos Destacados:Precisión Técnica: El uso del método .sort() fue correcto (modificación in-place) y el ciclo for para generar la nueva lista con IVA cumple con el patrón acumulador esperado.Documentación: El código está muy bien comentado, explicando cada paso del proceso, lo cual facilita la trazabilidad y el estudio.Uso de F-strings: La presentación de los resultados finales es clara y profesional.Observación de Autogestión:En el encabezado del Notebook, Alessandro mencionó que el punto es para el &quot;Parcial 2&quot;. Aclaro: Este bono corresponde al Parcial 1 (Corte 1)_x000a_ que se realiza este miércoles 25 de febrero. Es importante estar _x000a_atentos a los cortes académicos para una correcta autogestión de sus _x000a_notas.Motivación: Están_x000a_ listos para el parcial. Han demostrado que saben diferenciar entre _x000a_modificar una estructura existente y crear una nueva a partir de _x000a_cálculos. Sigan con este nivel de atención al detalle. ¡Muchos éxitos _x000a_mañana!Rúbrica de CalificaciónCriterio de EvaluaciónRequisito TécnicoPuntaje MáximoPuntaje ObtenidoOrdenamientoUso correcto del método .sort() con los datos exactos del reto.15.015.0Automatización (For)Implementación correcta del bucle para recorrer la lista de precios.15.015.0Creación de ListasUso efectivo de .append() para llenar la lista precios_con_iva.10.010.0Resultados y FormatoImpresión clara con f-strings y documentación del código.10.010.0TOTAL50.050.0Diego Mauricio Zuluaga Rodríguez Profesor - Departamento de Economía Universidad de La Sabana"/>
    <n v="5"/>
    <n v="5"/>
    <n v="1"/>
  </r>
  <r>
    <x v="15"/>
    <s v="Arianne Mariana"/>
    <s v="Amorocho Quiroga"/>
    <s v="arianneamqu@unisabana.edu.co"/>
    <x v="1"/>
    <d v="2026-02-25T00:00:00"/>
    <x v="1"/>
    <s v="Devuelta"/>
    <s v="Retroalimentación de la Entrega: El Organizador de Precios (Bono)Calificación Final: 50/50 Incentivo Académico: Se otorgan +0.5 unidades para el Primer Parcial del 25 de febrero.Comentarios del Profesor: Equipo,_x000a_ el ejercicio está técnicamente correcto y demuestra que han comprendido_x000a_ la manipulación de listas. La lógica del patrón acumulador (crear lista_x000a_ vacía -&amp;gt; iterar -&amp;gt; llenar) está perfectamente implementada.Puntos Destacados:Lógica de Mutabilidad: Entendieron perfectamente que .sort() modifica la lista original y no requiere una reasignación.Procesamiento: El ciclo for con el cálculo del IVA y el uso de .append() es impecable.Documentación: Los comentarios en el código explican claramente el &quot;porqué&quot; de cada paso, lo cual es excelente para su estudio personal.Observación de Autogestión (Atención al Detalle):Aunque la lógica es perfecta, noté que cambiaron los datos de entrada. La imagen del reto solicitaba usar la lista [100, 20, 50, 80, 10], y ustedes usaron valores en miles (12000, etc.).En este bono no afecta la nota porque el objetivo era practicar la lógica, pero tengan cuidado en el Parcial:_x000a_ si el enunciado les da datos específicos, deben usar esos datos _x000a_exactos. En la vida real, si un cliente les da una base de datos, no _x000a_podemos cambiar los valores arbitrariamente.Motivación: Tienen_x000a_ la técnica dominada. Si aplican esta misma estructura lógica y orden en_x000a_ el parcial (respetando los datos del enunciado), les irá muy bien. _x000a_¡Buen trabajo!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Impresión clara de la lista original y la procesada.10.010.0TOTAL50.050.0Diego Mauricio Zuluaga Rodríguez Profesor - Departamento de Economía Universidad de La Sabana"/>
    <n v="5"/>
    <n v="5"/>
    <n v="1"/>
  </r>
  <r>
    <x v="16"/>
    <s v="Maria Juliana"/>
    <s v="Herrera Pulido"/>
    <s v="mariahepu@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con una precisión _x000a_impecable, demostrando un dominio sólido de las estructuras de datos _x000a_básicas de Python.Puntos Destacados:Fidelidad a los Datos: A diferencia de otros grupos, ustedes utilizaron exactamente la lista de precios solicitada en la imagen [100, 20, 50, 80, 10]. Esta atención al detalle es vital en el análisis de datos profesional.Uso de Métodos: El uso de .sort() para ordenar la lista original y .append() para construir la nueva colección es técnicamente correcto y eficiente.Lógica de Programación: La estructura del código es limpia y fácil de leer, cumpliendo con el estándar de &quot;Clean Code&quot;.Sugerencia de Mejora (Hacia el Parcial):Aunque el código es claro, para el parcial les sugiero usar f-strings en los print para darle un formato más profesional a los resultados (ej. agregar el símbolo de pesos $ y limitar los decimales a dos con :.2f).Motivación: Están_x000a_ listas para el parcial. Han demostrado que entienden cómo transformar _x000a_datos de manera secuencial y organizada. Mantengan esa rigurosidad en la_x000a_ evaluación presencial y obtendrán un resultado sobresaliente. _x000a_¡Felicitaciones!Rúbrica de CalificaciónCriterio de EvaluaciónRequisito TécnicoPuntaje MáximoPuntaje ObtenidoOrdenamientoUso correcto del método .sort() sobre la lista original.15.015.0Automatización (For)Implementación efectiva del bucle para procesar cada precio.15.015.0Manejo de ListasCreación de lista nueva y uso correcto de .append().10.010.0Seguimiento de InstruccionesUso de los datos exactos del enunciado y claridad en salida.10.010.0TOTAL50.050.0Diego Mauricio Zuluaga Rodríguez Profesor - Departamento de Economía Universidad de La Sabana"/>
    <n v="5"/>
    <n v="5"/>
    <n v="1"/>
  </r>
  <r>
    <x v="17"/>
    <s v="Simon Gustavo"/>
    <s v="Restrepo Alvarez"/>
    <s v="simonreal@unisabana.edu.co"/>
    <x v="1"/>
    <d v="2026-02-25T00:00:00"/>
    <x v="1"/>
    <s v="Devuelta"/>
    <s v="Retroalimentación de la Entrega: El Organizador de Precios (Bono)Calificación Final: 50/50 Incentivo Académico: Se otorgan +0.5 unidades para el Primer Parcial del 25 de febrero.Comentarios del Profesor: Equipo,_x000a_ han ejecutado el ejercicio con total precisión técnica. A diferencia de_x000a_ otros grupos, ustedes mantuvieron los datos exactos solicitados en el _x000a_enunciado, lo cual demuestra una lectura rigurosa de los requerimientos.Puntos Destacados:Rigurosidad de Datos: El uso de la lista [100, 20, 50, 80, 10] es correcto.Uso de Métodos: Aplicaron .sort() de manera eficiente (in-place) y el método .append() dentro del ciclo para construir la nueva colección.Lógica Aritmética: El cálculo del IVA desglosado (precio * 0.19 y luego la suma) es claro y fácil de auditar.Observación de Vigilancia (Autogestión):Mateo Perez Daza y Simon Restrepo figuran en la lista oficial. Sin embargo, Diego Limas no aparece en el listado de 41 estudiantes inscritos_x000a_ en el curso &quot;Programación y Decisiones&quot;. Por favor, verifiquen si hay _x000a_un error en el nombre o si el estudiante debe regularizar su situación _x000a_académica.Motivación: El_x000a_ código es limpio y funcional. Están demostrando el dominio necesario _x000a_sobre las colecciones de datos para enfrentar el parcial de este _x000a_miércoles. Mantengan esa atención al detalle.Rúbrica de CalificaciónCriterio de EvaluaciónRequisito TécnicoPuntaje MáximoPuntaje ObtenidoOrdenamientoUso correcto del método .sort() sobre la lista original.15.015.0Automatización (For)Implementación correcta del bucle para procesar los datos.15.015.0Creación de ListasUso efectivo de .append() para la nueva lista precios_con_IVA.10.010.0ResultadosImpresión clara y correcta de ambas listas (original y final).10.010.0TOTAL50.050.0Diego Mauricio Zuluaga Rodríguez Profesor - Departamento de Economía Universidad de La Sabana"/>
    <n v="5"/>
    <n v="5"/>
    <n v="1"/>
  </r>
  <r>
    <x v="18"/>
    <s v="Daniel Felipe"/>
    <s v="Camacho Pedraza"/>
    <s v="danielcampe@unisabana.edu.co"/>
    <x v="1"/>
    <d v="2026-02-25T00:00:00"/>
    <x v="1"/>
    <s v="Devuelta"/>
    <s v="No hay archivo adjunto."/>
    <n v="0"/>
    <n v="5"/>
    <n v="0"/>
  </r>
  <r>
    <x v="19"/>
    <s v="Mateo"/>
    <s v="Perez Daza"/>
    <s v="mateopeda@unisabana.edu.co"/>
    <x v="1"/>
    <d v="2026-02-25T00:00:00"/>
    <x v="1"/>
    <s v="Devuelta"/>
    <s v="Retroalimentación de la Entrega: El Organizador de Precios (Bono)Calificación Final: 50/50 Incentivo Académico: Se otorgan +0.5 unidades para el Primer Parcial del 25 de febrero.Comentarios del Profesor: Equipo,_x000a_ han ejecutado el ejercicio con total precisión técnica. A diferencia de_x000a_ otros grupos, ustedes mantuvieron los datos exactos solicitados en el _x000a_enunciado, lo cual demuestra una lectura rigurosa de los requerimientos.Puntos Destacados:Rigurosidad de Datos: El uso de la lista [100, 20, 50, 80, 10] es correcto.Uso de Métodos: Aplicaron .sort() de manera eficiente (in-place) y el método .append() dentro del ciclo para construir la nueva colección.Lógica Aritmética: El cálculo del IVA desglosado (precio * 0.19 y luego la suma) es claro y fácil de auditar.Observación de Vigilancia (Autogestión):Mateo Perez Daza y Simon Restrepo figuran en la lista oficial. Sin embargo, Diego Limas no aparece en el listado de 41 estudiantes inscritos_x000a_ en el curso &quot;Programación y Decisiones&quot;. Por favor, verifiquen si hay _x000a_un error en el nombre o si el estudiante debe regularizar su situación _x000a_académica.Motivación: El_x000a_ código es limpio y funcional. Están demostrando el dominio necesario _x000a_sobre las colecciones de datos para enfrentar el parcial de este _x000a_miércoles. Mantengan esa atención al detalle.Rúbrica de CalificaciónCriterio de EvaluaciónRequisito TécnicoPuntaje MáximoPuntaje ObtenidoOrdenamientoUso correcto del método .sort() sobre la lista original.15.015.0Automatización (For)Implementación correcta del bucle para procesar los datos.15.015.0Creación de ListasUso efectivo de .append() para la nueva lista precios_con_IVA.10.010.0ResultadosImpresión clara y correcta de ambas listas (original y final).10.010.0TOTAL50.050.0Diego Mauricio Zuluaga Rodríguez Profesor - Departamento de Economía Universidad de La Sabana"/>
    <n v="5"/>
    <n v="5"/>
    <n v="1"/>
  </r>
  <r>
    <x v="20"/>
    <s v="Matias"/>
    <s v="Mondragon Osorio"/>
    <s v="matiasmoos@unisabana.edu.co"/>
    <x v="1"/>
    <d v="2026-02-25T00:00:00"/>
    <x v="1"/>
    <s v="Devuelta"/>
    <s v="Retroalimentación de la Entrega: El Organizador de Precios (Bono)Calificación Final: 50/50 Incentivo Académico: Se otorgan +0.5 unidades para el Primer Parcial del 25 de febrero.Comentarios del Profesor: Equipo,_x000a_ el ejercicio está técnicamente correcto y demuestra que han comprendido_x000a_ la manipulación de listas. La lógica del patrón acumulador (crear lista_x000a_ vacía -&amp;gt; iterar -&amp;gt; llenar) está perfectamente implementada.Puntos Destacados:Lógica de Mutabilidad: Entendieron perfectamente que .sort() modifica la lista original y no requiere una reasignación.Procesamiento: El ciclo for con el cálculo del IVA y el uso de .append() es impecable.Documentación: Los comentarios en el código explican claramente el &quot;porqué&quot; de cada paso, lo cual es excelente para su estudio personal.Observación de Autogestión (Atención al Detalle):Aunque la lógica es perfecta, noté que cambiaron los datos de entrada. La imagen del reto solicitaba usar la lista [100, 20, 50, 80, 10], y ustedes usaron valores en miles (12000, etc.).En este bono no afecta la nota porque el objetivo era practicar la lógica, pero tengan cuidado en el Parcial:_x000a_ si el enunciado les da datos específicos, deben usar esos datos _x000a_exactos. En la vida real, si un cliente les da una base de datos, no _x000a_podemos cambiar los valores arbitrariamente.Motivación: Tienen_x000a_ la técnica dominada. Si aplican esta misma estructura lógica y orden en_x000a_ el parcial (respetando los datos del enunciado), les irá muy bien. _x000a_¡Buen trabajo!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Impresión clara de la lista original y la procesada.10.010.0TOTAL50.050.0Diego Mauricio Zuluaga Rodríguez Profesor - Departamento de Economía Universidad de La Sabana"/>
    <n v="5"/>
    <n v="5"/>
    <n v="1"/>
  </r>
  <r>
    <x v="21"/>
    <s v="Juan David"/>
    <s v="Neuta Medina"/>
    <s v="juanneme@unisabana.edu.co"/>
    <x v="1"/>
    <d v="2026-02-25T00:00:00"/>
    <x v="1"/>
    <s v="Devuelta"/>
    <s v="Retroalimentación de la Entrega: El Organizador de Precios (Bono)Calificación Final: 45/50 Incentivo Académico: Se otorgan +0.5 unidades para el Primer Parcial del 25 de febrero.Comentarios del Profesor: Equipo,_x000a_ la lógica técnica del ejercicio es impecable. Han utilizado los datos _x000a_exactos solicitados en el reto y el flujo de control (ordenamiento -&amp;gt;_x000a_ iteración -&amp;gt; acumulación) funciona perfectamente.Puntos Destacados:Precisión de Datos: A diferencia de otros grupos, ustedes mantuvieron los valores originales del enunciado, lo cual demuestra atención al detalle.Eficacia: El código es minimalista y cumple con la función de transformar los datos mediante el bucle for.Oportunidad de Mejora (Rigurosidad y Autogestión):Falta de Documentación: Las instrucciones de autogestión solicitaban explícitamente que el código estuviera &quot;debidamente documentado&quot;. Su entrega no contiene un solo comentario (#) ni celdas de Markdown explicando la lógica.En_x000a_ este curso, el &quot;qué&quot; (resultado) es tan importante como el &quot;cómo&quot; _x000a_(explicación). La falta de comentarios penaliza la nota de esta entrega,_x000a_ ya que no se evidencia el seguimiento completo de las instrucciones.Motivación: Tienen una excelente base lógica. Para el parcial del miércoles, recuerden que documentar es obligatorio._x000a_ Un código sin explicar es difícil de auditar en un entorno profesional._x000a_ Mantengan la precisión técnica y sumen la rigurosidad en la _x000a_documentación. ¡Van por buen camino!Rúbrica de CalificaciónCriterio de EvaluaciónRequisito TécnicoPuntaje MáximoPuntaje ObtenidoOrdenamientoUso correcto del método .sort().15.015.0Automatización (For)Implementación correcta del bucle para recorrer la lista.15.015.0Creación de ListasUso efectivo de .append() para generar la nueva lista.10.010.0DocumentaciónCódigo debidamente documentado con comentarios y Markdown.10.05.0TOTAL50.045.0Diego Mauricio Zuluaga Rodríguez Profesor - Departamento de Economía Universidad de La Sabana"/>
    <n v="4.5"/>
    <n v="5"/>
    <n v="0.9"/>
  </r>
  <r>
    <x v="22"/>
    <s v="Laura Fernanda"/>
    <s v="Lopez Parra"/>
    <s v="lauraloppa@unisabana.edu.co"/>
    <x v="1"/>
    <d v="2026-02-25T00:00:00"/>
    <x v="1"/>
    <s v="Devuelta"/>
    <s v="Retroalimentación de la Entrega: El Organizador de Precios (Bono)Calificación Final: 45/50 Incentivo Académico: Se otorgan +0.5 unidades para el Primer Parcial del 25 de febrero.Comentarios del Profesor: Equipo,_x000a_ la lógica técnica del ejercicio es impecable. Han utilizado los datos _x000a_exactos solicitados en el reto y el flujo de control (ordenamiento -&amp;gt;_x000a_ iteración -&amp;gt; acumulación) funciona perfectamente.Puntos Destacados:Precisión de Datos: A diferencia de otros grupos, ustedes mantuvieron los valores originales del enunciado, lo cual demuestra atención al detalle.Eficacia: El código es minimalista y cumple con la función de transformar los datos mediante el bucle for.Oportunidad de Mejora (Rigurosidad y Autogestión):Falta de Documentación: Las instrucciones de autogestión solicitaban explícitamente que el código estuviera &quot;debidamente documentado&quot;. Su entrega no contiene un solo comentario (#) ni celdas de Markdown explicando la lógica.En_x000a_ este curso, el &quot;qué&quot; (resultado) es tan importante como el &quot;cómo&quot; _x000a_(explicación). La falta de comentarios penaliza la nota de esta entrega,_x000a_ ya que no se evidencia el seguimiento completo de las instrucciones.Motivación: Tienen una excelente base lógica. Para el parcial del miércoles, recuerden que documentar es obligatorio._x000a_ Un código sin explicar es difícil de auditar en un entorno profesional._x000a_ Mantengan la precisión técnica y sumen la rigurosidad en la _x000a_documentación. ¡Van por buen camino!Rúbrica de CalificaciónCriterio de EvaluaciónRequisito TécnicoPuntaje MáximoPuntaje ObtenidoOrdenamientoUso correcto del método .sort().15.015.0Automatización (For)Implementación correcta del bucle para recorrer la lista.15.015.0Creación de ListasUso efectivo de .append() para generar la nueva lista.10.010.0DocumentaciónCódigo debidamente documentado con comentarios y Markdown.10.05.0TOTAL50.045.0Diego Mauricio Zuluaga Rodríguez Profesor - Departamento de Economía Universidad de La Sabana"/>
    <n v="4.5"/>
    <n v="5"/>
    <n v="0.9"/>
  </r>
  <r>
    <x v="23"/>
    <s v="Lukas"/>
    <s v="Blanco Llanes"/>
    <s v="lukasblll@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_x000a_utilizando los datos exactos proporcionados en el reto. El código es _x000a_limpio, eficiente y demuestra una comprensión sólida de la manipulación _x000a_de listas.Puntos Destacados:Precisión de Datos: A diferencia de otros grupos, ustedes mantuvieron la lista original solicitada [100, 20, 50, 80, 10], lo cual demuestra una lectura rigurosa del enunciado.Atención al Detalle: El uso de la función round(precio_iva, 2)_x000a_ es un valor agregado excelente. En finanzas y economía, el manejo de _x000a_decimales es crítico y redondear a dos cifras es la práctica estándar.Lógica de Mutabilidad: Aplicaron correctamente el método .sort() de forma directa sobre la lista original.Sugerencia Técnica:_x000a_ La documentación es clara y numerada según los pasos del reto, lo cual _x000a_facilita la revisión. Sigan manteniendo este orden en sus entregas _x000a_futuras.Motivación: Están demostrando una excelente capacidad de autogestión._x000a_ Llegar al parcial con estos conceptos claros y con el bono de +0.5 les _x000a_da una ventaja competitiva importante. ¡Continúen con ese nivel de _x000a_detalle!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 y FormatoImpresión clara y uso de redondeo para precisión financiera.10.010.0TOTAL50.050.0Diego Mauricio Zuluaga Rodríguez Profesor - Departamento de Economía Universidad de La Sabana"/>
    <n v="5"/>
    <n v="5"/>
    <n v="1"/>
  </r>
  <r>
    <x v="24"/>
    <s v="Juan Sebastian"/>
    <s v="Salas Hinojosa"/>
    <s v="juansahi@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_x000a_utilizando los datos exactos proporcionados en el reto. El código es _x000a_limpio, eficiente y demuestra una comprensión sólida de la manipulación _x000a_de listas.Puntos Destacados:Precisión de Datos: A diferencia de otros grupos, ustedes mantuvieron la lista original solicitada [100, 20, 50, 80, 10], lo cual demuestra una lectura rigurosa del enunciado.Atención al Detalle: El uso de la función round(precio_iva, 2)_x000a_ es un valor agregado excelente. En finanzas y economía, el manejo de _x000a_decimales es crítico y redondear a dos cifras es la práctica estándar.Lógica de Mutabilidad: Aplicaron correctamente el método .sort() de forma directa sobre la lista original.Sugerencia Técnica:_x000a_ La documentación es clara y numerada según los pasos del reto, lo cual _x000a_facilita la revisión. Sigan manteniendo este orden en sus entregas _x000a_futuras.Motivación: Están demostrando una excelente capacidad de autogestión._x000a_ Llegar al parcial con estos conceptos claros y con el bono de +0.5 les _x000a_da una ventaja competitiva importante. ¡Continúen con ese nivel de _x000a_detalle!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 y FormatoImpresión clara y uso de redondeo para precisión financiera.10.010.0TOTAL50.050.0Diego Mauricio Zuluaga Rodríguez Profesor - Departamento de Economía Universidad de La Sabana"/>
    <n v="5"/>
    <n v="5"/>
    <n v="1"/>
  </r>
  <r>
    <x v="25"/>
    <s v="Avril Avril"/>
    <s v="Ariza Quitian"/>
    <s v="avrilarqu@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Samantha y Avril. Han seguido las instrucciones con precisión _x000a_quirúrgica, utilizando exactamente los datos solicitados en el _x000a_enunciado.Puntos Destacados:Fidelidad a los Datos: A diferencia de otros grupos, ustedes utilizaron la lista exacta del reto [100, 20, 50, 80, 10]. Esto demuestra una lectura cuidadosa de los requerimientos.Dominio Técnico: El uso del método .sort() para ordenar la lista original y la implementación del bucle for con .append() para la nueva lista es impecable.Sanity Check: Los comentarios en el código son breves pero efectivos, facilitando la comprensión del flujo lógico.Observación Técnica (Para el futuro):En la salida de consola, notarán que Python muestra muchos decimales (ej. 11.899999999999999)._x000a_ Esto es normal por la forma en que los computadores procesan números _x000a_flotantes. Para un reporte financiero profesional, más adelante _x000a_aprenderemos a usar round() o f-strings (:.2f) para mostrar solo dos decimales.Motivación: Han_x000a_ demostrado que dominan las bases de las colecciones y los ciclos. Esta _x000a_estructura lógica es la que necesitan para resolver problemas complejos _x000a_en los próximos cortes. ¡Sigan con ese nivel de atención al detalle!Rúbrica de CalificaciónCriterio de EvaluaciónRequisito TécnicoPuntaje MáximoPuntaje ObtenidoOrdenamientoUso correcto del método .sort() sobre la lista original.15.015.0Automatización (For)Implementación correcta del bucle para procesar los datos.15.015.0Manejo de ListasCreación de lista vacía y uso de .append() para resultados.10.010.0Claridad y FormatoImpresión de resultados y uso de los datos del enunciado.10.010.0TOTAL50.050.0Diego Mauricio Zuluaga Rodríguez Profesor - Departamento de Economía Universidad de La Sabana"/>
    <n v="5"/>
    <n v="5"/>
    <n v="1"/>
  </r>
  <r>
    <x v="26"/>
    <s v="Samuel David"/>
    <s v="Simancas Contreras"/>
    <s v="samuelsico@unisabana.edu.co"/>
    <x v="1"/>
    <d v="2026-02-25T00:00:00"/>
    <x v="1"/>
    <s v="Devuelta"/>
    <s v="No hay archivo adjunto."/>
    <n v="0"/>
    <n v="5"/>
    <n v="0"/>
  </r>
  <r>
    <x v="27"/>
    <s v="Derek Sebastian"/>
    <s v="Quintero Espindola"/>
    <s v="derekques@unisabana.edu.co"/>
    <x v="1"/>
    <d v="2026-02-25T00:00:00"/>
    <x v="1"/>
    <s v="Devuelta"/>
    <s v="No hay archivo adjunto."/>
    <n v="0"/>
    <n v="5"/>
    <n v="0"/>
  </r>
  <r>
    <x v="28"/>
    <s v="Maria Jose"/>
    <s v="Huertas Osorio"/>
    <s v="mariahueos@unisabana.edu.co"/>
    <x v="1"/>
    <d v="2026-02-25T00:00:00"/>
    <x v="1"/>
    <s v="Devuelta"/>
    <s v="Retroalimentación de la Entrega: El Organizador de Precios (Bono)Calificación Final: 50/50 Incentivo Académico: Se otorgan +0.5 unidades para el Primer Parcial (Corte 1).Comentarios del Profesor: Excelente_x000a_ trabajo, equipo. Han seguido las instrucciones al pie de la letra y han_x000a_ demostrado un dominio sólido de las listas y los ciclos, que son temas _x000a_fundamentales para el examen de mañana.Puntos Destacados:Precisión Técnica: El uso del método .sort() fue correcto (modificación in-place) y el ciclo for para generar la nueva lista con IVA cumple con el patrón acumulador esperado.Documentación: El código está muy bien comentado, explicando cada paso del proceso, lo cual facilita la trazabilidad y el estudio.Uso de F-strings: La presentación de los resultados finales es clara y profesional.Observación de Autogestión:En el encabezado del Notebook, Alessandro mencionó que el punto es para el &quot;Parcial 2&quot;. Aclaro: Este bono corresponde al Parcial 1 (Corte 1)_x000a_ que se realiza este miércoles 25 de febrero. Es importante estar _x000a_atentos a los cortes académicos para una correcta autogestión de sus _x000a_notas.Motivación: Están_x000a_ listos para el parcial. Han demostrado que saben diferenciar entre _x000a_modificar una estructura existente y crear una nueva a partir de _x000a_cálculos. Sigan con este nivel de atención al detalle. ¡Muchos éxitos _x000a_mañana!Rúbrica de CalificaciónCriterio de EvaluaciónRequisito TécnicoPuntaje MáximoPuntaje ObtenidoOrdenamientoUso correcto del método .sort() con los datos exactos del reto.15.015.0Automatización (For)Implementación correcta del bucle para recorrer la lista de precios.15.015.0Creación de ListasUso efectivo de .append() para llenar la lista precios_con_iva.10.010.0Resultados y FormatoImpresión clara con f-strings y documentación del código.10.010.0TOTAL50.050.0Diego Mauricio Zuluaga Rodríguez Profesor - Departamento de Economía Universidad de La Sabana"/>
    <n v="5"/>
    <n v="5"/>
    <n v="1"/>
  </r>
  <r>
    <x v="29"/>
    <s v="Juan Camilo"/>
    <s v="Leyton Lancheros"/>
    <s v="juanleyla@unisabana.edu.co"/>
    <x v="1"/>
    <d v="2026-02-25T00:00:00"/>
    <x v="1"/>
    <s v="Devuelta"/>
    <s v="Retroalimentación de la Entrega: El Organizador de PreciosCalificación Final: 42/50 Incentivo Académico: Se otorgan +0.4 unidades para el Primer Parcial (Penalización de 0.1 por omisión de instrucciones técnicas y de autogestión).Comentarios del Profesor: El código es funcional y demuestra un conocimiento avanzado de Python al utilizar List Comprehension._x000a_ Sin embargo, como analistas, deben seguir estrictamente los _x000a_requerimientos del cliente/docente para asegurar la estandarización de _x000a_los procesos.Observaciones Técnicas:Uso de List Comprehension: Aunque es una técnica eficiente, el enunciado solicitaba explícitamente el uso de un bucle for (tradicional) para practicar la estructura de acumulación (.append()).Precisión de Flotantes: El resultado muestra errores de precisión decimal (ej. 11.899999999999999). En finanzas, esto debe controlarse con la función round() o formato de f-strings para evitar confusiones en el usuario final.Falla en Autogestión:Documentación Ausente: El código no contiene ni una sola línea de comentario (#). La autogestión implica hacer visible su proceso de pensamiento y facilitar la auditoría del código por parte de terceros.Instrucciones: Se solicitó el uso de .sort() y lo aplicaron correctamente, pero omitieron la estructura de bucle solicitada.Motivación: Tienen un buen nivel técnico, pero en este curso la rigurosidad en el seguimiento de instrucciones y la documentación_x000a_ son tan importantes como el resultado. En el parcial, asegúrense de _x000a_usar las estructuras solicitadas y comentar su código para obtener el _x000a_puntaje completo.Rúbrica de CalificaciónCriterio de EvaluaciónRequisito TécnicoPuntaje MáximoPuntaje ObtenidoOrdenamientoUso correcto del método .sort().15.015.0AutomatizaciónImplementación de bucle for y .append() (Se usó List Comprehension).15.010.0Claridad de SalidaImpresión de ambas listas (Faltó formato de decimales).10.010.0AutogestiónCódigo debidamente documentado y comentado.10.07.0TOTAL50.042.0Diego Mauricio Zuluaga Rodríguez Profesor - Departamento de Economía Universidad de La Sabana"/>
    <n v="4.2"/>
    <n v="5"/>
    <n v="0.84000000000000008"/>
  </r>
  <r>
    <x v="30"/>
    <s v="Samuel Mathias"/>
    <s v="Gonzalez Bernal"/>
    <s v="samuelgonbe@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de la imagen con total _x000a_precisión, utilizando los datos exactos solicitados y aplicando la _x000a_lógica de programación de forma impecable.Puntos Destacados:Atención al Detalle: A diferencia de otros grupos, ustedes mantuvieron los datos originales del ejercicio ([100, 20, 50, 80, 10]), lo cual demuestra una lectura rigurosa de los requerimientos.Proactividad Técnica: El uso de la función round(precios_con_iva, 2)_x000a_ es un excelente aporte. En el mundo financiero y contable, el manejo de_x000a_ decimales es crítico, y redondear a dos cifras es la práctica estándar.Estructura Limpia: El código es minimalista, efectivo y está bien comentado.Observación de Mejora:En_x000a_ el último comentario del código escribieron &quot;Inspiramos&quot; en lugar de _x000a_&quot;Imprimimos&quot;. Es un detalle menor de redacción, pero en la documentación_x000a_ técnica la precisión en el lenguaje también suma profesionalismo.Motivación: Están_x000a_ listos para el parcial. Han demostrado que entienden cómo transformar _x000a_una lista y cómo generar una nueva sin destruir la información previa. _x000a_Mantengan esa rigurosidad con los datos el próximo miércoles. ¡Buen _x000a_trabajo!Rúbrica de CalificaciónCriterio de EvaluaciónRequisito TécnicoPuntaje MáximoPuntaje ObtenidoOrdenamientoUso correcto del método .sort() para organizar la lista original.15.015.0Automatización (For)Implementación correcta del bucle para procesar cada precio.15.015.0Creación de ListasUso efectivo de .append() y creación de lista independiente.10.010.0Resultados y FormatoImpresión clara y uso de round() para precisión financiera.10.010.0TOTAL50.050.0Diego Mauricio Zuluaga Rodríguez Profesor - Departamento de Economía Universidad de La Sabana"/>
    <n v="5"/>
    <n v="5"/>
    <n v="1"/>
  </r>
  <r>
    <x v="31"/>
    <s v="Valeria"/>
    <s v="Morales"/>
    <s v="valeriamor@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y han_x000a_ demostrado un dominio sólido de las estructuras de datos y ciclos.Puntos Destacados:Atención al Detalle: Utilizaron exactamente los datos solicitados en el enunciado, lo cual es vital para la precisión financiera.Presentación de Resultados: El uso de un segundo bucle for con f-strings (:.2f)_x000a_ para imprimir los precios finales con formato de moneda es un valor _x000a_agregado excelente. Esto mejora significativamente la legibilidad para _x000a_el usuario final.Estructura: El archivo está perfectamente organizado, separando la lógica de negocio de la presentación de los datos.Motivación: Están_x000a_ aplicando muy bien el concepto de &quot;Clean Code&quot;. Mantengan este nivel de_x000a_ orden y precisión en el parcial presencial. El manejo de listas y el _x000a_formato de salida son temas clave que ya tienen dominados. ¡Muchos _x000a_éxitos!Rúbrica de CalificaciónCriterio de EvaluaciónRequisito TécnicoPuntaje MáximoPuntaje ObtenidoOrdenamientoUso correcto del método .sort() para organizar la lista.15.015.0Automatización (For)Implementación correcta del bucle para recorrer la lista.15.015.0Creación de ListasUso efectivo de .append() para generar la nueva lista con IVA.10.010.0Resultados y FormatoImpresión clara y uso de formato numérico (:.2f).10.010.0TOTAL50.050.0Diego Mauricio Zuluaga Rodríguez Profesor - Departamento de Economía Universidad de La Sabana"/>
    <n v="5"/>
    <n v="5"/>
    <n v="1"/>
  </r>
  <r>
    <x v="32"/>
    <s v="Samantha"/>
    <s v="Vanegas Russi"/>
    <s v="samanthavaru@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Samantha y Avril. Han seguido las instrucciones con precisión _x000a_quirúrgica, utilizando exactamente los datos solicitados en el _x000a_enunciado.Puntos Destacados:Fidelidad a los Datos: A diferencia de otros grupos, ustedes utilizaron la lista exacta del reto [100, 20, 50, 80, 10]. Esto demuestra una lectura cuidadosa de los requerimientos.Dominio Técnico: El uso del método .sort() para ordenar la lista original y la implementación del bucle for con .append() para la nueva lista es impecable.Sanity Check: Los comentarios en el código son breves pero efectivos, facilitando la comprensión del flujo lógico.Observación Técnica (Para el futuro):En la salida de consola, notarán que Python muestra muchos decimales (ej. 11.899999999999999)._x000a_ Esto es normal por la forma en que los computadores procesan números _x000a_flotantes. Para un reporte financiero profesional, más adelante _x000a_aprenderemos a usar round() o f-strings (:.2f) para mostrar solo dos decimales.Motivación: Han_x000a_ demostrado que dominan las bases de las colecciones y los ciclos. Esta _x000a_estructura lógica es la que necesitan para resolver problemas complejos _x000a_en los próximos cortes. ¡Sigan con ese nivel de atención al detalle!Rúbrica de CalificaciónCriterio de EvaluaciónRequisito TécnicoPuntaje MáximoPuntaje ObtenidoOrdenamientoUso correcto del método .sort() sobre la lista original.15.015.0Automatización (For)Implementación correcta del bucle para procesar los datos.15.015.0Manejo de ListasCreación de lista vacía y uso de .append() para resultados.10.010.0Claridad y FormatoImpresión de resultados y uso de los datos del enunciado.10.010.0TOTAL50.050.0Diego Mauricio Zuluaga Rodríguez Profesor - Departamento de Economía Universidad de La Sabana"/>
    <n v="5"/>
    <n v="5"/>
    <n v="1"/>
  </r>
  <r>
    <x v="33"/>
    <s v="Cristobal"/>
    <s v="Robayo Jimenez"/>
    <s v="cristobalroji@unisabana.edu.co"/>
    <x v="1"/>
    <d v="2026-02-25T00:00:00"/>
    <x v="1"/>
    <s v="Devuelta"/>
    <s v="No hay archivo adjunto."/>
    <n v="0"/>
    <n v="5"/>
    <n v="0"/>
  </r>
  <r>
    <x v="34"/>
    <s v="Juan Jose"/>
    <s v="Caballero Mantilla"/>
    <s v="juancabma@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El código es limpio, está muy bien estructurado y _x000a_cumple con todos los requisitos técnicos solicitados en el reto.Puntos Destacados:Documentación Profesional:_x000a_ El encabezado con autor y descripción, sumado a los comentarios _x000a_numerados, facilita enormemente la lectura y el mantenimiento del _x000a_código. Es una excelente práctica de &quot;Clean Code&quot;.Dominio de Listas: El uso de .sort() para ordenar y .append() para construir la nueva lista demuestra que tienen claros los conceptos de mutabilidad y persistencia de datos.Lógica de Negocio: El cálculo del IVA y la presentación de resultados son precisos.Observación de Autogestión (Importante para el Parcial):Al igual que otros grupos, noté que no utilizaron los datos exactos de la imagen ([100, 20, 50, 80, 10]), sino valores en miles.Advertencia:_x000a_ Para el parcial de este miércoles, la rigurosidad con los datos del _x000a_enunciado es obligatoria. Si el examen pide procesar una lista _x000a_específica, deben usar esa y no otra, ya que en un entorno financiero _x000a_real, cambiar los datos de entrada invalidaría el reporte.Motivación: Están_x000a_ demostrando una estructura mental muy organizada para programar. Sigan _x000a_así y aseguren esa misma atención al detalle en el parcial presencial. _x000a_¡Muchos éxitos!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Documentación y FormatoCódigo comentado y uso correcto de celdas en el Notebook.10.010.0TOTAL50.050.0Diego Mauricio Zuluaga Rodríguez Profesor - Departamento de Economía Universidad de La Sabana"/>
    <n v="5"/>
    <n v="5"/>
    <n v="1"/>
  </r>
  <r>
    <x v="35"/>
    <s v="Daniel Camilo"/>
    <s v="Lopez Piraquive"/>
    <s v="danielloppi@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El código es limpio, está muy bien estructurado y _x000a_cumple con todos los requisitos técnicos solicitados en el reto.Puntos Destacados:Documentación Profesional:_x000a_ El encabezado con autor y descripción, sumado a los comentarios _x000a_numerados, facilita enormemente la lectura y el mantenimiento del _x000a_código. Es una excelente práctica de &quot;Clean Code&quot;.Dominio de Listas: El uso de .sort() para ordenar y .append() para construir la nueva lista demuestra que tienen claros los conceptos de mutabilidad y persistencia de datos.Lógica de Negocio: El cálculo del IVA y la presentación de resultados son precisos.Observación de Autogestión (Importante para el Parcial):Al igual que otros grupos, noté que no utilizaron los datos exactos de la imagen ([100, 20, 50, 80, 10]), sino valores en miles.Advertencia:_x000a_ Para el parcial de este miércoles, la rigurosidad con los datos del _x000a_enunciado es obligatoria. Si el examen pide procesar una lista _x000a_específica, deben usar esa y no otra, ya que en un entorno financiero _x000a_real, cambiar los datos de entrada invalidaría el reporte.Motivación: Están_x000a_ demostrando una estructura mental muy organizada para programar. Sigan _x000a_así y aseguren esa misma atención al detalle en el parcial presencial. _x000a_¡Muchos éxitos!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Documentación y FormatoCódigo comentado y uso correcto de celdas en el Notebook.10.010.0TOTAL50.050.0Diego Mauricio Zuluaga Rodríguez Profesor - Departamento de Economía Universidad de La Sabana"/>
    <n v="5"/>
    <n v="5"/>
    <n v="1"/>
  </r>
  <r>
    <x v="36"/>
    <s v="Gabriela"/>
    <s v="Ruiz Perez"/>
    <s v="gabrielarupe@unisabana.edu.co"/>
    <x v="1"/>
    <d v="2026-02-25T00:00:00"/>
    <x v="1"/>
    <s v="Devuelta"/>
    <s v="Retroalimentación de la Entrega: El Organizador de Precios (Bono)Calificación Final: 50/50 Incentivo Académico: Se otorgan +0.5 unidades para el Primer Parcial (Corte 1).Comentarios del Profesor: Excelente_x000a_ trabajo, equipo. Han seguido las instrucciones al pie de la letra y han_x000a_ demostrado un dominio sólido de las listas y los ciclos, que son temas _x000a_fundamentales para el examen de mañana.Puntos Destacados:Precisión Técnica: El uso del método .sort() fue correcto (modificación in-place) y el ciclo for para generar la nueva lista con IVA cumple con el patrón acumulador esperado.Documentación: El código está muy bien comentado, explicando cada paso del proceso, lo cual facilita la trazabilidad y el estudio.Uso de F-strings: La presentación de los resultados finales es clara y profesional.Observación de Autogestión:En el encabezado del Notebook, Alessandro mencionó que el punto es para el &quot;Parcial 2&quot;. Aclaro: Este bono corresponde al Parcial 1 (Corte 1)_x000a_ que se realiza este miércoles 25 de febrero. Es importante estar _x000a_atentos a los cortes académicos para una correcta autogestión de sus _x000a_notas.Motivación: Están_x000a_ listos para el parcial. Han demostrado que saben diferenciar entre _x000a_modificar una estructura existente y crear una nueva a partir de _x000a_cálculos. Sigan con este nivel de atención al detalle. ¡Muchos éxitos _x000a_mañana!Rúbrica de CalificaciónCriterio de EvaluaciónRequisito TécnicoPuntaje MáximoPuntaje ObtenidoOrdenamientoUso correcto del método .sort() con los datos exactos del reto.15.015.0Automatización (For)Implementación correcta del bucle para recorrer la lista de precios.15.015.0Creación de ListasUso efectivo de .append() para llenar la lista precios_con_iva.10.010.0Resultados y FormatoImpresión clara con f-strings y documentación del código.10.010.0TOTAL50.050.0Diego Mauricio Zuluaga Rodríguez Profesor - Departamento de Economía Universidad de La Sabana"/>
    <n v="5"/>
    <n v="5"/>
    <n v="1"/>
  </r>
  <r>
    <x v="37"/>
    <s v="Juan Sebastian"/>
    <s v="Perdomo Herrera"/>
    <s v="juanperhe@unisabana.edu.co"/>
    <x v="1"/>
    <d v="2026-02-25T00:00:00"/>
    <x v="1"/>
    <s v="Devuelta"/>
    <s v="No hay archivo adjunto."/>
    <n v="0"/>
    <n v="5"/>
    <n v="0"/>
  </r>
  <r>
    <x v="38"/>
    <s v="Martin Martin"/>
    <s v="Trujillo Rodriguez"/>
    <s v="martintrro@unisabana.edu.co"/>
    <x v="1"/>
    <d v="2026-02-25T00:00:00"/>
    <x v="1"/>
    <s v="Devuelta"/>
    <s v="Retroalimentación de la Entrega: El Organizador de Precios (Bono)Calificación Final: 50/50 Incentivo Académico: Se otorgan +0.5 unidades para el Primer Parcial del 25 de febrero.Comentarios del Profesor: Excelente_x000a_ trabajo, equipo. El código es limpio, está muy bien estructurado y _x000a_cumple con todos los requisitos técnicos solicitados en el reto.Puntos Destacados:Documentación Profesional:_x000a_ El encabezado con autor y descripción, sumado a los comentarios _x000a_numerados, facilita enormemente la lectura y el mantenimiento del _x000a_código. Es una excelente práctica de &quot;Clean Code&quot;.Dominio de Listas: El uso de .sort() para ordenar y .append() para construir la nueva lista demuestra que tienen claros los conceptos de mutabilidad y persistencia de datos.Lógica de Negocio: El cálculo del IVA y la presentación de resultados son precisos.Observación de Autogestión (Importante para el Parcial):Al igual que otros grupos, noté que no utilizaron los datos exactos de la imagen ([100, 20, 50, 80, 10]), sino valores en miles.Advertencia:_x000a_ Para el parcial de este miércoles, la rigurosidad con los datos del _x000a_enunciado es obligatoria. Si el examen pide procesar una lista _x000a_específica, deben usar esa y no otra, ya que en un entorno financiero _x000a_real, cambiar los datos de entrada invalidaría el reporte.Motivación: Están_x000a_ demostrando una estructura mental muy organizada para programar. Sigan _x000a_así y aseguren esa misma atención al detalle en el parcial presencial. _x000a_¡Muchos éxitos!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Documentación y FormatoCódigo comentado y uso correcto de celdas en el Notebook.10.010.0TOTAL50.050.0Diego Mauricio Zuluaga Rodríguez Profesor - Departamento de Economía Universidad de La Sabana"/>
    <n v="5"/>
    <n v="5"/>
    <n v="1"/>
  </r>
  <r>
    <x v="39"/>
    <s v="Alan David"/>
    <s v="Rossoff Vanegas"/>
    <s v="alanrova@unisabana.edu.co"/>
    <x v="1"/>
    <d v="2026-02-25T00:00:00"/>
    <x v="1"/>
    <s v="Devuelta"/>
    <s v="No hay archivo adjunto."/>
    <n v="0"/>
    <n v="5"/>
    <n v="0"/>
  </r>
  <r>
    <x v="40"/>
    <s v="Diego Alejandro"/>
    <s v="Hermida Limas"/>
    <s v="diegoherli@unisabana.edu.co"/>
    <x v="1"/>
    <d v="2026-02-25T00:00:00"/>
    <x v="1"/>
    <s v="Devuelta"/>
    <s v="Retroalimentación de la Entrega: El Organizador de Precios (Bono)Calificación Final: 50/50 Incentivo Académico: Se otorgan +0.5 unidades para el Primer Parcial del 25 de febrero.Comentarios del Profesor: Equipo,_x000a_ han ejecutado el ejercicio con total precisión técnica. A diferencia de_x000a_ otros grupos, ustedes mantuvieron los datos exactos solicitados en el _x000a_enunciado, lo cual demuestra una lectura rigurosa de los requerimientos.Puntos Destacados:Rigurosidad de Datos: El uso de la lista [100, 20, 50, 80, 10] es correcto.Uso de Métodos: Aplicaron .sort() de manera eficiente (in-place) y el método .append() dentro del ciclo para construir la nueva colección.Lógica Aritmética: El cálculo del IVA desglosado (precio * 0.19 y luego la suma) es claro y fácil de auditar.Observación de Vigilancia (Autogestión):Mateo Perez Daza y Simon Restrepo figuran en la lista oficial. Sin embargo, Diego Limas no aparece en el listado de 41 estudiantes inscritos_x000a_ en el curso &quot;Programación y Decisiones&quot;. Por favor, verifiquen si hay _x000a_un error en el nombre o si el estudiante debe regularizar su situación _x000a_académica.Motivación: El_x000a_ código es limpio y funcional. Están demostrando el dominio necesario _x000a_sobre las colecciones de datos para enfrentar el parcial de este _x000a_miércoles. Mantengan esa atención al detalle.Rúbrica de CalificaciónCriterio de EvaluaciónRequisito TécnicoPuntaje MáximoPuntaje ObtenidoOrdenamientoUso correcto del método .sort() sobre la lista original.15.015.0Automatización (For)Implementación correcta del bucle para procesar los datos.15.015.0Creación de ListasUso efectivo de .append() para la nueva lista precios_con_IVA.10.010.0ResultadosImpresión clara y correcta de ambas listas (original y final).10.010.0TOTAL50.050.0Diego Mauricio Zuluaga Rodríguez Profesor - Departamento de Economía Universidad de La Sabana"/>
    <n v="5"/>
    <n v="5"/>
    <n v="1"/>
  </r>
  <r>
    <x v="0"/>
    <s v="Paula Andrea"/>
    <s v="Arciniegas Cardenas"/>
    <s v="paulaarcca@unisabana.edu.co"/>
    <x v="2"/>
    <d v="2026-02-25T00:00:00"/>
    <x v="1"/>
    <s v="Devuelta"/>
    <s v="Retroalimentación de la Entrega: Sistema de Login Seguro (Bono)Calificación Final: 50/50 Incentivo Académico: Se otorgan +0.5 unidades para el Primer Parcial del 25 de febrero.Comentarios del Profesor: Excelente_x000a_ trabajo, Valeria y Paula. Han presentado una solución limpia, bien _x000a_estructurada y que cumple rigurosamente con todos los parámetros _x000a_técnicos solicitados.Puntos Destacados:Documentación Profesional: La celda de Markdown inicial es ejemplar; describe el problema, los objetivos y los integrantes de forma impecable.Lógica de Control: El uso del ciclo while y la sentencia break es preciso. El programa se detiene exactamente cuando debe, optimizando el flujo de ejecución.Manejo de Estados: La validación de restantes &amp;gt; 0_x000a_ dentro del bloque de fallo permite una comunicación clara con el _x000a_usuario, diferenciando entre un error común y el bloqueo final de la _x000a_cuenta.Sugerencia Técnica: El código es sólido. Como buena práctica adicional, podrían explorar el uso de f-strings para los mensajes de salida, por ejemplo: print(f&quot;Intentos restantes: {restantes}&quot;), para mantener la consistencia con lo visto en las últimas sesiones.Motivación: Han_x000a_ demostrado que comprenden cómo aplicar la lógica de programación a un _x000a_caso de uso real de seguridad bancaria. Esta capacidad de estructurar el_x000a_ pensamiento antes de codificar es lo que evaluaré con mayor rigor en el_x000a_ parcial presencial. ¡Sigan 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
    <s v="Sofia"/>
    <s v="Giraldo Pico"/>
    <s v="sofiagipi@unisabana.edu.co"/>
    <x v="2"/>
    <d v="2026-02-25T00:00:00"/>
    <x v="1"/>
    <s v="Devuelta"/>
    <s v="Retroalimentación de la Entrega: Sistema de Login Seguro (Bono)Estudiante: Sofia Giraldo Pico Calificación Final: 1.0 / 5.0 (10/50 puntos) Incentivo Académico: Se otorgan +0.1 unidades (proporcional a la nota) para el Primer Parcial.Comentarios del Profesor: Sofía, a nivel técnico tu código es impecable. La lógica del ciclo while, el uso del break_x000a_ y el cálculo de los intentos restantes están perfectamente _x000a_estructurados. Demuestras un dominio claro de las estructuras de _x000a_control.El motivo de la calificación:_x000a_ Como establecimos en nuestro contrato pedagógico (Reglas de Oro) y en _x000a_las metas del Departamento de Economía, la competencia de Autogestión y el cumplimiento estricto de los cronogramas son innegociables. Tu entrega se registró con 8 horas de retraso.Motivación: En_x000a_ el mundo de los negocios y las finanzas, entregar un modelo perfecto _x000a_fuera de tiempo puede significar perder una ventana de inversión. Tienes_x000a_ un talento evidente para la programación y la lógica; ahora el reto es _x000a_acompañar esa habilidad técnica con una gestión del tiempo impecable. _x000a_¡Ajusta tus cronogramas y sigue adelante, que el potencial lo tienes!Rúbrica de CalificaciónCriterio de EvaluaciónRequisito TécnicoPuntaje BaseSeguridadDefinición de variable contrasena_correcta.5.0Control de IntentosImplementación de while limitado a 3 intentos.10.0InteracciónUso correcto de input() para capturar la clave.5.0Lógica de ÉxitoUso de if, print(&quot;Bienvenido&quot;) y break.10.0Lógica de FalloCálculo y muestra de intentos restantes.10.0BloqueoMensaje &quot;Cuenta Bloqueada&quot; al agotar intentos.10.0Subtotal TécnicoEl código cumple con todos los requisitos.50.0PENALIDAD AUTOGESTIÓNRetraso de 8 horas en la entrega en plataforma.- 40.0TOTAL OBTENIDO10.0 / 50.0 (1.0)Diego Mauricio Zuluaga Rodríguez Profesor - Departamento de Economía Universidad de La Sabana"/>
    <n v="1"/>
    <n v="5"/>
    <n v="0.2"/>
  </r>
  <r>
    <x v="2"/>
    <s v="Valery"/>
    <s v="Linares Hernandez"/>
    <s v="valerylihe@unisabana.edu.co"/>
    <x v="2"/>
    <d v="2026-02-25T00:00:00"/>
    <x v="1"/>
    <s v="Devuelta"/>
    <s v="Retroalimentación de la Entrega: Sistema de Login Seguro (Bono)Calificación Final: 50/50 Incentivo Académico: Se otorgan +0.5 unidades para el Primer Parcial del 25 de febrero.Comentarios del Profesor: Excelente_x000a_ trabajo, María José. El código cumple con rigor técnico cada uno de los_x000a_ requisitos solicitados en el reto. La lógica de control de intentos _x000a_está bien estructurada y el uso de herramientas de interrupción de flujo_x000a_ es el adecuado.Valery tiene 2 puntos menos por entregar 1 hora tarde.  Puntos Destacados:Estructura de Control: El uso del ciclo while con la condición de parada basada en el contador de intentos es correcto.Uso de break:_x000a_ Implementaste correctamente la salida anticipada del bucle al validar _x000a_la contraseña, lo cual es una práctica de eficiencia en programación.Cálculo de Intentos: La lógica para informar al usuario cuántas oportunidades le quedan es precisa y mejora la experiencia de usuario (UX).Presentación: El archivo .ipynb está bien organizado, con celdas de Markdown que identifican claramente a las autoras.Motivación: Han_x000a_ demostrado que dominan la lógica de condicionales anidados dentro de _x000a_bucles. Esta es la base para los retos más complejos que enfrentaremos _x000a_en el segundo corte. Sigan con este nivel de compromiso y preparación _x000a_para asegurar la excelencia en el parcial presencial.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3"/>
    <n v="5"/>
    <n v="0.6"/>
  </r>
  <r>
    <x v="3"/>
    <s v="Nicolas"/>
    <s v="Torres Calderon"/>
    <s v="nicolastorca@unisabana.edu.co"/>
    <x v="2"/>
    <d v="2026-02-25T00:00:00"/>
    <x v="1"/>
    <s v="Devuelta"/>
    <s v="Retroalimentación de la Entrega: Sistema de Login Seguro (Bono)Calificación Final: 50/50 Incentivo Académico: Se otorgan +0.5 unidades para el Primer Parcial del 25 de febrero a cada integrante del grupo.Comentarios del Profesor: Excelente_x000a_ trabajo, equipo. Han implementado una solución robusta que cumple con _x000a_todos los requerimientos técnicos y de seguridad lógica solicitados.Puntos Destacados:Lógica de Control: El uso del bucle while junto con el contador de intentos es impecable.Eficiencia: La implementación del break garantiza que el programa no siga consumiendo recursos una vez que el usuario se ha autenticado correctamente.Experiencia de Usuario (UX): El mensaje dinámico que informa los intentos restantes es una excelente práctica en el desarrollo de aplicaciones financieras.Documentación: El código está bien comentado, lo que facilita la trazabilidad y el mantenimiento del script.Motivación: Han_x000a_ demostrado que dominan las estructuras de control básicas. Esta base _x000a_lógica es fundamental para el parcial presencial. Sigan trabajando con _x000a_esa rigurosidad técnica; los espero el miércoles listos para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4"/>
    <s v="Cristian"/>
    <s v="Bermudez"/>
    <s v="cristianbe@unisabana.edu.co"/>
    <x v="2"/>
    <d v="2026-02-25T00:00:00"/>
    <x v="1"/>
    <s v="Devuelta"/>
    <s v="Retroalimentación de la Entrega: Sistema de Login Seguro (Bono)Calificación Final: 50/50 Incentivo Académico: Se otorgan +0.5 unidades para el Primer Parcial del 25 de febrero a cada integrante del grupo.Comentarios del Profesor: Excelente_x000a_ trabajo, equipo. Han implementado una solución robusta que cumple con _x000a_todos los requerimientos técnicos y de seguridad lógica solicitados.Puntos Destacados:Lógica de Control: El uso del bucle while junto con el contador de intentos es impecable.Eficiencia: La implementación del break garantiza que el programa no siga consumiendo recursos una vez que el usuario se ha autenticado correctamente.Experiencia de Usuario (UX): El mensaje dinámico que informa los intentos restantes es una excelente práctica en el desarrollo de aplicaciones financieras.Documentación: El código está bien comentado, lo que facilita la trazabilidad y el mantenimiento del script.Motivación: Han_x000a_ demostrado que dominan las estructuras de control básicas. Esta base _x000a_lógica es fundamental para el parcial presencial. Sigan trabajando con _x000a_esa rigurosidad técnica; los espero el miércoles listos para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5"/>
    <s v="Mariana"/>
    <s v="Carmona Romero"/>
    <s v="marianacarrom@unisabana.edu.co"/>
    <x v="2"/>
    <d v="2026-02-25T00:00:00"/>
    <x v="1"/>
    <s v="Devuelta"/>
    <s v="No hay archivo adjunto."/>
    <n v="0"/>
    <n v="5"/>
    <n v="0"/>
  </r>
  <r>
    <x v="6"/>
    <s v="Mariana"/>
    <s v="Pena Rodriguez"/>
    <s v="marianapero@unisabana.edu.co"/>
    <x v="2"/>
    <d v="2026-02-25T00:00:00"/>
    <x v="1"/>
    <s v="Devuelta"/>
    <s v="Retroalimentación de la Entrega: Sistema de Login Seguro (Bono)Calificación Final: 50/50 Incentivo Académico: Se otorgan +0.5 unidades para el Primer Parcial del 25 de febrero.Comentarios del Profesor: Excelente ejecución, Arianne. Has demostrado un dominio claro de la estructura de control while y el uso de condicionales anidados para gestionar la seguridad de una aplicación.Puntos Destacados:Control de Flujo: El uso del break es correcto y eficiente; permite que el programa finalice inmediatamente al acertar, sin desperdiciar ciclos de procesamiento.Lógica Matemática: Calculaste correctamente los intentos_restantes restando el acumulador del máximo permitido, lo cual es vital para la experiencia del usuario (UX).Autogestión: El archivo está bien estructurado, con una celda de Markdown clara y comentarios que explican cada requerimiento del script.Sugerencia Técnica: Has incrementado el contador intentos += 1_x000a_ al inicio del bloque. Esto es válido, pero recuerda que el orden de los_x000a_ factores altera el resultado de la resta si no se tiene cuidado. En tu _x000a_caso, la lógica es impecable.Motivación: Este_x000a_ ejercicio es un excelente simulacro para el parcial. Si mantienes esta _x000a_atención al detalle y esta capacidad para estructurar soluciones paso a _x000a_paso, obtendrás un gran resultado en la evaluación presencial. ¡Sigue _x000a_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7"/>
    <s v="Isabella"/>
    <s v="Carranza Tapiero"/>
    <s v="isabellacata@unisabana.edu.co"/>
    <x v="2"/>
    <d v="2026-02-25T00:00:00"/>
    <x v="1"/>
    <s v="Devuelta"/>
    <s v="Retroalimentación de la Entrega: Sistema de Login Seguro (Bono)Grupo: Isabella Carranza Tapiero Calificación Final: 35/50 Incentivo Académico: Se otorgan +0.35 unidades (proporcional a la calificación) para el Primer Parcial.Comentarios del Profesor: Equipo,_x000a_ han demostrado tener clara la lógica de negocio para un sistema de _x000a_validación, pero han fallado en el seguimiento estricto de las _x000a_instrucciones técnicas (competencia de Autogestión).Puntos Fuertes:La lógica matemática para descontar los intentos (intentos -= 1) y las validaciones de éxito/fallo (if/else) son correctas.El uso del break está bien implementado para detener el proceso al encontrar la contraseña correcta.Oportunidades de Mejora (Por qué perdieron puntos):No usaron el ciclo while: La instrucción exigía explícitamente el uso de while. Ustedes utilizaron un ciclo for iterando sobre una lista predefinida.No usaron input(): El sistema debía ser interactivo. Al &quot;quemar&quot; (hardcodear) las respuestas en la lista entradas =[&quot;24ss3&quot;, &quot;3232&quot;, &quot;1234&quot;], eliminaron la interacción con el usuario. Entiendo que en algunos entornos de Jupyter el input()_x000a_ puede ser problemático si no se ejecuta bien, pero en el entorno de _x000a_clase es un requisito obligatorio para simular software real.Motivación: El_x000a_ pensamiento computacional está ahí y funciona. Para el parcial, _x000a_recuerden que leer y aplicar los requerimientos técnicos al pie de la _x000a_letra es tan importante como que el código corra sin errores. Ajusten _x000a_este detalle de atención a las instrucciones y les irá muy bien.Rúbrica de CalificaciónCriterio de EvaluaciónRequisito TécnicoPuntaje MáximoPuntaje ObtenidoSeguridadDefinición de variable contraseña_correcta.5.05.0Control de IntentosImplementación de while limitado a 3 intentos.10.00.0 (Usaron for)InteracciónUso correcto de input() para capturar la clave.5.00.0 (Usaron lista fija)Lógica de ÉxitoUso de if, print(&quot;Bienvenido&quot;) y break.10.010.0Lógica de FalloCálculo y muestra de intentos restantes.10.010.0BloqueoMensaje &quot;Cuenta Bloqueada&quot; al agotar intentos.10.010.0TOTAL50.035.0Diego Mauricio Zuluaga Rodríguez Profesor - Departamento de Economía Universidad de La Sabana"/>
    <n v="3.5"/>
    <n v="5"/>
    <n v="0.7"/>
  </r>
  <r>
    <x v="8"/>
    <s v="Samuel David"/>
    <s v="Lozano Holguin"/>
    <s v="samuelloho@unisabana.edu.co"/>
    <x v="2"/>
    <d v="2026-02-25T00:00:00"/>
    <x v="1"/>
    <s v="Devuelta"/>
    <s v="Retroalimentación de la Entrega: Sistema de Login Seguro (Bono)Calificación Final: 50/50 Incentivo Académico: Se otorgan +0.5 unidades para el Primer Parcial del 25 de febrero a cada integrante.Comentarios del Profesor: Buen_x000a_ trabajo, equipo. Han implementado una lógica inversa interesante al _x000a_inicializar los intentos en 3 y restar en lugar de sumar, lo cual es muy_x000a_ eficiente para este tipo de algoritmos de seguridad.Puntos Destacados:Eficiencia: El uso de while intentos_restantes &amp;gt; 0 es una forma muy limpia de controlar el flujo.Claridad: El código está bien estructurado y los mensajes al usuario son informativos.Uso de f-strings: Correcta implementación para mostrar los intentos restantes de forma dinámica.Observaciones Técnicas (Oportunidades de Mejora):Compatibilidad: Han usado la letra &quot;ñ&quot; en la variable contraseña_correcta._x000a_ Aunque Python 3 lo permite, la buena práctica internacional en _x000a_programación sugiere usar solo caracteres del alfabeto inglés (ej. contrasena_correcta) para evitar errores en diferentes sistemas operativos o servidores.Ortografía: Tienen un pequeño error de digitación en el mensaje de entrada (&quot;inrese&quot; en lugar de &quot;ingrese&quot;). Recuerden que la interfaz es lo que ve el cliente final.Motivación: Han_x000a_ demostrado que comprenden cómo romper un ciclo y cómo gestionar _x000a_estados. Esta lógica de validación es la base de sistemas mucho más _x000a_complejos. Mantengan este nivel de atención para el parcial presencial. _x000a_¡Felicitaciones por el bono!Rúbrica de CalificaciónCriterio de EvaluaciónRequisito TécnicoPuntaje MáximoPuntaje ObtenidoSeguridadDefinición de variable contraseña_correcta.5.05.0Control de IntentosImplementación de while con lógica de decremento.10.010.0InteracciónUso de input() con información dinámica.5.05.0Lógica de ÉxitoUso de if, print(&quot;Bienvenido&quot;) y break.10.010.0Lógica de FalloResta de intentos y muestra de saldo restante.10.010.0BloqueoMensaje &quot;Cuenta Bloqueada&quot; al llegar a 0.10.010.0TOTAL50.050.0Diego Mauricio Zuluaga Rodríguez Profesor - Departamento de Economía Universidad de La Sabana"/>
    <n v="5"/>
    <n v="5"/>
    <n v="1"/>
  </r>
  <r>
    <x v="9"/>
    <s v="Sebastian"/>
    <s v="Vanoy Gutierrez"/>
    <s v="sebastianvagu@unisabana.edu.co"/>
    <x v="2"/>
    <d v="2026-02-25T00:00:00"/>
    <x v="1"/>
    <s v="Devuelta"/>
    <s v="Retroalimentación de la Entrega: Sistema de Login Seguro (Bono)Calificación Final: 50/50 Incentivo Académico: Se otorgan +0.5 unidades para el Primer Parcial del 25 de febrero a cada integrante.Comentarios del Profesor: Buen_x000a_ trabajo, equipo. Han implementado una lógica inversa interesante al _x000a_inicializar los intentos en 3 y restar en lugar de sumar, lo cual es muy_x000a_ eficiente para este tipo de algoritmos de seguridad.Puntos Destacados:Eficiencia: El uso de while intentos_restantes &amp;gt; 0 es una forma muy limpia de controlar el flujo.Claridad: El código está bien estructurado y los mensajes al usuario son informativos.Uso de f-strings: Correcta implementación para mostrar los intentos restantes de forma dinámica.Observaciones Técnicas (Oportunidades de Mejora):Compatibilidad: Han usado la letra &quot;ñ&quot; en la variable contraseña_correcta._x000a_ Aunque Python 3 lo permite, la buena práctica internacional en _x000a_programación sugiere usar solo caracteres del alfabeto inglés (ej. contrasena_correcta) para evitar errores en diferentes sistemas operativos o servidores.Ortografía: Tienen un pequeño error de digitación en el mensaje de entrada (&quot;inrese&quot; en lugar de &quot;ingrese&quot;). Recuerden que la interfaz es lo que ve el cliente final.Motivación: Han_x000a_ demostrado que comprenden cómo romper un ciclo y cómo gestionar _x000a_estados. Esta lógica de validación es la base de sistemas mucho más _x000a_complejos. Mantengan este nivel de atención para el parcial presencial. _x000a_¡Felicitaciones por el bono!Rúbrica de CalificaciónCriterio de EvaluaciónRequisito TécnicoPuntaje MáximoPuntaje ObtenidoSeguridadDefinición de variable contraseña_correcta.5.05.0Control de IntentosImplementación de while con lógica de decremento.10.010.0InteracciónUso de input() con información dinámica.5.05.0Lógica de ÉxitoUso de if, print(&quot;Bienvenido&quot;) y break.10.010.0Lógica de FalloResta de intentos y muestra de saldo restante.10.010.0BloqueoMensaje &quot;Cuenta Bloqueada&quot; al llegar a 0.10.010.0TOTAL50.050.0Diego Mauricio Zuluaga Rodríguez Profesor - Departamento de Economía Universidad de La Sabana"/>
    <n v="5"/>
    <n v="5"/>
    <n v="1"/>
  </r>
  <r>
    <x v="10"/>
    <s v="Jose Daniel"/>
    <s v="Escobar Hurtado"/>
    <s v="joseeshu@unisabana.edu.co"/>
    <x v="2"/>
    <d v="2026-02-25T00:00:00"/>
    <x v="1"/>
    <s v="Devuelta"/>
    <s v="Retroalimentación de la Entrega: Sistema de Login Seguro (Bono)Calificación Final: 50/50 Incentivo Académico: Se otorgan +0.5 unidades a cada integrante, las cuales se aplicarán a su nota del Primer Parcial presentado este 25 de febrero.Comentarios del Profesor: Buen_x000a_ trabajo, equipo. Han logrado implementar una solución funcional y _x000a_robusta que cumple con los requisitos de seguridad solicitados.Puntos Destacados:Buenas Prácticas (UX/Seguridad): El uso del método .strip() en el input es un excelente detalle de programación defensiva. Evita que un espacio en blanco accidental genere un error de contraseña.Control de Flujo: El uso del break para el caso de éxito está perfectamente implementado.Interacción con el Usuario: Los mensajes personalizados como &quot;¡Cuidado! Solo te queda un intento&quot; demuestran que pensaron en la experiencia del usuario final.Oportunidades de Mejora (Sanity Check):En la línea 14, utilizaron un continue después de comprobar que los intentos llegaron a 3. Aunque no genera un error, es redundante. Como la variable intentos ya vale 3, al volver al inicio del while (intentos &amp;lt; 3), el ciclo se romperá naturalmente.El requerimiento pedía imprimir exactamente &quot;Cuenta Bloqueada&quot;, y ustedes usaron &quot;Acceso denegado&quot;._x000a_ En el mundo laboral, si el cliente pide un texto específico para la _x000a_interfaz, debemos respetarlo al pie de la letra. Sin embargo, la lógica _x000a_es correcta y tienen la nota completa.Motivación: El_x000a_ código demuestra que entienden la lógica de los ciclos y las _x000a_condiciones. Esta es la base para construir sistemas más complejos en el_x000a_ segundo corte. ¡Sigan trabajando con este nivel de detalle en equipo!Rúbrica de CalificaciónCriterio de EvaluaciónRequisito TécnicoPuntaje MáximoPuntaje ObtenidoSeguridadDefinición de variable contraseña_correcta.5.05.0Control de IntentosImplementación de while limitado a 3 intentos.10.010.0InteracciónUso correcto de input() (con excelente adición de .strip()).5.05.0Lógica de ÉxitoUso de if, mensaje de bienvenida y break.10.010.0Lógica de FalloCálculo y muestra de intentos realizados/restantes.10.010.0BloqueoMensaje de denegación al agotar intentos.10.010.0TOTAL50.050.0Diego Mauricio Zuluaga Rodríguez Profesor - Departamento de Economía Universidad de La Sabana"/>
    <n v="5"/>
    <n v="5"/>
    <n v="1"/>
  </r>
  <r>
    <x v="11"/>
    <s v="Maria Jose"/>
    <s v="Botero Galviz"/>
    <s v="mariabotga@unisabana.edu.co"/>
    <x v="2"/>
    <d v="2026-02-25T00:00:00"/>
    <x v="1"/>
    <s v="Devuelta"/>
    <s v="Retroalimentación de la Entrega: Sistema de Login Seguro (Bono)Calificación Final: 50/50 Incentivo Académico: Se otorgan +0.5 unidades para el Primer Parcial del 25 de febrero.Comentarios del Profesor: Excelente_x000a_ trabajo, María José. El código cumple con rigor técnico cada uno de los_x000a_ requisitos solicitados en el reto. La lógica de control de intentos _x000a_está bien estructurada y el uso de herramientas de interrupción de flujo_x000a_ es el adecuado.Puntos Destacados:Estructura de Control: El uso del ciclo while con la condición de parada basada en el contador de intentos es correcto.Uso de break:_x000a_ Implementaste correctamente la salida anticipada del bucle al validar _x000a_la contraseña, lo cual es una práctica de eficiencia en programación.Cálculo de Intentos: La lógica para informar al usuario cuántas oportunidades le quedan es precisa y mejora la experiencia de usuario (UX).Presentación: El archivo .ipynb está bien organizado, con celdas de Markdown que identifican claramente a las autoras.Motivación: Han_x000a_ demostrado que dominan la lógica de condicionales anidados dentro de _x000a_bucles. Esta es la base para los retos más complejos que enfrentaremos _x000a_en el segundo corte. Sigan con este nivel de compromiso y preparación _x000a_para asegurar la excelencia en el parcial presencial.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2"/>
    <s v="Maria Juliana"/>
    <s v="Mejia Quintero"/>
    <s v="mariamequ@unisabana.edu.co"/>
    <x v="2"/>
    <d v="2026-02-25T00:00:00"/>
    <x v="1"/>
    <s v="Devuelta"/>
    <s v="Retroalimentación de la Entrega: Sistema de Login Seguro (Bono)Calificación Final: 50/50 Incentivo Académico: Se otorgan +0.5 unidades para el Primer Parcial a las tres integrantes del grupo.Comentarios del Profesor: El código cumple a cabalidad con todos los requerimientos técnicos solicitados. Han estructurado correctamente el ciclo while y la lógica de validación con if/else.Puntos Destacados:Funcionalidad: El sistema de bloqueo y el conteo de intentos restantes operan de manera exacta. El uso del break está correctamente posicionado.Autogestión: El código está bien comentado, lo que facilita la lectura de la lógica de negocio.⚠️ ADVERTENCIA DE CONTROL DE CALIDAD (Sanity Check): Como_x000a_ su profesor, es mi deber ser proactivo y vigilante. He notado que la _x000a_estructura lógica de su código, la ubicación exacta de los incrementos (intentos += 1) y los nombres específicos de las variables (intento_usuario, intentos_restantes) son idénticos a la entrega de otra compañera (Arianne Amorocho), cambiando únicamente el string de la contraseña.Al ser una tarea de bono y un algoritmo corto, la calificación se mantiene en 50/50. Sin embargo, les recuerdo enfáticamente la Regla de Oro para el Parcial: Cualquier similitud exacta en la estructura lógica o nombres de variables entre parciales será considerado fraude (0.0)._x000a_ Las invito a que en las evaluaciones construyan la lógica desde cero _x000a_para garantizar el desarrollo real de su pensamiento computacional.Motivación: Tienen_x000a_ la capacidad técnica para dominar Python. Confíen en su propio análisis_x000a_ y sigan practicando. Si aplican esta misma funcionalidad y atención al _x000a_detalle en sus propios desarrollos, les irá excelente en las próximas _x000a_evalu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3"/>
    <s v="Alejandra"/>
    <s v="Leon Vargas"/>
    <s v="alejandraleva@unisabana.edu.co"/>
    <x v="2"/>
    <d v="2026-02-25T00:00:00"/>
    <x v="1"/>
    <s v="Devuelta"/>
    <s v="Retroalimentación de la Entrega: Sistema de Login Seguro (Bono)Calificación Final: 10/50 (1.0) Incentivo Académico: No se otorgan unidades extra para el parcial debido a entrega extemporánea.Comentarios del Profesor: Alejandra, el código desarrollado es funcional y cumple con la lógica técnica solicitada (uso de while, break y validación de intentos). No obstante, la calificación se ve afectada por los siguientes puntos de Autogestión:Puntualidad: La tarea fue entregada con 2 horas de retraso._x000a_ Según las reglas establecidas en el Syllabus y el contrato pedagógico, _x000a_la puntualidad es un requisito innegociable para la validez de los _x000a_entregables, especialmente en actividades que otorgan beneficios sobre _x000a_el parcial.Formato: No incluiste la celda de Markdown inicial con tus datos y la descripción del problema, lo cual es un estándar obligatorio de presentación en este curso.Motivación: Técnicamente_x000a_ vas por buen camino; el script demuestra que entiendes la lógica de _x000a_control. Te invito a mejorar tu organización del tiempo para futuras _x000a_entregas. La excelencia no solo está en el código, sino en el _x000a_cumplimiento de los compromisos profesional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Puntualidad y FormatoEntrega a tiempo y uso de Markdown.Penalización-40.0TOTAL50.010.0Diego Mauricio Zuluaga Rodríguez Profesor - Departamento de Economía Universidad de La Sabana"/>
    <n v="1"/>
    <n v="5"/>
    <n v="0.2"/>
  </r>
  <r>
    <x v="14"/>
    <s v="Alessandro Di Mauro"/>
    <s v="Bonilla Correa"/>
    <s v="alessandroboco@unisabana.edu.co"/>
    <x v="2"/>
    <d v="2026-02-25T00:00:00"/>
    <x v="1"/>
    <s v="Devuelta"/>
    <s v="Retroalimentación de la Entrega: Sistema de Login Seguro (Bono)Calificación Final: 50/50 Incentivo Académico: Se otorgan +0.5 unidades para el Primer Parcial del 25 de febrero a los integrantes: Alessandro Bonilla, Gabriela Ruiz y Maria Jose Huertas.Comentarios del Profesor: Excelente_x000a_ trabajo de grupo. Han implementado una solución robusta que cumple con _x000a_todos los requisitos de seguridad y control de flujo solicitados.Puntos Destacados:Lógica de Control: El uso del bucle while con la condición intentos &amp;lt; max_intentos es la forma más limpia de gestionar este tipo de procesos.Uso del break: Es impecable. Al colocar el break_x000a_ inmediatamente después del acierto, garantizan que el programa no siga _x000a_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_x000a_ es fundamental para los retos que vienen en el segundo corte. Han _x000a_demostrado estar listos para aplicar lógica de programación en problemas_x000a_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5"/>
    <s v="Arianne Mariana"/>
    <s v="Amorocho Quiroga"/>
    <s v="arianneamqu@unisabana.edu.co"/>
    <x v="2"/>
    <d v="2026-02-25T00:00:00"/>
    <x v="1"/>
    <s v="Devuelta"/>
    <s v="Retroalimentación de la Entrega: Sistema de Login Seguro (Bono)Calificación Final: 50/50 Incentivo Académico: Se otorgan +0.5 unidades para el Primer Parcial del 25 de febrero.Comentarios del Profesor: Excelente ejecución, Arianne. Has demostrado un dominio claro de la estructura de control while y el uso de condicionales anidados para gestionar la seguridad de una aplicación.Puntos Destacados:Control de Flujo: El uso del break es correcto y eficiente; permite que el programa finalice inmediatamente al acertar, sin desperdiciar ciclos de procesamiento.Lógica Matemática: Calculaste correctamente los intentos_restantes restando el acumulador del máximo permitido, lo cual es vital para la experiencia del usuario (UX).Autogestión: El archivo está bien estructurado, con una celda de Markdown clara y comentarios que explican cada requerimiento del script.Sugerencia Técnica: Has incrementado el contador intentos += 1_x000a_ al inicio del bloque. Esto es válido, pero recuerda que el orden de los_x000a_ factores altera el resultado de la resta si no se tiene cuidado. En tu _x000a_caso, la lógica es impecable.Motivación: Este_x000a_ ejercicio es un excelente simulacro para el parcial. Si mantienes esta _x000a_atención al detalle y esta capacidad para estructurar soluciones paso a _x000a_paso, obtendrás un gran resultado en la evaluación presencial. ¡Sigue _x000a_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6"/>
    <s v="Maria Juliana"/>
    <s v="Herrera Pulido"/>
    <s v="mariahepu@unisabana.edu.co"/>
    <x v="2"/>
    <d v="2026-02-25T00:00:00"/>
    <x v="1"/>
    <s v="Devuelta"/>
    <s v="Retroalimentación de la Entrega: Sistema de Login Seguro (Bono)Calificación Final: 50/50 Incentivo Académico: Se otorgan +0.5 unidades para el Primer Parcial a las tres integrantes del grupo.Comentarios del Profesor: El código cumple a cabalidad con todos los requerimientos técnicos solicitados. Han estructurado correctamente el ciclo while y la lógica de validación con if/else.Puntos Destacados:Funcionalidad: El sistema de bloqueo y el conteo de intentos restantes operan de manera exacta. El uso del break está correctamente posicionado.Autogestión: El código está bien comentado, lo que facilita la lectura de la lógica de negocio.⚠️ ADVERTENCIA DE CONTROL DE CALIDAD (Sanity Check): Como_x000a_ su profesor, es mi deber ser proactivo y vigilante. He notado que la _x000a_estructura lógica de su código, la ubicación exacta de los incrementos (intentos += 1) y los nombres específicos de las variables (intento_usuario, intentos_restantes) son idénticos a la entrega de otra compañera (Arianne Amorocho), cambiando únicamente el string de la contraseña.Al ser una tarea de bono y un algoritmo corto, la calificación se mantiene en 50/50. Sin embargo, les recuerdo enfáticamente la Regla de Oro para el Parcial: Cualquier similitud exacta en la estructura lógica o nombres de variables entre parciales será considerado fraude (0.0)._x000a_ Las invito a que en las evaluaciones construyan la lógica desde cero _x000a_para garantizar el desarrollo real de su pensamiento computacional.Motivación: Tienen_x000a_ la capacidad técnica para dominar Python. Confíen en su propio análisis_x000a_ y sigan practicando. Si aplican esta misma funcionalidad y atención al _x000a_detalle en sus propios desarrollos, les irá excelente en las próximas _x000a_evalu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7"/>
    <s v="Simon Gustavo"/>
    <s v="Restrepo Alvarez"/>
    <s v="simonreal@unisabana.edu.co"/>
    <x v="2"/>
    <d v="2026-02-25T00:00:00"/>
    <x v="1"/>
    <s v="Devuelta"/>
    <s v="Retroalimentación de la Entrega: Sistema de Login Seguro (Bono)Calificación Final: 50/50 Incentivo Académico: Se otorgan +0.5 unidades para el Primer Parcial del 25 de febrero a cada integrante.Comentarios del Profesor: Excelente trabajo grupal. El código es limpio, funcional y cumple rigurosamente con todos los requisitos técnicos solicitados.Puntos Destacados:Lógica de Control: El uso del ciclo while con la condición intentos &amp;lt; 3 es preciso.Manejo de Flujo: Implementaron correctamente el break para finalizar el proceso tras un acierto, evitando ejecuciones innecesarias.Documentación:_x000a_ Es notable el esfuerzo por comentar cada línea de código. Esto _x000a_demuestra que comprenden no solo qué hace el programa, sino por qué lo _x000a_hace (Autogestión).Experiencia de Usuario (UX): El uso de emojis y mensajes claros facilita la interacción con el sistema bancario simulado.Motivación: Han_x000a_ demostrado una base sólida en estructuras de control. Sigan practicando_x000a_ la lógica de condicionales anidados, ya que será un componente _x000a_fundamental en el parcial presencial. ¡Muy bien hech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8"/>
    <s v="Daniel Felipe"/>
    <s v="Camacho Pedraza"/>
    <s v="danielcampe@unisabana.edu.co"/>
    <x v="2"/>
    <d v="2026-02-25T00:00:00"/>
    <x v="1"/>
    <s v="Devuelta"/>
    <s v="Retroalimentación de la Entrega: Sistema de Login Seguro (Bono)Calificación Final: 22/50 Incentivo Académico:_x000a_ No se otorgan las unidades extra (+0.5) debido a que el script no es _x000a_funcional en el escenario de fallo (crea un bucle infinito).Comentarios del Profesor: Equipo, su código tiene un error lógico crítico causado por la indentación (los espacios a la izquierda). En Python, la indentación define qué bloque de código pertenece a qué estructura.El Error (Bucle Infinito): Su bloque else: está alineado con el while, no con el if. Esto crea una estructura while-else (válida en Python, pero incorrecta para este caso).Consecuencia: Si el usuario ingresa una contraseña incorrecta, el programa vuelve al inicio del while. Como la variable intentos nunca se incrementó dentro del ciclo, la condición 0 &amp;lt; 3 siempre será Verdadera. El programa pedirá la contraseña infinitamente y nunca ejecutará la lógica de fallo ni el bloqueo de cuenta.Autogestión y Sanity Check:_x000a_ Este error demuestra que no probaron el &quot;camino de fallo&quot; antes de _x000a_entregar. Un programador y analista siempre debe probar qué pasa cuando _x000a_el usuario se equivoca.Motivación: El código para el caso de éxito (contraseña correcta) funciona perfectamente con su respectivo break._x000a_ El objetivo de estos ejercicios es precisamente cometer estos errores _x000a_ahora y no en un entorno laboral real. Revisen la indentación de su else:, córranlo en su VS Code ingresando claves erróneas y observen la diferencia. ¡Ajusten el detalle y sigan practicando!Rúbrica de CalificaciónCriterio de EvaluaciónRequisito TécnicoPuntaje MáximoPuntaje ObtenidoSeguridadDefinición de variable contraseña_correcta.5.05.0Control de IntentosImplementación de while limitado a 3 intentos.10.02.0 (Falla por bucle infinito al no actualizar el contador dentro del ciclo)InteracciónUso correcto de input() para capturar la clave.5.05.0Lógica de ÉxitoUso de if, print(&quot;Bienvenido&quot;) y break.10.010.0Lógica de FalloCálculo y muestra de intentos restantes.10.00.0 (Nunca se ejecuta durante los intentos fallidos por error de indentación)BloqueoMensaje &quot;Cuenta Bloqueada&quot; al agotar intentos.10.00.0 (Inalcanzable debido al bucle infinito)TOTAL50.022.0Diego Mauricio Zuluaga Rodríguez Profesor - Departamento de Economía Universidad de La Sabana"/>
    <n v="2"/>
    <n v="5"/>
    <n v="0.4"/>
  </r>
  <r>
    <x v="19"/>
    <s v="Mateo"/>
    <s v="Perez Daza"/>
    <s v="mateopeda@unisabana.edu.co"/>
    <x v="2"/>
    <d v="2026-02-25T00:00:00"/>
    <x v="1"/>
    <s v="Devuelta"/>
    <s v="Retroalimentación de la Entrega: Sistema de Login Seguro (Bono)Calificación Final: 50/50 Incentivo Académico: Se otorgan +0.5 unidades para el Primer Parcial del 25 de febrero a cada integrante.Comentarios del Profesor: Excelente trabajo grupal. El código es limpio, funcional y cumple rigurosamente con todos los requisitos técnicos solicitados.Puntos Destacados:Lógica de Control: El uso del ciclo while con la condición intentos &amp;lt; 3 es preciso.Manejo de Flujo: Implementaron correctamente el break para finalizar el proceso tras un acierto, evitando ejecuciones innecesarias.Documentación:_x000a_ Es notable el esfuerzo por comentar cada línea de código. Esto _x000a_demuestra que comprenden no solo qué hace el programa, sino por qué lo _x000a_hace (Autogestión).Experiencia de Usuario (UX): El uso de emojis y mensajes claros facilita la interacción con el sistema bancario simulado.Motivación: Han_x000a_ demostrado una base sólida en estructuras de control. Sigan practicando_x000a_ la lógica de condicionales anidados, ya que será un componente _x000a_fundamental en el parcial presencial. ¡Muy bien hech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0"/>
    <s v="Matias"/>
    <s v="Mondragon Osorio"/>
    <s v="matiasmoos@unisabana.edu.co"/>
    <x v="2"/>
    <d v="2026-02-25T00:00:00"/>
    <x v="1"/>
    <s v="Devuelta"/>
    <s v="Retroalimentación de la Entrega: Sistema de Login Seguro (Bono)Calificación Final: 50/50 Incentivo Académico: Se otorgan +0.5 unidades para el Primer Parcial del 25 de febrero.Comentarios del Profesor: Excelente ejecución, Arianne. Has demostrado un dominio claro de la estructura de control while y el uso de condicionales anidados para gestionar la seguridad de una aplicación.Puntos Destacados:Control de Flujo: El uso del break es correcto y eficiente; permite que el programa finalice inmediatamente al acertar, sin desperdiciar ciclos de procesamiento.Lógica Matemática: Calculaste correctamente los intentos_restantes restando el acumulador del máximo permitido, lo cual es vital para la experiencia del usuario (UX).Autogestión: El archivo está bien estructurado, con una celda de Markdown clara y comentarios que explican cada requerimiento del script.Sugerencia Técnica: Has incrementado el contador intentos += 1_x000a_ al inicio del bloque. Esto es válido, pero recuerda que el orden de los_x000a_ factores altera el resultado de la resta si no se tiene cuidado. En tu _x000a_caso, la lógica es impecable.Motivación: Este_x000a_ ejercicio es un excelente simulacro para el parcial. Si mantienes esta _x000a_atención al detalle y esta capacidad para estructurar soluciones paso a _x000a_paso, obtendrás un gran resultado en la evaluación presencial. ¡Sigue _x000a_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1"/>
    <s v="Juan David"/>
    <s v="Neuta Medina"/>
    <s v="juanneme@unisabana.edu.co"/>
    <x v="2"/>
    <d v="2026-02-25T00:00:00"/>
    <x v="1"/>
    <s v="Devuelta"/>
    <s v="No hay archivo adjunto."/>
    <n v="0"/>
    <n v="5"/>
    <n v="0"/>
  </r>
  <r>
    <x v="22"/>
    <s v="Laura Fernanda"/>
    <s v="Lopez Parra"/>
    <s v="lauraloppa@unisabana.edu.co"/>
    <x v="2"/>
    <d v="2026-02-25T00:00:00"/>
    <x v="1"/>
    <s v="Devuelta"/>
    <s v="No hay archivo adjunto."/>
    <n v="0"/>
    <n v="5"/>
    <n v="0"/>
  </r>
  <r>
    <x v="23"/>
    <s v="Lukas"/>
    <s v="Blanco Llanes"/>
    <s v="lukasblll@unisabana.edu.co"/>
    <x v="2"/>
    <d v="2026-02-25T00:00:00"/>
    <x v="1"/>
    <s v="Devuelta"/>
    <s v="Retroalimentación de la Entrega: Sistema de Login Seguro (Bono)Calificación Final: 50/50 Incentivo Académico: Se otorgan +0.5 unidades para el Primer Parcial del 25 de febrero a cada integrante.Comentarios del Profesor: Excelente_x000a_ trabajo, equipo. Han cumplido con todos los requerimientos técnicos y _x000a_han ido un paso más allá en la calidad del código.Puntos Destacados:Limpieza de Datos (Data Cleaning): Es muy valioso que hayan implementado el método .replace(&quot;.&quot;, &quot;&quot;).replace(&quot;,&quot;, &quot;&quot;). Esto demuestra una mentalidad de analistas de datos, anticipándose a errores comunes del usuario al ingresar números.Lógica de Control: El uso del ciclo while y la estructura if/else anidada para diferenciar entre &quot;intentos restantes&quot; y &quot;bloqueo&quot; es impecable.Eficiencia: El uso de break asegura que el programa no siga consumiendo recursos una vez se alcanza el éxito.Observación de Autogestión: Para futuras entregas, asegúrense de incluir los nombres de los integrantes en una celda de Markdown dentro del mismo archivo .ipynb, tal como se solicita en los estándares del curso, para facilitar la trazabilidad del archivo.Motivación: La_x000a_ proactividad de limpiar la entrada del usuario es lo que separa a un _x000a_programador básico de un profesional. Están demostrando un gran nivel _x000a_para el parcial de este miércoles. ¡Mantengan ese estándar!Rúbrica de CalificaciónCriterio de EvaluaciónRequisito TécnicoPuntaje MáximoPuntaje ObtenidoSeguridadDefinición de variable contrasena_correcta.5.05.0Control de IntentosImplementación de while limitado a 3 intentos.10.010.0InteracciónUso de input() y limpieza de datos (replac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4"/>
    <s v="Juan Sebastian"/>
    <s v="Salas Hinojosa"/>
    <s v="juansahi@unisabana.edu.co"/>
    <x v="2"/>
    <d v="2026-02-25T00:00:00"/>
    <x v="1"/>
    <s v="Devuelta"/>
    <s v="Retroalimentación de la Entrega: Sistema de Login Seguro (Bono)Calificación Final: 50/50 Incentivo Académico: Se otorgan +0.5 unidades para el Primer Parcial del 25 de febrero a cada integrante.Comentarios del Profesor: Excelente_x000a_ trabajo, equipo. Han cumplido con todos los requerimientos técnicos y _x000a_han ido un paso más allá en la calidad del código.Puntos Destacados:Limpieza de Datos (Data Cleaning): Es muy valioso que hayan implementado el método .replace(&quot;.&quot;, &quot;&quot;).replace(&quot;,&quot;, &quot;&quot;). Esto demuestra una mentalidad de analistas de datos, anticipándose a errores comunes del usuario al ingresar números.Lógica de Control: El uso del ciclo while y la estructura if/else anidada para diferenciar entre &quot;intentos restantes&quot; y &quot;bloqueo&quot; es impecable.Eficiencia: El uso de break asegura que el programa no siga consumiendo recursos una vez se alcanza el éxito.Observación de Autogestión: Para futuras entregas, asegúrense de incluir los nombres de los integrantes en una celda de Markdown dentro del mismo archivo .ipynb, tal como se solicita en los estándares del curso, para facilitar la trazabilidad del archivo.Motivación: La_x000a_ proactividad de limpiar la entrada del usuario es lo que separa a un _x000a_programador básico de un profesional. Están demostrando un gran nivel _x000a_para el parcial de este miércoles. ¡Mantengan ese estándar!Rúbrica de CalificaciónCriterio de EvaluaciónRequisito TécnicoPuntaje MáximoPuntaje ObtenidoSeguridadDefinición de variable contrasena_correcta.5.05.0Control de IntentosImplementación de while limitado a 3 intentos.10.010.0InteracciónUso de input() y limpieza de datos (replac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5"/>
    <s v="Avril Avril"/>
    <s v="Ariza Quitian"/>
    <s v="avrilarqu@unisabana.edu.co"/>
    <x v="2"/>
    <d v="2026-02-25T00:00:00"/>
    <x v="1"/>
    <s v="Devuelta"/>
    <s v="Retroalimentación de la Entrega: Sistema de Login Seguro (Bono)Calificación Final: 50/50 Incentivo Académico: Se otorgan +0.5 unidades para el Primer Parcial del 25 de febrero a cada integrante del grupo.Comentarios del Profesor: Excelente_x000a_ trabajo, Samantha y Avril. Han desarrollado un script robusto que _x000a_cumple con todos los requerimientos técnicos y de seguridad solicitados.Avril tiene 1 punto menos por entregar 13 minutos tarde.  Puntos Destacados:Lógica de Control: El uso del bucle while con la condición de parada y el comando break es impecable. Esto asegura que el programa sea eficiente y no siga pidiendo datos una vez se ha validado el acceso.Gestión de Intentos: El cálculo de intentos_restantes es lógico y proporciona una retroalimentación clara al usuario, lo cual es una buena práctica de experiencia de usuario (UX).Documentación:_x000a_ El código está debidamente comentado, explicando la función de cada _x000a_bloque. Esto facilita la trazabilidad y el mantenimiento del software.Evidencia de Ejecución:_x000a_ Se aprecia en las celdas de salida que probaron tanto el escenario de _x000a_éxito como el de bloqueo, lo cual demuestra un proceso de pruebas _x000a_riguroso.Motivación: Han_x000a_ demostrado que dominan las estructuras de control básicas. Este nivel _x000a_de preparación es el que se requiere para afrontar con éxito el parcial _x000a_presencial. Sigan trabajando con esa atención al detalle. ¡Muchos éxitos_x000a_ en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4"/>
    <n v="5"/>
    <n v="0.8"/>
  </r>
  <r>
    <x v="26"/>
    <s v="Samuel David"/>
    <s v="Simancas Contreras"/>
    <s v="samuelsico@unisabana.edu.co"/>
    <x v="2"/>
    <d v="2026-02-25T00:00:00"/>
    <x v="1"/>
    <s v="Devuelta"/>
    <s v="No hay archivo adjunto."/>
    <n v="0"/>
    <n v="5"/>
    <n v="0"/>
  </r>
  <r>
    <x v="27"/>
    <s v="Derek Sebastian"/>
    <s v="Quintero Espindola"/>
    <s v="derekques@unisabana.edu.co"/>
    <x v="2"/>
    <d v="2026-02-25T00:00:00"/>
    <x v="1"/>
    <s v="Devuelta"/>
    <s v="No hay archivo adjunto."/>
    <n v="0"/>
    <n v="5"/>
    <n v="0"/>
  </r>
  <r>
    <x v="28"/>
    <s v="Maria Jose"/>
    <s v="Huertas Osorio"/>
    <s v="mariahueos@unisabana.edu.co"/>
    <x v="2"/>
    <d v="2026-02-25T00:00:00"/>
    <x v="1"/>
    <s v="Devuelta"/>
    <s v="Retroalimentación de la Entrega: Sistema de Login Seguro (Bono)Calificación Final: 50/50 Incentivo Académico: Se otorgan +0.5 unidades para el Primer Parcial del 25 de febrero a los integrantes: Alessandro Bonilla, Gabriela Ruiz y Maria Jose Huertas.Maria Jose Huertas tiene 1 punto menos por entregar 26 minutos tarde.  Comentarios del Profesor: Excelente_x000a_ trabajo de grupo. Han implementado una solución robusta que cumple con _x000a_todos los requisitos de seguridad y control de flujo solicitados.Puntos Destacados:Lógica de Control: El uso del bucle while con la condición intentos &amp;lt; max_intentos es la forma más limpia de gestionar este tipo de procesos.Uso del break: Es impecable. Al colocar el break_x000a_ inmediatamente después del acierto, garantizan que el programa no siga _x000a_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_x000a_ es fundamental para los retos que vienen en el segundo corte. Han _x000a_demostrado estar listos para aplicar lógica de programación en problemas_x000a_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4"/>
    <n v="5"/>
    <n v="0.8"/>
  </r>
  <r>
    <x v="29"/>
    <s v="Juan Camilo"/>
    <s v="Leyton Lancheros"/>
    <s v="juanleyla@unisabana.edu.co"/>
    <x v="2"/>
    <d v="2026-02-25T00:00:00"/>
    <x v="1"/>
    <s v="Devuelta"/>
    <s v="Retroalimentación de la Entrega: Sistema de Login Seguro (Bono)Calificación Final: 50/50 Incentivo Académico: Se otorgan +0.5 unidades para el Primer Parcial del 25 de febrero a cada integrante del grupo.Comentarios del Profesor: Excelente_x000a_ trabajo, equipo. Han implementado una solución robusta que cumple con _x000a_todos los requerimientos técnicos y de seguridad lógica solicitados.Puntos Destacados:Lógica de Control: El uso del bucle while junto con el contador de intentos es impecable.Eficiencia: La implementación del break garantiza que el programa no siga consumiendo recursos una vez que el usuario se ha autenticado correctamente.Experiencia de Usuario (UX): El mensaje dinámico que informa los intentos restantes es una excelente práctica en el desarrollo de aplicaciones financieras.Documentación: El código está bien comentado, lo que facilita la trazabilidad y el mantenimiento del script.Motivación: Han_x000a_ demostrado que dominan las estructuras de control básicas. Esta base _x000a_lógica es fundamental para el parcial presencial. Sigan trabajando con _x000a_esa rigurosidad técnica; los espero el miércoles listos para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0"/>
    <s v="Samuel Mathias"/>
    <s v="Gonzalez Bernal"/>
    <s v="samuelgonbe@unisabana.edu.co"/>
    <x v="2"/>
    <d v="2026-02-25T00:00:00"/>
    <x v="1"/>
    <s v="Devuelta"/>
    <s v="Retroalimentación de la Entrega: Sistema de Login Seguro (Bono)Calificación Final: 50/50 Incentivo Académico: Se otorgan +0.5 unidades para el Primer Parcial del 25 de febrero a cada integrante.Comentarios del Profesor: Buen_x000a_ trabajo, equipo. Han implementado una lógica inversa interesante al _x000a_inicializar los intentos en 3 y restar en lugar de sumar, lo cual es muy_x000a_ eficiente para este tipo de algoritmos de seguridad.Puntos Destacados:Eficiencia: El uso de while intentos_restantes &amp;gt; 0 es una forma muy limpia de controlar el flujo.Claridad: El código está bien estructurado y los mensajes al usuario son informativos.Uso de f-strings: Correcta implementación para mostrar los intentos restantes de forma dinámica.Observaciones Técnicas (Oportunidades de Mejora):Compatibilidad: Han usado la letra &quot;ñ&quot; en la variable contraseña_correcta._x000a_ Aunque Python 3 lo permite, la buena práctica internacional en _x000a_programación sugiere usar solo caracteres del alfabeto inglés (ej. contrasena_correcta) para evitar errores en diferentes sistemas operativos o servidores.Ortografía: Tienen un pequeño error de digitación en el mensaje de entrada (&quot;inrese&quot; en lugar de &quot;ingrese&quot;). Recuerden que la interfaz es lo que ve el cliente final.Motivación: Han_x000a_ demostrado que comprenden cómo romper un ciclo y cómo gestionar _x000a_estados. Esta lógica de validación es la base de sistemas mucho más _x000a_complejos. Mantengan este nivel de atención para el parcial presencial. _x000a_¡Felicitaciones por el bono!Rúbrica de CalificaciónCriterio de EvaluaciónRequisito TécnicoPuntaje MáximoPuntaje ObtenidoSeguridadDefinición de variable contraseña_correcta.5.05.0Control de IntentosImplementación de while con lógica de decremento.10.010.0InteracciónUso de input() con información dinámica.5.05.0Lógica de ÉxitoUso de if, print(&quot;Bienvenido&quot;) y break.10.010.0Lógica de FalloResta de intentos y muestra de saldo restante.10.010.0BloqueoMensaje &quot;Cuenta Bloqueada&quot; al llegar a 0.10.010.0TOTAL50.050.0Diego Mauricio Zuluaga Rodríguez Profesor - Departamento de Economía Universidad de La Sabana"/>
    <n v="5"/>
    <n v="5"/>
    <n v="1"/>
  </r>
  <r>
    <x v="31"/>
    <s v="Valeria"/>
    <s v="Morales"/>
    <s v="valeriamor@unisabana.edu.co"/>
    <x v="2"/>
    <d v="2026-02-25T00:00:00"/>
    <x v="1"/>
    <s v="Devuelta"/>
    <s v="Retroalimentación de la Entrega: Sistema de Login Seguro (Bono)Calificación Final: 50/50 Incentivo Académico: Se otorgan +0.5 unidades para el Primer Parcial del 25 de febrero.Comentarios del Profesor: Excelente_x000a_ trabajo, Valeria y Paula. Han presentado una solución limpia, bien _x000a_estructurada y que cumple rigurosamente con todos los parámetros _x000a_técnicos solicitados.Puntos Destacados:Documentación Profesional: La celda de Markdown inicial es ejemplar; describe el problema, los objetivos y los integrantes de forma impecable.Lógica de Control: El uso del ciclo while y la sentencia break es preciso. El programa se detiene exactamente cuando debe, optimizando el flujo de ejecución.Manejo de Estados: La validación de restantes &amp;gt; 0_x000a_ dentro del bloque de fallo permite una comunicación clara con el _x000a_usuario, diferenciando entre un error común y el bloqueo final de la _x000a_cuenta.Sugerencia Técnica: El código es sólido. Como buena práctica adicional, podrían explorar el uso de f-strings para los mensajes de salida, por ejemplo: print(f&quot;Intentos restantes: {restantes}&quot;), para mantener la consistencia con lo visto en las últimas sesiones.Motivación: Han_x000a_ demostrado que comprenden cómo aplicar la lógica de programación a un _x000a_caso de uso real de seguridad bancaria. Esta capacidad de estructurar el_x000a_ pensamiento antes de codificar es lo que evaluaré con mayor rigor en el_x000a_ parcial presencial. ¡Sigan 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2"/>
    <s v="Samantha"/>
    <s v="Vanegas Russi"/>
    <s v="samanthavaru@unisabana.edu.co"/>
    <x v="2"/>
    <d v="2026-02-25T00:00:00"/>
    <x v="1"/>
    <s v="Devuelta"/>
    <s v="Retroalimentación de la Entrega: Sistema de Login Seguro (Bono)Calificación Final: 50/50 Incentivo Académico: Se otorgan +0.5 unidades para el Primer Parcial del 25 de febrero a cada integrante del grupo.Comentarios del Profesor: Excelente_x000a_ trabajo, Samantha y Avril. Han desarrollado un script robusto que _x000a_cumple con todos los requerimientos técnicos y de seguridad solicitados.Puntos Destacados:Lógica de Control: El uso del bucle while con la condición de parada y el comando break es impecable. Esto asegura que el programa sea eficiente y no siga pidiendo datos una vez se ha validado el acceso.Gestión de Intentos: El cálculo de intentos_restantes es lógico y proporciona una retroalimentación clara al usuario, lo cual es una buena práctica de experiencia de usuario (UX).Documentación:_x000a_ El código está debidamente comentado, explicando la función de cada _x000a_bloque. Esto facilita la trazabilidad y el mantenimiento del software.Evidencia de Ejecución:_x000a_ Se aprecia en las celdas de salida que probaron tanto el escenario de _x000a_éxito como el de bloqueo, lo cual demuestra un proceso de pruebas _x000a_riguroso.Motivación: Han_x000a_ demostrado que dominan las estructuras de control básicas. Este nivel _x000a_de preparación es el que se requiere para afrontar con éxito el parcial _x000a_presencial. Sigan trabajando con esa atención al detalle. ¡Muchos éxitos_x000a_ en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3"/>
    <s v="Cristobal"/>
    <s v="Robayo Jimenez"/>
    <s v="cristobalroji@unisabana.edu.co"/>
    <x v="2"/>
    <d v="2026-02-25T00:00:00"/>
    <x v="1"/>
    <s v="Devuelta"/>
    <s v="No hay archivo adjunto."/>
    <n v="0"/>
    <n v="5"/>
    <n v="0"/>
  </r>
  <r>
    <x v="34"/>
    <s v="Juan Jose"/>
    <s v="Caballero Mantilla"/>
    <s v="juancabma@unisabana.edu.co"/>
    <x v="2"/>
    <d v="2026-02-25T00:00:00"/>
    <x v="1"/>
    <s v="Devuelta"/>
    <s v="Retroalimentación de la Entrega: Sistema de Login Seguro (Bono)Calificación Final: 50/50 Incentivo Académico: Se otorgan +0.5 unidades para el Primer Parcial del 25 de febrero a cada integrante.Comentarios del Profesor: Excelente_x000a_ trabajo, equipo. El código es limpio, eficiente y cumple rigurosamente _x000a_con la lógica de seguridad solicitada. Han demostrado un buen manejo de _x000a_la estructura try-except implícita en la lógica de control y una excelente organización de los bloques.Puntos Destacados:Lógica de Control: El uso del contador intentos dentro del bloque else es la forma más precisa de programar este sistema, ya que solo penaliza al usuario cuando falla.Experiencia de Usuario (UX): El uso de f-strings para informar los intentos restantes es un detalle de calidad que aporta claridad al programa.Documentación: El uso de emojis y títulos para separar las secciones del código facilita la lectura y el mantenimiento del script.Observación de Autogestión: Aunque el código es perfecto, recuerden que para futuros entregables la identificación de los integrantes debe ir dentro_x000a_ de una celda de Markdown al inicio del Notebook, no al final del _x000a_archivo, para cumplir con los estándares de presentación profesional de _x000a_la EICEA.Motivación: Tienen_x000a_ una base sólida en estructuras de control. Mantengan este nivel de _x000a_atención al detalle para el parcial presencial. La capacidad de _x000a_anticipar el error del usuario y gestionarlo es lo que define a un _x000a_programador de alto nivel. ¡Felicit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5"/>
    <s v="Daniel Camilo"/>
    <s v="Lopez Piraquive"/>
    <s v="danielloppi@unisabana.edu.co"/>
    <x v="2"/>
    <d v="2026-02-25T00:00:00"/>
    <x v="1"/>
    <s v="Devuelta"/>
    <s v="Retroalimentación de la Entrega: Sistema de Login Seguro (Bono)Calificación Final: 50/50 Incentivo Académico: Se otorgan +0.5 unidades para el Primer Parcial del 25 de febrero a cada integrante.Comentarios del Profesor: Excelente_x000a_ trabajo, equipo. El código es limpio, eficiente y cumple rigurosamente _x000a_con la lógica de seguridad solicitada. Han demostrado un buen manejo de _x000a_la estructura try-except implícita en la lógica de control y una excelente organización de los bloques.Puntos Destacados:Lógica de Control: El uso del contador intentos dentro del bloque else es la forma más precisa de programar este sistema, ya que solo penaliza al usuario cuando falla.Experiencia de Usuario (UX): El uso de f-strings para informar los intentos restantes es un detalle de calidad que aporta claridad al programa.Documentación: El uso de emojis y títulos para separar las secciones del código facilita la lectura y el mantenimiento del script.Observación de Autogestión: Aunque el código es perfecto, recuerden que para futuros entregables la identificación de los integrantes debe ir dentro_x000a_ de una celda de Markdown al inicio del Notebook, no al final del _x000a_archivo, para cumplir con los estándares de presentación profesional de _x000a_la EICEA.Motivación: Tienen_x000a_ una base sólida en estructuras de control. Mantengan este nivel de _x000a_atención al detalle para el parcial presencial. La capacidad de _x000a_anticipar el error del usuario y gestionarlo es lo que define a un _x000a_programador de alto nivel. ¡Felicit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6"/>
    <s v="Gabriela"/>
    <s v="Ruiz Perez"/>
    <s v="gabrielarupe@unisabana.edu.co"/>
    <x v="2"/>
    <d v="2026-02-25T00:00:00"/>
    <x v="1"/>
    <s v="Devuelta"/>
    <s v="Retroalimentación de la Entrega: Sistema de Login Seguro (Bono)Calificación Final: 50/50 Incentivo Académico: Se otorgan +0.5 unidades para el Primer Parcial del 25 de febrero a los integrantes: Alessandro Bonilla, Gabriela Ruiz y Maria Jose Huertas. Gabriela Ruiz tiene 1 punto menos por entregar 20 minutos tarde.  Comentarios del Profesor: Excelente_x000a_ trabajo de grupo. Han implementado una solución robusta que cumple con _x000a_todos los requisitos de seguridad y control de flujo solicitados.Puntos Destacados:Lógica de Control: El uso del bucle while con la condición intentos &amp;lt; max_intentos es la forma más limpia de gestionar este tipo de procesos.Uso del break: Es impecable. Al colocar el break_x000a_ inmediatamente después del acierto, garantizan que el programa no siga _x000a_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_x000a_ es fundamental para los retos que vienen en el segundo corte. Han _x000a_demostrado estar listos para aplicar lógica de programación en problemas_x000a_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4"/>
    <n v="5"/>
    <n v="0.8"/>
  </r>
  <r>
    <x v="37"/>
    <s v="Juan Sebastian"/>
    <s v="Perdomo Herrera"/>
    <s v="juanperhe@unisabana.edu.co"/>
    <x v="2"/>
    <d v="2026-02-25T00:00:00"/>
    <x v="1"/>
    <s v="Devuelta"/>
    <s v="No hay archivo adjunto."/>
    <n v="0"/>
    <n v="5"/>
    <n v="0"/>
  </r>
  <r>
    <x v="38"/>
    <s v="Martin Martin"/>
    <s v="Trujillo Rodriguez"/>
    <s v="martintrro@unisabana.edu.co"/>
    <x v="2"/>
    <d v="2026-02-25T00:00:00"/>
    <x v="1"/>
    <s v="Devuelta"/>
    <s v="Retroalimentación de la Entrega: Sistema de Login Seguro (Bono)Calificación Final: 50/50 Incentivo Académico: Se otorgan +0.5 unidades para el Primer Parcial del 25 de febrero a cada integrante.Comentarios del Profesor: Excelente_x000a_ trabajo, equipo. El código es limpio, eficiente y cumple rigurosamente _x000a_con la lógica de seguridad solicitada. Han demostrado un buen manejo de _x000a_la estructura try-except implícita en la lógica de control y una excelente organización de los bloques.Puntos Destacados:Lógica de Control: El uso del contador intentos dentro del bloque else es la forma más precisa de programar este sistema, ya que solo penaliza al usuario cuando falla.Experiencia de Usuario (UX): El uso de f-strings para informar los intentos restantes es un detalle de calidad que aporta claridad al programa.Documentación: El uso de emojis y títulos para separar las secciones del código facilita la lectura y el mantenimiento del script.Observación de Autogestión: Aunque el código es perfecto, recuerden que para futuros entregables la identificación de los integrantes debe ir dentro_x000a_ de una celda de Markdown al inicio del Notebook, no al final del _x000a_archivo, para cumplir con los estándares de presentación profesional de _x000a_la EICEA.Motivación: Tienen_x000a_ una base sólida en estructuras de control. Mantengan este nivel de _x000a_atención al detalle para el parcial presencial. La capacidad de _x000a_anticipar el error del usuario y gestionarlo es lo que define a un _x000a_programador de alto nivel. ¡Felicit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9"/>
    <s v="Alan David"/>
    <s v="Rossoff Vanegas"/>
    <s v="alanrova@unisabana.edu.co"/>
    <x v="2"/>
    <d v="2026-02-25T00:00:00"/>
    <x v="1"/>
    <s v="Devuelta"/>
    <s v="No hay archivo adjunto."/>
    <n v="0"/>
    <n v="5"/>
    <n v="0"/>
  </r>
  <r>
    <x v="40"/>
    <s v="Diego Alejandro"/>
    <s v="Hermida Limas"/>
    <s v="diegoherli@unisabana.edu.co"/>
    <x v="2"/>
    <d v="2026-02-25T00:00:00"/>
    <x v="1"/>
    <s v="Devuelta"/>
    <s v="Retroalimentación de la Entrega: Sistema de Login Seguro (Bono)Calificación Final: 50/50 Incentivo Académico: Se otorgan +0.5 unidades para el Primer Parcial del 25 de febrero a cada integrante.Comentarios del Profesor: Excelente trabajo grupal. El código es limpio, funcional y cumple rigurosamente con todos los requisitos técnicos solicitados.Puntos Destacados:Lógica de Control: El uso del ciclo while con la condición intentos &amp;lt; 3 es preciso.Manejo de Flujo: Implementaron correctamente el break para finalizar el proceso tras un acierto, evitando ejecuciones innecesarias.Documentación:_x000a_ Es notable el esfuerzo por comentar cada línea de código. Esto _x000a_demuestra que comprenden no solo qué hace el programa, sino por qué lo _x000a_hace (Autogestión).Experiencia de Usuario (UX): El uso de emojis y mensajes claros facilita la interacción con el sistema bancario simulado.Motivación: Han_x000a_ demostrado una base sólida en estructuras de control. Sigan practicando_x000a_ la lógica de condicionales anidados, ya que será un componente _x000a_fundamental en el parcial presencial. ¡Muy bien hech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0"/>
    <s v="Paula Andrea"/>
    <s v="Arciniegas Cardenas"/>
    <s v="paulaarcca@unisabana.edu.co"/>
    <x v="3"/>
    <d v="2026-02-18T00:00:00"/>
    <x v="2"/>
    <s v="Devuelta"/>
    <m/>
    <n v="50"/>
    <n v="50"/>
    <n v="1"/>
  </r>
  <r>
    <x v="1"/>
    <s v="Sofia"/>
    <s v="Giraldo Pico"/>
    <s v="sofiagipi@unisabana.edu.co"/>
    <x v="3"/>
    <d v="2026-02-18T00:00:00"/>
    <x v="2"/>
    <s v="Devuelta"/>
    <m/>
    <n v="0"/>
    <n v="50"/>
    <n v="0"/>
  </r>
  <r>
    <x v="2"/>
    <s v="Valery"/>
    <s v="Linares Hernandez"/>
    <s v="valerylihe@unisabana.edu.co"/>
    <x v="3"/>
    <d v="2026-02-18T00:00:00"/>
    <x v="2"/>
    <s v="Devuelta"/>
    <m/>
    <n v="50"/>
    <n v="50"/>
    <n v="1"/>
  </r>
  <r>
    <x v="3"/>
    <s v="Nicolas"/>
    <s v="Torres Calderon"/>
    <s v="nicolastorca@unisabana.edu.co"/>
    <x v="3"/>
    <d v="2026-02-18T00:00:00"/>
    <x v="2"/>
    <s v="Devuelta"/>
    <m/>
    <n v="50"/>
    <n v="50"/>
    <n v="1"/>
  </r>
  <r>
    <x v="4"/>
    <s v="Cristian"/>
    <s v="Bermudez"/>
    <s v="cristianbe@unisabana.edu.co"/>
    <x v="3"/>
    <d v="2026-02-18T00:00:00"/>
    <x v="2"/>
    <s v="Devuelta"/>
    <m/>
    <n v="50"/>
    <n v="50"/>
    <n v="1"/>
  </r>
  <r>
    <x v="5"/>
    <s v="Mariana"/>
    <s v="Carmona Romero"/>
    <s v="marianacarrom@unisabana.edu.co"/>
    <x v="3"/>
    <d v="2026-02-18T00:00:00"/>
    <x v="2"/>
    <s v="Devuelta"/>
    <m/>
    <n v="50"/>
    <n v="50"/>
    <n v="1"/>
  </r>
  <r>
    <x v="6"/>
    <s v="Mariana"/>
    <s v="Pena Rodriguez"/>
    <s v="marianapero@unisabana.edu.co"/>
    <x v="3"/>
    <d v="2026-02-18T00:00:00"/>
    <x v="2"/>
    <s v="Devuelta"/>
    <m/>
    <n v="50"/>
    <n v="50"/>
    <n v="1"/>
  </r>
  <r>
    <x v="7"/>
    <s v="Isabella"/>
    <s v="Carranza Tapiero"/>
    <s v="isabellacata@unisabana.edu.co"/>
    <x v="3"/>
    <d v="2026-02-18T00:00:00"/>
    <x v="2"/>
    <s v="Devuelta"/>
    <m/>
    <n v="50"/>
    <n v="50"/>
    <n v="1"/>
  </r>
  <r>
    <x v="8"/>
    <s v="Samuel David"/>
    <s v="Lozano Holguin"/>
    <s v="samuelloho@unisabana.edu.co"/>
    <x v="3"/>
    <d v="2026-02-18T00:00:00"/>
    <x v="2"/>
    <s v="Devuelta"/>
    <m/>
    <n v="50"/>
    <n v="50"/>
    <n v="1"/>
  </r>
  <r>
    <x v="9"/>
    <s v="Sebastian"/>
    <s v="Vanoy Gutierrez"/>
    <s v="sebastianvagu@unisabana.edu.co"/>
    <x v="3"/>
    <d v="2026-02-18T00:00:00"/>
    <x v="2"/>
    <s v="Devuelta"/>
    <m/>
    <n v="50"/>
    <n v="50"/>
    <n v="1"/>
  </r>
  <r>
    <x v="10"/>
    <s v="Jose Daniel"/>
    <s v="Escobar Hurtado"/>
    <s v="joseeshu@unisabana.edu.co"/>
    <x v="3"/>
    <d v="2026-02-18T00:00:00"/>
    <x v="2"/>
    <s v="Devuelta"/>
    <m/>
    <n v="50"/>
    <n v="50"/>
    <n v="1"/>
  </r>
  <r>
    <x v="11"/>
    <s v="Maria Jose"/>
    <s v="Botero Galviz"/>
    <s v="mariabotga@unisabana.edu.co"/>
    <x v="3"/>
    <d v="2026-02-18T00:00:00"/>
    <x v="2"/>
    <s v="Devuelta"/>
    <m/>
    <n v="0"/>
    <n v="50"/>
    <n v="0"/>
  </r>
  <r>
    <x v="12"/>
    <s v="Maria Juliana"/>
    <s v="Mejia Quintero"/>
    <s v="mariamequ@unisabana.edu.co"/>
    <x v="3"/>
    <d v="2026-02-18T00:00:00"/>
    <x v="2"/>
    <s v="Devuelta"/>
    <m/>
    <n v="0"/>
    <n v="50"/>
    <n v="0"/>
  </r>
  <r>
    <x v="13"/>
    <s v="Alejandra"/>
    <s v="Leon Vargas"/>
    <s v="alejandraleva@unisabana.edu.co"/>
    <x v="3"/>
    <d v="2026-02-18T00:00:00"/>
    <x v="2"/>
    <s v="Devuelta"/>
    <m/>
    <n v="40"/>
    <n v="50"/>
    <n v="0.8"/>
  </r>
  <r>
    <x v="14"/>
    <s v="Alessandro Di Mauro"/>
    <s v="Bonilla Correa"/>
    <s v="alessandroboco@unisabana.edu.co"/>
    <x v="3"/>
    <d v="2026-02-18T00:00:00"/>
    <x v="2"/>
    <s v="Devuelta"/>
    <m/>
    <n v="50"/>
    <n v="50"/>
    <n v="1"/>
  </r>
  <r>
    <x v="15"/>
    <s v="Arianne Mariana"/>
    <s v="Amorocho Quiroga"/>
    <s v="arianneamqu@unisabana.edu.co"/>
    <x v="3"/>
    <d v="2026-02-18T00:00:00"/>
    <x v="2"/>
    <s v="Devuelta"/>
    <m/>
    <n v="50"/>
    <n v="50"/>
    <n v="1"/>
  </r>
  <r>
    <x v="16"/>
    <s v="Maria Juliana"/>
    <s v="Herrera Pulido"/>
    <s v="mariahepu@unisabana.edu.co"/>
    <x v="3"/>
    <d v="2026-02-18T00:00:00"/>
    <x v="2"/>
    <s v="Devuelta"/>
    <m/>
    <n v="50"/>
    <n v="50"/>
    <n v="1"/>
  </r>
  <r>
    <x v="17"/>
    <s v="Simon Gustavo"/>
    <s v="Restrepo Alvarez"/>
    <s v="simonreal@unisabana.edu.co"/>
    <x v="3"/>
    <d v="2026-02-18T00:00:00"/>
    <x v="2"/>
    <s v="Devuelta"/>
    <m/>
    <n v="50"/>
    <n v="50"/>
    <n v="1"/>
  </r>
  <r>
    <x v="18"/>
    <s v="Daniel Felipe"/>
    <s v="Camacho Pedraza"/>
    <s v="danielcampe@unisabana.edu.co"/>
    <x v="3"/>
    <d v="2026-02-18T00:00:00"/>
    <x v="2"/>
    <s v="Devuelta"/>
    <m/>
    <n v="50"/>
    <n v="50"/>
    <n v="1"/>
  </r>
  <r>
    <x v="19"/>
    <s v="Mateo"/>
    <s v="Perez Daza"/>
    <s v="mateopeda@unisabana.edu.co"/>
    <x v="3"/>
    <d v="2026-02-18T00:00:00"/>
    <x v="2"/>
    <s v="Devuelta"/>
    <m/>
    <n v="50"/>
    <n v="50"/>
    <n v="1"/>
  </r>
  <r>
    <x v="20"/>
    <s v="Matias"/>
    <s v="Mondragon Osorio"/>
    <s v="matiasmoos@unisabana.edu.co"/>
    <x v="3"/>
    <d v="2026-02-18T00:00:00"/>
    <x v="2"/>
    <s v="Devuelta"/>
    <m/>
    <n v="50"/>
    <n v="50"/>
    <n v="1"/>
  </r>
  <r>
    <x v="21"/>
    <s v="Juan David"/>
    <s v="Neuta Medina"/>
    <s v="juanneme@unisabana.edu.co"/>
    <x v="3"/>
    <d v="2026-02-18T00:00:00"/>
    <x v="2"/>
    <s v="Devuelta"/>
    <m/>
    <n v="50"/>
    <n v="50"/>
    <n v="1"/>
  </r>
  <r>
    <x v="22"/>
    <s v="Laura Fernanda"/>
    <s v="Lopez Parra"/>
    <s v="lauraloppa@unisabana.edu.co"/>
    <x v="3"/>
    <d v="2026-02-18T00:00:00"/>
    <x v="2"/>
    <s v="Devuelta"/>
    <m/>
    <n v="50"/>
    <n v="50"/>
    <n v="1"/>
  </r>
  <r>
    <x v="23"/>
    <s v="Lukas"/>
    <s v="Blanco Llanes"/>
    <s v="lukasblll@unisabana.edu.co"/>
    <x v="3"/>
    <d v="2026-02-18T00:00:00"/>
    <x v="2"/>
    <s v="Devuelta"/>
    <m/>
    <n v="50"/>
    <n v="50"/>
    <n v="1"/>
  </r>
  <r>
    <x v="24"/>
    <s v="Juan Sebastian"/>
    <s v="Salas Hinojosa"/>
    <s v="juansahi@unisabana.edu.co"/>
    <x v="3"/>
    <d v="2026-02-18T00:00:00"/>
    <x v="2"/>
    <s v="Devuelta"/>
    <m/>
    <n v="50"/>
    <n v="50"/>
    <n v="1"/>
  </r>
  <r>
    <x v="25"/>
    <s v="Avril Avril"/>
    <s v="Ariza Quitian"/>
    <s v="avrilarqu@unisabana.edu.co"/>
    <x v="3"/>
    <d v="2026-02-18T00:00:00"/>
    <x v="2"/>
    <s v="Devuelta"/>
    <m/>
    <n v="50"/>
    <n v="50"/>
    <n v="1"/>
  </r>
  <r>
    <x v="26"/>
    <s v="Samuel David"/>
    <s v="Simancas Contreras"/>
    <s v="samuelsico@unisabana.edu.co"/>
    <x v="3"/>
    <d v="2026-02-18T00:00:00"/>
    <x v="2"/>
    <s v="Devuelta"/>
    <m/>
    <n v="50"/>
    <n v="50"/>
    <n v="1"/>
  </r>
  <r>
    <x v="27"/>
    <s v="Derek Sebastian"/>
    <s v="Quintero Espindola"/>
    <s v="derekques@unisabana.edu.co"/>
    <x v="3"/>
    <d v="2026-02-18T00:00:00"/>
    <x v="2"/>
    <s v="Devuelta"/>
    <m/>
    <n v="0"/>
    <n v="50"/>
    <n v="0"/>
  </r>
  <r>
    <x v="28"/>
    <s v="Maria Jose"/>
    <s v="Huertas Osorio"/>
    <s v="mariahueos@unisabana.edu.co"/>
    <x v="3"/>
    <d v="2026-02-18T00:00:00"/>
    <x v="2"/>
    <s v="Devuelta"/>
    <m/>
    <n v="50"/>
    <n v="50"/>
    <n v="1"/>
  </r>
  <r>
    <x v="29"/>
    <s v="Juan Camilo"/>
    <s v="Leyton Lancheros"/>
    <s v="juanleyla@unisabana.edu.co"/>
    <x v="3"/>
    <d v="2026-02-18T00:00:00"/>
    <x v="2"/>
    <s v="Devuelta"/>
    <m/>
    <n v="50"/>
    <n v="50"/>
    <n v="1"/>
  </r>
  <r>
    <x v="30"/>
    <s v="Samuel Mathias"/>
    <s v="Gonzalez Bernal"/>
    <s v="samuelgonbe@unisabana.edu.co"/>
    <x v="3"/>
    <d v="2026-02-18T00:00:00"/>
    <x v="2"/>
    <s v="Devuelta"/>
    <m/>
    <n v="50"/>
    <n v="50"/>
    <n v="1"/>
  </r>
  <r>
    <x v="31"/>
    <s v="Valeria"/>
    <s v="Morales"/>
    <s v="valeriamor@unisabana.edu.co"/>
    <x v="3"/>
    <d v="2026-02-18T00:00:00"/>
    <x v="2"/>
    <s v="Devuelta"/>
    <m/>
    <n v="50"/>
    <n v="50"/>
    <n v="1"/>
  </r>
  <r>
    <x v="32"/>
    <s v="Samantha"/>
    <s v="Vanegas Russi"/>
    <s v="samanthavaru@unisabana.edu.co"/>
    <x v="3"/>
    <d v="2026-02-18T00:00:00"/>
    <x v="2"/>
    <s v="Devuelta"/>
    <m/>
    <n v="50"/>
    <n v="50"/>
    <n v="1"/>
  </r>
  <r>
    <x v="33"/>
    <s v="Cristobal"/>
    <s v="Robayo Jimenez"/>
    <s v="cristobalroji@unisabana.edu.co"/>
    <x v="3"/>
    <d v="2026-02-18T00:00:00"/>
    <x v="2"/>
    <s v="Devuelta"/>
    <m/>
    <n v="0"/>
    <n v="50"/>
    <n v="0"/>
  </r>
  <r>
    <x v="34"/>
    <s v="Juan Jose"/>
    <s v="Caballero Mantilla"/>
    <s v="juancabma@unisabana.edu.co"/>
    <x v="3"/>
    <d v="2026-02-18T00:00:00"/>
    <x v="2"/>
    <s v="Devuelta"/>
    <m/>
    <n v="50"/>
    <n v="50"/>
    <n v="1"/>
  </r>
  <r>
    <x v="35"/>
    <s v="Daniel Camilo"/>
    <s v="Lopez Piraquive"/>
    <s v="danielloppi@unisabana.edu.co"/>
    <x v="3"/>
    <d v="2026-02-18T00:00:00"/>
    <x v="2"/>
    <s v="Devuelta"/>
    <m/>
    <n v="50"/>
    <n v="50"/>
    <n v="1"/>
  </r>
  <r>
    <x v="36"/>
    <s v="Gabriela"/>
    <s v="Ruiz Perez"/>
    <s v="gabrielarupe@unisabana.edu.co"/>
    <x v="3"/>
    <d v="2026-02-18T00:00:00"/>
    <x v="2"/>
    <s v="Devuelta"/>
    <m/>
    <n v="50"/>
    <n v="50"/>
    <n v="1"/>
  </r>
  <r>
    <x v="37"/>
    <s v="Juan Sebastian"/>
    <s v="Perdomo Herrera"/>
    <s v="juanperhe@unisabana.edu.co"/>
    <x v="3"/>
    <d v="2026-02-18T00:00:00"/>
    <x v="2"/>
    <s v="Devuelta"/>
    <m/>
    <n v="0"/>
    <n v="50"/>
    <n v="0"/>
  </r>
  <r>
    <x v="38"/>
    <s v="Martin Martin"/>
    <s v="Trujillo Rodriguez"/>
    <s v="martintrro@unisabana.edu.co"/>
    <x v="3"/>
    <d v="2026-02-18T00:00:00"/>
    <x v="2"/>
    <s v="Devuelta"/>
    <m/>
    <n v="50"/>
    <n v="50"/>
    <n v="1"/>
  </r>
  <r>
    <x v="39"/>
    <s v="Alan David"/>
    <s v="Rossoff Vanegas"/>
    <s v="alanrova@unisabana.edu.co"/>
    <x v="3"/>
    <d v="2026-02-18T00:00:00"/>
    <x v="2"/>
    <s v="Devuelta"/>
    <m/>
    <n v="50"/>
    <n v="50"/>
    <n v="1"/>
  </r>
  <r>
    <x v="40"/>
    <s v="Diego Alejandro"/>
    <s v="Hermida Limas"/>
    <s v="diegoherli@unisabana.edu.co"/>
    <x v="3"/>
    <d v="2026-02-18T00:00:00"/>
    <x v="2"/>
    <s v="Devuelta"/>
    <m/>
    <n v="50"/>
    <n v="50"/>
    <n v="1"/>
  </r>
  <r>
    <x v="0"/>
    <s v="Paula Andrea"/>
    <s v="Arciniegas Cardenas"/>
    <s v="paulaarcca@unisabana.edu.co"/>
    <x v="4"/>
    <d v="2026-02-25T00:00:00"/>
    <x v="3"/>
    <s v="Devuelta"/>
    <s v="Retroalimentación de la Entrega: Taller Corte 1 - MVP del_x000a_Emprendedor  Grupo: Paula Andrea Arciniegas Cárdenas, Valeria_x000a_Morales. Startup: LogicFlow  Calificación Final: 50/50 (Equivalente a 5.0) (Nota: El puntaje base obtenido fue de 46/50. Se aplicó el bono de +5 puntos_x000a_por la implementación exitosa de Git/GitHub, alcanzando el tope máximo de_x000a_50/50).  Comentarios del Profesor: Equipo LogicFlow, han presentado un proyecto muy sólido. Han_x000a_demostrado una excelente capacidad para resolver problemas lógicos y_x000a_estructurar un portafolio profesional que resalta sus perfiles como analistas y_x000a_desarrolladoras.  Puntos a destacar (Lo excelente): _x000a_ Portafolio_x000a_     Profesional (GitHub): El archivo README.md es impecable. Definir el_x000a_     contexto de la Startup y explicar cómo cada reto aporta a la toma de_x000a_     decisiones en Colombia demuestra una gran visión de negocio. Además,_x000a_     lograron implementar Git y GitHub, obteniendo el bono de +5 puntos. _x000a_ Nivel_x000a_     Avanzado en Reto 1: El uso de una lista de diccionarios (paquetes.append({&quot;peso&quot;:_x000a_     peso...})) y la función lambda para ordenar con .sort(key=lambda x:_x000a_     x[&quot;peso&quot;]) es código de nivel intermedio-avanzado. ¡Excelente_x000a_     investigación autónoma! _x000a_ Manejo_x000a_     de Errores (UX): En el Reto 1, la implementación de try/except para_x000a_     evitar que el programa colapse si el usuario ingresa letras en lugar de_x000a_     números es una práctica de programación defensiva muy profesional.  Oportunidades de Mejora (Sanity Check y Autogestión): _x000a_ Estructura_x000a_     General (Reto 3): La rúbrica exigía que todos los retos_x000a_     tuvieran un Menú Interactivo (while). El Reto 1 lo tiene perfecto, pero el_x000a_     Reto 3 se ejecuta de forma lineal y termina. En el mundo real, un usuario_x000a_     necesita poder realizar varios análisis sin tener que reiniciar la_x000a_     aplicación. _x000a_ &quot;Pythonic_x000a_     Way&quot; (Reto 3): En el Reto 3 inicializaron la lista con ceros trm_x000a_     =[0,0,0,0,0,0,0] y luego reemplazaron los valores por índice trm[i] =_x000a_     trm_dia. Aunque funciona (lógica de lenguajes como C o Java), en Python la_x000a_     mejor práctica es iniciar una lista vacía trm =[] y usar el método .append(trm_dia). _x000a_ Declaración_x000a_     de Tipos: En el Reto 3 escribieron valor_maximo = float. En Python,_x000a_     esto asigna el objeto tipo float a la variable, lo cual es_x000a_     innecesario porque en la siguiente línea lo sobrescriben con trm[0]._x000a_     Python es de tipado dinámico, no necesitan declarar el tipo de la variable_x000a_     antes de usarla.  Motivación: _x000a_Tienen un pensamiento analítico muy fuerte y una excelente presentación de_x000a_resultados. Ajustando esos pequeños detalles de estructura y aprovechando al_x000a_máximo las herramientas nativas de Python, estarán listas para construir_x000a_modelos financieros y logísticos muy potentes. ¡Excelente preparación para el_x000a_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presentes y coherentes_x000a_  con la lógica implementada. _x000a_  _x000a_  _x000a_  10.0 _x000a_  _x000a_  _x000a_  10.0 _x000a_  _x000a_ _x000a_ _x000a_  _x000a_  Funcionalidad Python _x000a_  _x000a_  _x000a_  Reto 1 impecable. Penalización leve: El Reto 3_x000a_  carece del menú interactivo (while) exigido en la rúbrica general. _x000a_  _x000a_  _x000a_  15.0 _x000a_  _x000a_  _x000a_  13.0 _x000a_  _x000a_ _x000a_ _x000a_  _x000a_  Manejo de Datos _x000a_  _x000a_  _x000a_  Excelente uso de diccionarios y .sort() en Reto 1. Penalización_x000a_  leve: Uso poco convencional de listas en Reto 3 y ausencia de .sort(). _x000a_  _x000a_  _x000a_  15.0 _x000a_  _x000a_  _x000a_  13.0 _x000a_  _x000a_ _x000a_ _x000a_  _x000a_  Git &amp;amp; GitHub _x000a_  _x000a_  _x000a_  Repositorio público excelente y README.md con contexto de_x000a_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TOTAL _x000a_  _x000a_  _x000a_  (Tope máximo de 50 puntos) _x000a_  _x000a_  _x000a_  50.0 _x000a_  _x000a_  _x000a_  50.0 _x000a_  _x000a_ Diego Mauricio Zuluaga Rodríguez _x000a_Profesor - Departamento de Economía _x000a_Universidad de La Sabana"/>
    <n v="50"/>
    <n v="50"/>
    <n v="1"/>
  </r>
  <r>
    <x v="1"/>
    <s v="Sofia"/>
    <s v="Giraldo Pico"/>
    <s v="sofiagipi@unisabana.edu.co"/>
    <x v="4"/>
    <d v="2026-02-25T00:00:00"/>
    <x v="3"/>
    <s v="Devuelta"/>
    <s v="Retroalimentación de la Entrega: Taller Corte 1 - MVP del_x000a_Emprendedor  Estudiante: Sofia Giraldo Pico Proyectos Desarrollados: Reto 1 (Logística) y Reto 2 (Gastronomía)  Calificación Final: 35/50 (Equivalente a 3.5)  Comentarios del Profesor: Sofia, he revisado tu entrega técnica. Presentas un nivel de_x000a_programación superior al promedio, demostrando una comprensión profunda de_x000a_estructuras de datos avanzadas y manejo de errores. Sin embargo, la nota final_x000a_se ve afectada por el incumplimiento de los protocolos administrativos y_x000a_pedagógicos del curso.  Puntos a destacar (Excelencia Técnica): _x000a_ Robustez_x000a_     del Código: Es el primer grupo/estudiante que implementa de forma_x000a_     autónoma bloques try-except para validar entradas. Esto evita que el_x000a_     programa colapse si el usuario digita texto en lugar de números. Es una_x000a_     práctica profesional excelente. _x000a_ Estructuras_x000a_     de Datos: El uso de Listas de Diccionarios (paquetes.append({&quot;destino&quot;:_x000a_     destino...})) es una forma muy eficiente de organizar información_x000a_     compleja. Superaste el requerimiento básico de listas simples. _x000a_ Uso_x000a_     de Lambdas: Utilizar key=lambda p: p[&quot;peso&quot;] para ordenar_x000a_     diccionarios demuestra que has profundizado en la documentación de Python.  Oportunidades de Mejora (Autogestión y Reglas): _x000a_ Fase_x000a_     de Diseño (Crítico): No adjuntaste el Diagrama de Flujo ni el Pseudocódigo._x000a_     En este curso, la planeación es tan importante como la ejecución. La_x000a_     rúbrica asigna 10 puntos a este ítem para fomentar que el estudiante_x000a_     piense la lógica antes de codificar. Al no entregarlo, pierdes este_x000a_     puntaje por completo. _x000a_ Trabajo_x000a_     en Equipo: El taller estaba diseñado para ser realizado en grupos de 3_x000a_     para fomentar habilidades colaborativas (competencia clave en EICEA). Al_x000a_     trabajar de forma individual sin una autorización previa por fuerza mayor,_x000a_     se aplica la penalización de -5 puntos establecida. _x000a_ Faltó_x000a_     el Menú Principal: Aunque los dos retos funcionan perfectamente por_x000a_     separado, el enunciado solicitaba un Menú Interactivo único (Ciclo while)_x000a_     que permitiera navegar entre ambos retos sin cerrar el programa.  Motivación: _x000a_Sofia, técnicamente eres muy fuerte. Tienes una capacidad analítica envidiable_x000a_y tu código es limpio y profesional. Si logras alinear ese talento técnico con_x000a_el cumplimiento estricto de las instrucciones administrativas y de diseño_x000a_(planeación), tus resultados serán excepcionales. Te invito a no descuidar la_x000a_&quot;forma&quot; por enfocarte solo en el &quot;fondo&quot;. ¡Cuentas con una_x000a_base técnica muy sólida para el resto del semestre!  RÚBRICA DE EVALUACIÓN - TALLER CORTE 1 (50 PUNTOS) _x000a_ _x000a_  _x000a_  Criterio _x000a_  _x000a_  _x000a_  Descripción Técnica _x000a_  _x000a_  _x000a_  Puntaje Máximo _x000a_  _x000a_  _x000a_  Puntaje Obtenido _x000a_  _x000a_ _x000a_ _x000a_  _x000a_  Lógica y Diseño _x000a_  _x000a_  _x000a_  No se entregó Diagrama de Flujo ni Pseudocódigo en carpeta_x000a_  design/. _x000a_  _x000a_  _x000a_  10.0 _x000a_  _x000a_  _x000a_  0.0 _x000a_  _x000a_ _x000a_ _x000a_  _x000a_  Funcionalidad Python _x000a_  _x000a_  _x000a_  Código excelente, incluye validación de errores (try-except)._x000a_  Faltó el menú while integrador. _x000a_  _x000a_  _x000a_  15.0 _x000a_  _x000a_  _x000a_  12.0 _x000a_  _x000a_ _x000a_ _x000a_  _x000a_  Manejo de Datos _x000a_  _x000a_  _x000a_  Uso avanzado de diccionarios, ciclos for, sum() y_x000a_  ordenamiento por lambda. _x000a_  _x000a_  _x000a_  15.0 _x000a_  _x000a_  _x000a_  15.0 _x000a_  _x000a_ _x000a_ _x000a_  _x000a_  Git &amp;amp; GitHub _x000a_  _x000a_  _x000a_  Se otorga el puntaje base según protocolo (No se baja por_x000a_  no usarlo). _x000a_  _x000a_  _x000a_  10.0 _x000a_  _x000a_  _x000a_  10.0 _x000a_  _x000a_ _x000a_ _x000a_  _x000a_  Penalización _x000a_  _x000a_  _x000a_  Trabajo Individual (Incumplimiento de conformación_x000a_  de grupos). _x000a_  _x000a_  _x000a_  - 5.0 _x000a_  _x000a_  _x000a_  - 5.0 _x000a_  _x000a_ _x000a_ _x000a_  _x000a_  TOTAL _x000a_  _x000a_  _x000a_  _x000a_  50.0 _x000a_  _x000a_  _x000a_  35.0 _x000a_  _x000a_ Diego Mauricio Zuluaga Rodríguez _x000a_Profesor - Departamento de Economía _x000a_Universidad de La Sabana"/>
    <n v="35"/>
    <n v="50"/>
    <n v="0.7"/>
  </r>
  <r>
    <x v="2"/>
    <s v="Valery"/>
    <s v="Linares Hernandez"/>
    <s v="valerylihe@unisabana.edu.co"/>
    <x v="4"/>
    <d v="2026-02-25T00:00:00"/>
    <x v="3"/>
    <s v="Devuelta"/>
    <s v="Retroalimentación de la Entrega: Taller Corte 1 - MVP del_x000a_Emprendedor  Estudiante: María José Botero Galviz, Valery Linares_x000a_Hernandez.  Proyecto: Reto 1 (Logística) y Reto 2 (Gastronomía)  Calificación Final: 40/50 (Equivalente a 4.0 / 5.0) (Nota: Se aplicó un bono de +5 puntos por el uso de GitHub, pero hubo_x000a_penalizaciones por omisión de entregables críticos de autogestión).  Comentarios del Profesor: María José, he revisado tu código y técnicamente está en un_x000a_nivel muy avanzado. Demuestras un dominio de Python que va más allá de lo visto_x000a_en estas primeras clases, lo cual es excelente. Sin embargo, en el mundo de los_x000a_negocios y la tecnología, la excelencia técnica debe ir de la mano con el_x000a_cumplimiento estricto de los requerimientos del cliente (en este caso, la_x000a_rúbrica del taller).  Puntos a destacar (Lo excelente): _x000a_ Nivel_x000a_     Técnico Avanzado: El uso de diccionarios dentro de listas, funciones lambda_x000a_     para el método .sort(), comprensiones de listas (sum(p[&quot;peso&quot;]_x000a_     for p in paquetes)) y operadores ternarios demuestra una lógica de_x000a_     programación muy sólida. _x000a_ Manejo_x000a_     de Errores (UX): Implementaste bloques try-except con ciclos while_x000a_     True para validar que el usuario ingrese números válidos y mayores a cero._x000a_     Esto es una práctica profesional de alto nivel que blinda tu programa_x000a_     contra errores humanos. _x000a_ Iniciativa:_x000a_     Subiste el proyecto a GitHub y compartiste el enlace, lo cual te otorga el_x000a_     bono de +5 puntos, demostrando proactividad.  Oportunidades de Mejora (Autogestión y Seguimiento de_x000a_Instrucciones): _x000a_ Ausencia_x000a_     de Planeación (Diseño): No entregaste el diagrama de flujo ni el_x000a_     pseudocódigo (carpeta design/). Como CTO de tu emprendimiento, la_x000a_     planeación es tan importante como la ejecución. Programar sin documentar_x000a_     la lógica previa penaliza fuertemente el rubro de diseño. _x000a_ Omisión_x000a_     del Menú Principal: La rúbrica exigía explícitamente un Menú_x000a_     Interactivo (Ciclo while) que integrara las opciones del sistema y no_x000a_     se cerrara hasta que el usuario lo decidiera. Tu código ejecuta el Reto 1_x000a_     y luego el Reto 2 de forma secuencial, omitiendo esta estructura central. _x000a_ Falta_x000a_     de Portafolio (README.md): Aunque usaste GitHub, omitiste el archivo README.md._x000a_     En el mercado laboral, un repositorio sin README es un proyecto_x000a_     &quot;invisible&quot; para los reclutadores, ya que no explica qué hace el_x000a_     código ni quién lo hizo.  Motivación: _x000a_Tienes un talento técnico innegable y una lógica matemática muy bien_x000a_estructurada. El reto para ti en este curso será la Autogestión: leer_x000a_detenidamente los requerimientos y asegurar que tu producto cumpla exactamente_x000a_con lo que se pide, además de documentar tu proceso. Si logras alinear tu_x000a_excelente nivel de código con el rigor administrativo, serás una profesional_x000a_imparabl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la carpeta design/ con el_x000a_  pseudocódigo ni el diagrama de flujo. _x000a_  _x000a_  _x000a_  10.0 _x000a_  _x000a_  _x000a_  0.0 _x000a_  _x000a_ _x000a_ _x000a_  _x000a_  Funcionalidad Python _x000a_  _x000a_  _x000a_  10.0: Código robusto y sin errores (uso de try-except)._x000a_  Se descuentan 5 puntos por la ausencia del Menú Interactivo (while) exigido_x000a_  en la rúbrica. _x000a_  _x000a_  _x000a_  15.0 _x000a_  _x000a_  _x000a_  10.0 _x000a_  _x000a_ _x000a_ _x000a_  _x000a_  Manejo de Datos _x000a_  _x000a_  _x000a_  15.0: Uso perfecto y avanzado de listas de_x000a_  diccionarios, ciclos for y .sort(key=lambda). _x000a_  _x000a_  _x000a_  15.0 _x000a_  _x000a_  _x000a_  15.0 _x000a_  _x000a_ _x000a_ _x000a_  _x000a_  Git &amp;amp; GitHub _x000a_  _x000a_  _x000a_  5.0: Se otorgan los puntos base por la exención de_x000a_  clase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3"/>
    <s v="Nicolas"/>
    <s v="Torres Calderon"/>
    <s v="nicolastorca@unisabana.edu.co"/>
    <x v="4"/>
    <d v="2026-02-25T00:00:00"/>
    <x v="3"/>
    <s v="Devuelta"/>
    <s v="Retroalimentación de la Entrega: Taller Corte 1 - MVP del_x000a_Emprendedor  Grupo: Cristian Bermúdez, Juan Camilo Leyton_x000a_Lancheros, Nicolás Torres Calderón. Proyectos: Ruta-Óptima (Reto 1) y Chef-Costos (Reto 2).  Calificación Final: 19/50 (Equivalente a 1.9)  Comentarios del Profesor: Equipo, he revisado su entrega. A nivel de lógica matemática_x000a_y sintaxis de Python, el código que escribieron funciona correctamente. Sin_x000a_embargo, esta entrega presenta fallas críticas en el seguimiento de_x000a_instrucciones y en la competencia de Autogestión, lo cual ha impactado_x000a_severamente su calificación.  Puntos a destacar (Lo técnico): _x000a_ Lógica_x000a_     de Negocio: Las fórmulas matemáticas para calcular el costo de envío y_x000a_     el aumento porcentual de los ingredientes son correctas. _x000a_ Estructuras_x000a_     Avanzadas: Noté que utilizaron diccionarios y la función sorted() con_x000a_     funciones lambda. Aunque esto demuestra que investigaron o tienen_x000a_     conocimientos previos, en este curso evaluamos el dominio de las_x000a_     herramientas vistas en clase (Listas y el método .sort()).  Oportunidades de Mejora Críticas (Autogestión y Sanity_x000a_Check): _x000a_ Incumplimiento_x000a_     del Formato de Entrega (Git/GitHub): La instrucción era clara: debían_x000a_     crear un repositorio público en GitHub con un archivo README.md y subir el_x000a_     enlace a Teams. Ustedes adjuntaron únicamente el archivo .ipynb. En el_x000a_     mundo profesional, no usar el control de versiones solicitado por el_x000a_     cliente o el líder técnico es inaceptable. Esto les costó todos los puntos_x000a_     de esa sección. _x000a_ Ausencia_x000a_     de Planeación (Diseño): No entregaron la carpeta design/ con el_x000a_     pseudocódigo ni el diagrama de flujo. Recuerden la regla de la clase: Primero_x000a_     pensamos, luego codificamos. La falta de esta evidencia penaliza_x000a_     fuertemente la nota. _x000a_ Omisión_x000a_     de Requerimientos Obligatorios: La rúbrica exigía explícitamente un Menú_x000a_     Interactivo utilizando un ciclo while para que el programa no se_x000a_     cerrara solo y permitiera navegar entre los retos. Su código se ejecuta de_x000a_     forma lineal y termina, omitiendo por completo esta estructura de control_x000a_     fundamental.  Motivación: _x000a_Ustedes tienen la capacidad técnica para escribir buen código, eso quedó_x000a_demostrado en la lógica de sus retos. Sin embargo, el éxito de un profesional_x000a_(y de un CTO en una startup) radica en seguir los requerimientos del cliente al_x000a_pie de la letra y gestionar sus entregables de forma organizada. Los invito a_x000a_ajustar su nivel de atención al detalle y autogestión para los próximos cortes._x000a_Tienen el potencial para recuperars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pseudocódigo ni diagrama de_x000a_  flujo (Carpeta design/ ausente). _x000a_  _x000a_  _x000a_  10.0 _x000a_  _x000a_  _x000a_  0.0 _x000a_  _x000a_ _x000a_ _x000a_  _x000a_  Funcionalidad Python _x000a_  _x000a_  _x000a_  7.0: El código corre y usa if/else correctamente,_x000a_  pero omite por completo el ciclo while (Menú interactivo obligatorio). _x000a_  _x000a_  _x000a_  15.0 _x000a_  _x000a_  _x000a_  8.0 _x000a_  _x000a_ _x000a_ _x000a_  _x000a_  Manejo de Datos _x000a_  _x000a_  _x000a_  12.0: Uso correcto de ciclos for. Penalización:_x000a_  Se usó sorted() con lambda en lugar del método .sort() sobre listas anidadas,_x000a_  como se solicitó en la rúbrica. _x000a_  _x000a_  _x000a_  15.0 _x000a_  _x000a_  _x000a_  12.0 _x000a_  _x000a_ _x000a_ _x000a_  _x000a_  Git &amp;amp; GitHub _x000a_  _x000a_  _x000a_  0.0: NA. _x000a_  _x000a_  _x000a_  10.0 _x000a_  _x000a_  _x000a_  10.0 _x000a_  _x000a_ _x000a_ _x000a_  _x000a_  TOTAL _x000a_  _x000a_  _x000a_  _x000a_  50.0 _x000a_  _x000a_  _x000a_  30.0 _x000a_  _x000a_ Diego Mauricio Zuluaga Rodríguez _x000a_Profesor - Departamento de Economía _x000a_Universidad de La Sabana"/>
    <n v="30"/>
    <n v="50"/>
    <n v="0.6"/>
  </r>
  <r>
    <x v="4"/>
    <s v="Cristian"/>
    <s v="Bermudez"/>
    <s v="cristianbe@unisabana.edu.co"/>
    <x v="4"/>
    <d v="2026-02-25T00:00:00"/>
    <x v="3"/>
    <s v="Devuelta"/>
    <s v="Retroalimentación de la Entrega: Taller Corte 1 - MVP del_x000a_Emprendedor  Grupo: Cristian Bermúdez, Juan Camilo Leyton_x000a_Lancheros, Nicolás Torres Calderón. Proyectos: Ruta-Óptima (Reto 1) y Chef-Costos (Reto 2).  Calificación Final: 19/50 (Equivalente a 1.9)  Comentarios del Profesor: Equipo, he revisado su entrega. A nivel de lógica matemática_x000a_y sintaxis de Python, el código que escribieron funciona correctamente. Sin_x000a_embargo, esta entrega presenta fallas críticas en el seguimiento de_x000a_instrucciones y en la competencia de Autogestión, lo cual ha impactado_x000a_severamente su calificación.  Puntos a destacar (Lo técnico): _x000a_ Lógica_x000a_     de Negocio: Las fórmulas matemáticas para calcular el costo de envío y_x000a_     el aumento porcentual de los ingredientes son correctas. _x000a_ Estructuras_x000a_     Avanzadas: Noté que utilizaron diccionarios y la función sorted() con_x000a_     funciones lambda. Aunque esto demuestra que investigaron o tienen_x000a_     conocimientos previos, en este curso evaluamos el dominio de las_x000a_     herramientas vistas en clase (Listas y el método .sort()).  Oportunidades de Mejora Críticas (Autogestión y Sanity_x000a_Check): _x000a_ Incumplimiento_x000a_     del Formato de Entrega (Git/GitHub): La instrucción era clara: debían_x000a_     crear un repositorio público en GitHub con un archivo README.md y subir el_x000a_     enlace a Teams. Ustedes adjuntaron únicamente el archivo .ipynb. En el_x000a_     mundo profesional, no usar el control de versiones solicitado por el_x000a_     cliente o el líder técnico es inaceptable. Esto les costó todos los puntos_x000a_     de esa sección. _x000a_ Ausencia_x000a_     de Planeación (Diseño): No entregaron la carpeta design/ con el_x000a_     pseudocódigo ni el diagrama de flujo. Recuerden la regla de la clase: Primero_x000a_     pensamos, luego codificamos. La falta de esta evidencia penaliza_x000a_     fuertemente la nota. _x000a_ Omisión_x000a_     de Requerimientos Obligatorios: La rúbrica exigía explícitamente un Menú_x000a_     Interactivo utilizando un ciclo while para que el programa no se_x000a_     cerrara solo y permitiera navegar entre los retos. Su código se ejecuta de_x000a_     forma lineal y termina, omitiendo por completo esta estructura de control_x000a_     fundamental.  Motivación: _x000a_Ustedes tienen la capacidad técnica para escribir buen código, eso quedó_x000a_demostrado en la lógica de sus retos. Sin embargo, el éxito de un profesional_x000a_(y de un CTO en una startup) radica en seguir los requerimientos del cliente al_x000a_pie de la letra y gestionar sus entregables de forma organizada. Los invito a_x000a_ajustar su nivel de atención al detalle y autogestión para los próximos cortes._x000a_Tienen el potencial para recuperars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pseudocódigo ni diagrama de_x000a_  flujo (Carpeta design/ ausente). _x000a_  _x000a_  _x000a_  10.0 _x000a_  _x000a_  _x000a_  0.0 _x000a_  _x000a_ _x000a_ _x000a_  _x000a_  Funcionalidad Python _x000a_  _x000a_  _x000a_  7.0: El código corre y usa if/else correctamente,_x000a_  pero omite por completo el ciclo while (Menú interactivo obligatorio). _x000a_  _x000a_  _x000a_  15.0 _x000a_  _x000a_  _x000a_  8.0 _x000a_  _x000a_ _x000a_ _x000a_  _x000a_  Manejo de Datos _x000a_  _x000a_  _x000a_  12.0: Uso correcto de ciclos for. Penalización:_x000a_  Se usó sorted() con lambda en lugar del método .sort() sobre listas anidadas,_x000a_  como se solicitó en la rúbrica. _x000a_  _x000a_  _x000a_  15.0 _x000a_  _x000a_  _x000a_  12.0 _x000a_  _x000a_ _x000a_ _x000a_  _x000a_  Git &amp;amp; GitHub _x000a_  _x000a_  _x000a_  0.0: NA. _x000a_  _x000a_  _x000a_  10.0 _x000a_  _x000a_  _x000a_  10.0 _x000a_  _x000a_ _x000a_ _x000a_  _x000a_  TOTAL _x000a_  _x000a_  _x000a_  _x000a_  50.0 _x000a_  _x000a_  _x000a_  30.0 _x000a_  _x000a_ Diego Mauricio Zuluaga Rodríguez _x000a_Profesor - Departamento de Economía _x000a_Universidad de La Sabana"/>
    <n v="30"/>
    <n v="50"/>
    <n v="0.6"/>
  </r>
  <r>
    <x v="5"/>
    <s v="Mariana"/>
    <s v="Carmona Romero"/>
    <s v="marianacarrom@unisabana.edu.co"/>
    <x v="4"/>
    <d v="2026-02-25T00:00:00"/>
    <x v="3"/>
    <s v="Devuelta"/>
    <s v="Retroalimentación de la Entrega: Taller Corte 1 - MVP del_x000a_Emprendedor  Calificación: 0.0 / 50  Retroalimentación: _x000a_No se encontró registro de entrega en la plataforma Microsoft Teams ni el_x000a_vínculo al repositorio de GitHub solicitado. Según el cronograma oficial y las_x000a_instrucciones dadas, el plazo máximo de entrega venció el miércoles 25 de_x000a_febrero a las 16:00, previo al inicio del primer parcial. Al no existir_x000a_evidencia del trabajo, no es posible aplicar la rúbrica de evaluación.  Motivación: _x000a_Este resultado impacta el 30% de tu nota del primer corte; sin embargo, el_x000a_semestre apenas comienza. Te invito a reflexionar sobre tu proceso de autogestión_x000a_y organización del tiempo. Quedan por delante el Corte 2 y el Corte 3 (70%_x000a_restante del semestre), donde tienes la oportunidad de demostrar tu compromiso_x000a_y habilidades técnicas. Asegúrate de cumplir con las fechas establecidas en el_x000a_Syllabus para evitar futuras penalizaciones. Diego Mauricio Zuluaga Rodríguez _x000a_Profesor - Departamento de Economía _x000a_Universidad de La Sabana"/>
    <n v="0"/>
    <n v="50"/>
    <n v="0"/>
  </r>
  <r>
    <x v="6"/>
    <s v="Mariana"/>
    <s v="Pena Rodriguez"/>
    <s v="marianapero@unisabana.edu.co"/>
    <x v="4"/>
    <d v="2026-02-25T00:00:00"/>
    <x v="3"/>
    <s v="Devuelta"/>
    <s v="Retroalimentación de la Entrega: Taller Corte 1 - MVP del_x000a_Emprendedor Grupo: Mariana Peña Rodríguez, Matías Mondragón_x000a_Osorio, Arianne Mariana Amorocho Quiroga. Proyecto: Ketoz - Sistema Central MVP Comentarios del Profesor: Equipo, han entregado un proyecto sobresaliente. Han logrado_x000a_conectar la teoría de la programación con un caso de negocio real y tangible_x000a_(Ketoz), lo cual es exactamente el objetivo del aprendizaje experiencial en la_x000a_EICEA. Puntos a destacar (Lo excelente): _x000a_ Portafolio_x000a_     Profesional (GitHub): El archivo README.md es de nivel_x000a_     profesional. Explicar el contexto de la empresa (importación de repuestos)_x000a_     y el rol de cada uno le da un valor inmenso a su portafolio. Además,_x000a_     lograron implementar Git y GitHub por su cuenta, lo cual demuestra una_x000a_     excelente capacidad de investigación y les otorga el bono de +5 puntos. _x000a_ Lógica_x000a_     y Diseño: El diagrama de flujo adjunto en la carpeta design/ es_x000a_     claro, estructurado y, lo más importante, coincide exactamente con la_x000a_     lógica del código final. Hicieron el trabajo de pensar antes de programar. _x000a_ Estructuras_x000a_     Modernas: La implementación de match/case para el menú_x000a_     principal demuestra que están explorando características modernas de_x000a_     Python (3.10+), yendo más allá de lo básico. _x000a_ Manejo_x000a_     de Datos: El uso de .sort() fue impecable. Entendieron_x000a_     perfectamente que al guardar los datos en las sublistas ([nombre, compra] y [peso,_x000a_     destino]), Python ordenaría automáticamente por el primer elemento_x000a_     (alfabético para mercadeo, numérico para logística). Oportunidad de Mejora (Sanity Check y Autogestión): _x000a_ Manejo_x000a_     de Errores (UX): En la ejecución de su Notebook quedó registrado_x000a_     un error ValueError: could not convert string to float: ''. Esto_x000a_     ocurre cuando el usuario presiona &quot;Enter&quot; sin escribir un_x000a_     número. Para futuros proyectos, recuerden lo que vimos sobre el_x000a_     bloque try-except para blindar el programa y evitar que colapse_x000a_     por un error de digitación del usuario. _x000a_ Puntualidad: El_x000a_     proyecto fue entregado 1 hora tarde. En el mundo de los negocios y la_x000a_     tecnología, los tiempos de despliegue son críticos. Por las reglas de_x000a_     autogestión del curso, esto genera una penalización de -5 puntos (0.5_x000a_     décimas). Afortunadamente, su proactividad con GitHub compensó esta_x000a_     pérdida, pero tengan mucho cuidado con los tiempos en el futuro. Motivación: _x000a_Tienen madera para liderar proyectos tecnológicos en sus respectivas áreas_x000a_(Mercadeo, Logística y Gastronomía). Han demostrado que no solo saben escribir_x000a_código, sino que entienden para qué sirve ese código en el_x000a_mundo real. ¡Sigan con este nivel de excelenci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excelente. Refleja la planeación exacta_x000a_  del código (Menú, Ciclos y Decisiones). _x000a_  _x000a_  _x000a_  10.0 _x000a_  _x000a_  _x000a_  10.0 _x000a_  _x000a_ _x000a_ _x000a_  _x000a_  Funcionalidad Python _x000a_  _x000a_  _x000a_  Uso correcto de while True, match/case y_x000a_  condicionales lógicos para ambos retos. _x000a_  _x000a_  _x000a_  15.0 _x000a_  _x000a_  _x000a_  15.0 _x000a_  _x000a_ _x000a_ _x000a_  _x000a_  Manejo de Datos _x000a_  _x000a_  _x000a_  Implementación perfecta de listas anidadas, ciclos for y_x000a_  el método .sort(). _x000a_  _x000a_  _x000a_  15.0 _x000a_  _x000a_  _x000a_  15.0 _x000a_  _x000a_ _x000a_ _x000a_  _x000a_  Git &amp;amp; GitHub _x000a_  _x000a_  _x000a_  Repositorio público impecable y README.md con_x000a_  contexto de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Penalización _x000a_  _x000a_  _x000a_  Entrega extemporánea (1 hora tarde). Reglas de_x000a_  Autogestión. _x000a_  _x000a_  _x000a_  - 5.0 _x000a_  _x000a_  _x000a_  - 5.0 _x000a_  _x000a_ _x000a_ _x000a_  _x000a_  TOTAL _x000a_  _x000a_  _x000a_  _x000a_  50.0 _x000a_  _x000a_  _x000a_  50.0 _x000a_  _x000a_ Diego Mauricio Zuluaga Rodríguez _x000a_Profesor - Departamento de Economía _x000a_Universidad de La Sabana"/>
    <n v="50"/>
    <n v="50"/>
    <n v="1"/>
  </r>
  <r>
    <x v="7"/>
    <s v="Isabella"/>
    <s v="Carranza Tapiero"/>
    <s v="isabellacata@unisabana.edu.co"/>
    <x v="4"/>
    <d v="2026-02-25T00:00:00"/>
    <x v="3"/>
    <s v="Devuelta"/>
    <s v="Retroalimentación de la Entrega: Taller Corte 1 - MVP del_x000a_Emprendedor  Estudiante: Carranza Tapiero, Isabella. Estado: Trabajo Individual (Penalización aplicada).  Calificación Final: 10/50 (Equivalente a 1.0)  Comentarios del Profesor: Isabella, he revisado tu entrega y debo ser muy directo_x000a_contigo: el resultado es insuficiente para aprobar este corte.  Análisis de la Entrega: _x000a_ Ausencia_x000a_     de Código (Falta Grave): No entregaste el archivo .ipynb ni el script .py._x000a_     Esta asignatura es &quot;Programación y Decisiones&quot;; sin el código_x000a_     funcional en Python, no hay evidencia de que hayas adquirido las_x000a_     competencias técnicas del corte (Listas, Ciclos, Condicionales). El_x000a_     pseudocódigo por sí solo no es ejecutable. _x000a_ Lógica_x000a_     Genérica: El pseudocódigo y el diagrama que subiste (&quot;Sistema de_x000a_     Gestión de Datos&quot;) son estructuras genéricas. El taller solicitaba_x000a_     explícitamente resolver retos de negocio concretos (Logística,_x000a_     Gastronomía, Economía, etc.) con reglas de negocio específicas (cálculo de_x000a_     fletes, inflación, bonos). Tu algoritmo no resuelve ninguno de estos_x000a_     problemas; solo describe una lista genérica sin lógica de negocio. _x000a_ Trabajo_x000a_     Individual: El taller exigía trabajo en grupos de 3 para fomentar la_x000a_     competencia de trabajo en equipo. Al trabajar sola, se aplica la_x000a_     penalización estipulada de -5 puntos.  Sobre el Parcial: _x000a_Dado que ya realizamos el parcial, espero que hayas podido demostrar allí las_x000a_habilidades de codificación que no se evidenciaron en este taller.  Motivación: _x000a_Una nota de 1.0 golpea fuerte el promedio, pero estamos iniciando el semestre._x000a_Para el Corte 2 (Programación Orientada a Objetos), necesito ver un cambio_x000a_radical en tu autogestión. Debes entregar código funcional y cumplir con los_x000a_requerimientos específicos del cliente (el enunciado). No te desanimes, pero_x000a_toma esto como una alerta roja para ajustar el rumbo inmediatamen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Se entrega diagrama y pseudocódigo, pero son genéricos y_x000a_  no resuelven los retos planteados en el enunciado (No hay lógica de negocio). _x000a_  _x000a_  _x000a_  10.0 _x000a_  _x000a_  _x000a_  5.0 _x000a_  _x000a_ _x000a_ _x000a_  _x000a_  Funcionalidad Python _x000a_  _x000a_  _x000a_  No se entregó código. No hay evidencia de menús,_x000a_  ciclos o condicionales en Python. _x000a_  _x000a_  _x000a_  15.0 _x000a_  _x000a_  _x000a_  0.0 _x000a_  _x000a_ _x000a_ _x000a_  _x000a_  Manejo de Datos _x000a_  _x000a_  _x000a_  No se entregó código. No hay evidencia de_x000a_  manipulación de listas o métodos de ordenamiento. _x000a_  _x000a_  _x000a_  15.0 _x000a_  _x000a_  _x000a_  0.0 _x000a_  _x000a_ _x000a_ _x000a_  _x000a_  Git &amp;amp; GitHub _x000a_  _x000a_  _x000a_  Ajuste por Temario: Se otorgan los puntos base ya_x000a_  que el tema no se alcanzó a cubrir en clase presencial. _x000a_  _x000a_  _x000a_  10.0 _x000a_  _x000a_  _x000a_  10.0 _x000a_  _x000a_ _x000a_ _x000a_  _x000a_  Penalización _x000a_  _x000a_  _x000a_  Trabajo Individual (Debía ser grupal). _x000a_  _x000a_  _x000a_  - 5.0 _x000a_  _x000a_  _x000a_  - 5.0 _x000a_  _x000a_ _x000a_ _x000a_  _x000a_  TOTAL _x000a_  _x000a_  _x000a_  _x000a_  50.0 _x000a_  _x000a_  _x000a_  10.0 _x000a_  _x000a_ Diego Mauricio Zuluaga Rodríguez _x000a_Profesor - Departamento de Economía _x000a_Universidad de La Sabana"/>
    <n v="10"/>
    <n v="50"/>
    <n v="0.2"/>
  </r>
  <r>
    <x v="8"/>
    <s v="Samuel David"/>
    <s v="Lozano Holguin"/>
    <s v="samuelloho@unisabana.edu.co"/>
    <x v="4"/>
    <d v="2026-02-25T00:00:00"/>
    <x v="3"/>
    <s v="Devuelta"/>
    <s v="Retroalimentación de la Entrega: Taller Corte 1 - MVP del_x000a_Emprendedor  Grupo: Samuel Gonzales, Samuel Lozano, Sebastián_x000a_Vanoy. Retos Seleccionados: Logística (&quot;Ruta-Óptima&quot;) y Economía_x000a_(&quot;Dolar-Track&quot;).  Calificación Final: 50/50 (Equivalente a 5.0)  Comentarios del Profesor: Equipo, han realizado un trabajo sólido y funcional._x000a_Lograron implementar la lógica requerida para ambos retos, demostrando un buen_x000a_entendimiento de las estructuras de control (while, if/elif/else) y el manejo_x000a_de listas.  Puntos a destacar (Lo bueno): _x000a_ Lógica_x000a_     de Logística (Reto 1): La implementación de zip() para unir las listas_x000a_     (pesos, destinos, tipos, costos) antes de ordenar es una solución técnica_x000a_     muy inteligente y eficiente. Esto garantiza que al ordenar por peso, la_x000a_     información del destino y el costo no se &quot;descuadre&quot;. ¡Excelente_x000a_     recurso! _x000a_ Validaciones_x000a_     de Seguridad (Sanity Checks): Me gustó ver que incluyeron validaciones_x000a_     como if len(pesos) &amp;lt; 5: o if len(TRM_dias_anteriores) == 0:. Esto evita_x000a_     que el programa colapse si el usuario intenta calcular sin haber ingresado_x000a_     datos, lo cual demuestra madurez en su lógica de programación. _x000a_ Diagramas_x000a_     de Flujo: Los diagramas adjuntos en PDF son claros y coinciden con la_x000a_     lógica implementada en el código, cumpliendo con el requisito de diseño_x000a_     previo.  Oportunidades de Mejora (Para el futuro): _x000a_ Redundancia_x000a_     en el Reto 3 (Economía): Noté que en las opciones '2' y '3' repiten el_x000a_     bloque de código para calcular el promedio (sum / len). En programación,_x000a_     cuando vean que están copiando y pegando el mismo código varias veces, es_x000a_     una señal para optimizar (quizás calculando el promedio una sola vez al_x000a_     inicio o usando una función). _x000a_ Experiencia_x000a_     de Usuario (UX): En el Reto 3, al seleccionar la opción 1, el programa_x000a_     pide los 7 datos y automáticamente los imprime ordenados. Sería_x000a_     mejor separar el &quot;Ingreso&quot; del &quot;Reporte&quot;, tal como lo_x000a_     hicieron en el Reto 1, para darle más control al usuario.  Motivación: _x000a_Tienen una base técnica muy fuerte. El uso de zip() demuestra que están_x000a_investigando y yendo más allá de lo básico. Sigan cultivando esa curiosidad_x000a_técnica, porque es lo que diferencia a un programador promedio de uno_x000a_excelente. ¡Buen trabajo!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claros y coherentes con el código_x000a_  entregado. _x000a_  _x000a_  _x000a_  10.0 _x000a_  _x000a_  _x000a_  10.0 _x000a_  _x000a_ _x000a_ _x000a_  _x000a_  Funcionalidad Python _x000a_  _x000a_  _x000a_  Código funcional, sin errores de sintaxis y con menús_x000a_  interactivos robustos. _x000a_  _x000a_  _x000a_  15.0 _x000a_  _x000a_  _x000a_  15.0 _x000a_  _x000a_ _x000a_ _x000a_  _x000a_  Manejo de Datos _x000a_  _x000a_  _x000a_  Uso avanzado de listas (incluyendo zip y clear) y ciclos for_x000a_  correctos. _x000a_  _x000a_  _x000a_  15.0 _x000a_  _x000a_  _x000a_  15.0 _x000a_  _x000a_ _x000a_ _x000a_  _x000a_  Git &amp;amp; GitHub _x000a_  _x000a_  _x000a_  (No evaluado por tiempos de clase - Se otorga el_x000a_  puntaje base). _x000a_  _x000a_  _x000a_  10.0 _x000a_  _x000a_  _x000a_  10.0 _x000a_  _x000a_ _x000a_ _x000a_  _x000a_  TOTAL _x000a_  _x000a_  _x000a_  _x000a_  50.0 _x000a_  _x000a_  _x000a_  50.0 _x000a_  _x000a_ Diego Mauricio Zuluaga Rodríguez _x000a_Profesor - Departamento de Economía _x000a_Universidad de La Sabana"/>
    <n v="50"/>
    <n v="50"/>
    <n v="1"/>
  </r>
  <r>
    <x v="9"/>
    <s v="Sebastian"/>
    <s v="Vanoy Gutierrez"/>
    <s v="sebastianvagu@unisabana.edu.co"/>
    <x v="4"/>
    <d v="2026-02-25T00:00:00"/>
    <x v="3"/>
    <s v="Devuelta"/>
    <s v="Retroalimentación de la Entrega: Taller Corte 1 - MVP del_x000a_Emprendedor  Grupo: Samuel Gonzales, Samuel Lozano, Sebastián_x000a_Vanoy. Retos Seleccionados: Logística (&quot;Ruta-Óptima&quot;) y Economía_x000a_(&quot;Dolar-Track&quot;).  Calificación Final: 50/50 (Equivalente a 5.0)  Comentarios del Profesor: Equipo, han realizado un trabajo sólido y funcional._x000a_Lograron implementar la lógica requerida para ambos retos, demostrando un buen_x000a_entendimiento de las estructuras de control (while, if/elif/else) y el manejo_x000a_de listas.  Puntos a destacar (Lo bueno): _x000a_ Lógica_x000a_     de Logística (Reto 1): La implementación de zip() para unir las listas_x000a_     (pesos, destinos, tipos, costos) antes de ordenar es una solución técnica_x000a_     muy inteligente y eficiente. Esto garantiza que al ordenar por peso, la_x000a_     información del destino y el costo no se &quot;descuadre&quot;. ¡Excelente_x000a_     recurso! _x000a_ Validaciones_x000a_     de Seguridad (Sanity Checks): Me gustó ver que incluyeron validaciones_x000a_     como if len(pesos) &amp;lt; 5: o if len(TRM_dias_anteriores) == 0:. Esto evita_x000a_     que el programa colapse si el usuario intenta calcular sin haber ingresado_x000a_     datos, lo cual demuestra madurez en su lógica de programación. _x000a_ Diagramas_x000a_     de Flujo: Los diagramas adjuntos en PDF son claros y coinciden con la_x000a_     lógica implementada en el código, cumpliendo con el requisito de diseño_x000a_     previo.  Oportunidades de Mejora (Para el futuro): _x000a_ Redundancia_x000a_     en el Reto 3 (Economía): Noté que en las opciones '2' y '3' repiten el_x000a_     bloque de código para calcular el promedio (sum / len). En programación,_x000a_     cuando vean que están copiando y pegando el mismo código varias veces, es_x000a_     una señal para optimizar (quizás calculando el promedio una sola vez al_x000a_     inicio o usando una función). _x000a_ Experiencia_x000a_     de Usuario (UX): En el Reto 3, al seleccionar la opción 1, el programa_x000a_     pide los 7 datos y automáticamente los imprime ordenados. Sería_x000a_     mejor separar el &quot;Ingreso&quot; del &quot;Reporte&quot;, tal como lo_x000a_     hicieron en el Reto 1, para darle más control al usuario.  Motivación: _x000a_Tienen una base técnica muy fuerte. El uso de zip() demuestra que están_x000a_investigando y yendo más allá de lo básico. Sigan cultivando esa curiosidad_x000a_técnica, porque es lo que diferencia a un programador promedio de uno_x000a_excelente. ¡Buen trabajo!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claros y coherentes con el código_x000a_  entregado. _x000a_  _x000a_  _x000a_  10.0 _x000a_  _x000a_  _x000a_  10.0 _x000a_  _x000a_ _x000a_ _x000a_  _x000a_  Funcionalidad Python _x000a_  _x000a_  _x000a_  Código funcional, sin errores de sintaxis y con menús_x000a_  interactivos robustos. _x000a_  _x000a_  _x000a_  15.0 _x000a_  _x000a_  _x000a_  15.0 _x000a_  _x000a_ _x000a_ _x000a_  _x000a_  Manejo de Datos _x000a_  _x000a_  _x000a_  Uso avanzado de listas (incluyendo zip y clear) y ciclos for_x000a_  correctos. _x000a_  _x000a_  _x000a_  15.0 _x000a_  _x000a_  _x000a_  15.0 _x000a_  _x000a_ _x000a_ _x000a_  _x000a_  Git &amp;amp; GitHub _x000a_  _x000a_  _x000a_  (No evaluado por tiempos de clase - Se otorga el_x000a_  puntaje base). _x000a_  _x000a_  _x000a_  10.0 _x000a_  _x000a_  _x000a_  10.0 _x000a_  _x000a_ _x000a_ _x000a_  _x000a_  TOTAL _x000a_  _x000a_  _x000a_  _x000a_  50.0 _x000a_  _x000a_  _x000a_  50.0 _x000a_  _x000a_ Diego Mauricio Zuluaga Rodríguez _x000a_Profesor - Departamento de Economía _x000a_Universidad de La Sabana"/>
    <n v="50"/>
    <n v="50"/>
    <n v="1"/>
  </r>
  <r>
    <x v="10"/>
    <s v="Jose Daniel"/>
    <s v="Escobar Hurtado"/>
    <s v="joseeshu@unisabana.edu.co"/>
    <x v="4"/>
    <d v="2026-02-25T00:00:00"/>
    <x v="3"/>
    <s v="Devuelta"/>
    <s v="Retroalimentación de la Entrega: Taller Corte 1 - MVP del_x000a_Emprendedor  Grupo: José Daniel Escobar, Laura Fernanda López,_x000a_Juan David Neuta. Startup: FinData Analytics / Game Zone (Nota sobre consistencia abajo).  Calificación Final: 50/50 (Equivalente a 5.0) (Nota: Se aplicó un bono de +5 puntos por el uso de Git/GitHub).  Comentarios del Profesor: Equipo, han realizado un trabajo técnicamente sólido y muy_x000a_completo. Han demostrado dominio en la lógica de programación y en la_x000a_estructuración de soluciones.  Puntos a destacar (Lo excelente): _x000a_ Doble_x000a_     Implementación: Me sorprendió gratamente ver que desarrollaron dos_x000a_     soluciones completas en el mismo repositorio: &quot;Dolar-Track&quot;_x000a_     (Finanzas) y &quot;Game Zone&quot; (Videojuegos). Ambos códigos son_x000a_     funcionales, robustos y cumplen con la rúbrica. Esto demuestra un esfuerzo_x000a_     superior al requerido. _x000a_ Manejo_x000a_     de Errores (Try-Except): En el código de &quot;Game Zone&quot;,_x000a_     implementaron bloques try-except para validar las entradas del usuario._x000a_     Esto es vital para la experiencia de usuario (UX) y evita que el programa_x000a_     colapse si alguien escribe letras en lugar de números. ¡Excelente_x000a_     iniciativa! _x000a_ Portafolio_x000a_     Profesional (GitHub): Su repositorio está bien estructurado, con_x000a_     carpetas separadas para diseño y código. El README.md es claro y_x000a_     profesional. Además, ganaron el bono de +5 puntos por investigar e_x000a_     implementar Git por su cuenta. _x000a_ Lógica_x000a_     de Negocio: En &quot;Dolar-Track&quot;, la lógica para calcular la_x000a_     volatilidad (max - min) y las alertas de compra/venta es correcta y útil_x000a_     para el perfil financiero.  Oportunidad de Mejora (Coherencia del Proyecto): _x000a_ Identidad_x000a_     de la Startup: En el README.md se presentan como &quot;FinData_x000a_     Analytics&quot; (Fintech), pero en el código incluyen un sistema para una_x000a_     tienda de videojuegos (&quot;Game Zone&quot;). Aunque ambos códigos son_x000a_     excelentes, para futuras entregas asegúrense de que todo el repositorio_x000a_     gire en torno a una sola idea de negocio coherente. Si son una_x000a_     Fintech, el segundo reto podría haber sido el de_x000a_     &quot;Nomina-Express&quot; o &quot;Chef-Costos&quot; adaptado a costos_x000a_     financieros, para mantener la narrativa.  Motivación: _x000a_Tienen un nivel técnico muy alto. La capacidad de implementar validaciones de_x000a_errores y manejar múltiples lógicas de negocio los pone en una posición de_x000a_ventaja. Sigan cultivando esa curiosidad técnica; es lo que diferencia a un_x000a_buen profesional de uno excelen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y pseudocódigos claros para ambos retos en la_x000a_  carpeta design/. Coinciden con el código. _x000a_  _x000a_  _x000a_  10.0 _x000a_  _x000a_  _x000a_  10.0 _x000a_  _x000a_ _x000a_ _x000a_  _x000a_  Funcionalidad Python _x000a_  _x000a_  _x000a_  Código funcional, menús interactivos robustos y validación_x000a_  de errores (try-except). _x000a_  _x000a_  _x000a_  15.0 _x000a_  _x000a_  _x000a_  15.0 _x000a_  _x000a_ _x000a_ _x000a_  _x000a_  Manejo de Datos _x000a_  _x000a_  _x000a_  Uso correcto de listas, tuplas, ciclos for y métodos de_x000a_  ordenamiento (sorted y .sort). _x000a_  _x000a_  _x000a_  15.0 _x000a_  _x000a_  _x000a_  15.0 _x000a_  _x000a_ _x000a_ _x000a_  _x000a_  Git &amp;amp; GitHub _x000a_  _x000a_  _x000a_  Repositorio público bien configurado con README.md_x000a_  profesional.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11"/>
    <s v="Maria Jose"/>
    <s v="Botero Galviz"/>
    <s v="mariabotga@unisabana.edu.co"/>
    <x v="4"/>
    <d v="2026-02-25T00:00:00"/>
    <x v="3"/>
    <s v="Devuelta"/>
    <s v="Retroalimentación de la Entrega: Taller Corte 1 - MVP del_x000a_Emprendedor  Estudiante: María José Botero Galviz, Valery Linares_x000a_Hernandez.  Proyecto: Reto 1 (Logística) y Reto 2 (Gastronomía)  Calificación Final: 40/50 (Equivalente a 4.0 / 5.0) (Nota: Se aplicó un bono de +5 puntos por el uso de GitHub, pero hubo_x000a_penalizaciones por omisión de entregables críticos de autogestión).  Comentarios del Profesor: María José, he revisado tu código y técnicamente está en un_x000a_nivel muy avanzado. Demuestras un dominio de Python que va más allá de lo visto_x000a_en estas primeras clases, lo cual es excelente. Sin embargo, en el mundo de los_x000a_negocios y la tecnología, la excelencia técnica debe ir de la mano con el_x000a_cumplimiento estricto de los requerimientos del cliente (en este caso, la_x000a_rúbrica del taller).  Puntos a destacar (Lo excelente): _x000a_ Nivel_x000a_     Técnico Avanzado: El uso de diccionarios dentro de listas, funciones lambda_x000a_     para el método .sort(), comprensiones de listas (sum(p[&quot;peso&quot;]_x000a_     for p in paquetes)) y operadores ternarios demuestra una lógica de_x000a_     programación muy sólida. _x000a_ Manejo_x000a_     de Errores (UX): Implementaste bloques try-except con ciclos while_x000a_     True para validar que el usuario ingrese números válidos y mayores a cero._x000a_     Esto es una práctica profesional de alto nivel que blinda tu programa_x000a_     contra errores humanos. _x000a_ Iniciativa:_x000a_     Subiste el proyecto a GitHub y compartiste el enlace, lo cual te otorga el_x000a_     bono de +5 puntos, demostrando proactividad.  Oportunidades de Mejora (Autogestión y Seguimiento de_x000a_Instrucciones): _x000a_ Ausencia_x000a_     de Planeación (Diseño): No entregaste el diagrama de flujo ni el_x000a_     pseudocódigo (carpeta design/). Como CTO de tu emprendimiento, la_x000a_     planeación es tan importante como la ejecución. Programar sin documentar_x000a_     la lógica previa penaliza fuertemente el rubro de diseño. _x000a_ Omisión_x000a_     del Menú Principal: La rúbrica exigía explícitamente un Menú_x000a_     Interactivo (Ciclo while) que integrara las opciones del sistema y no_x000a_     se cerrara hasta que el usuario lo decidiera. Tu código ejecuta el Reto 1_x000a_     y luego el Reto 2 de forma secuencial, omitiendo esta estructura central. _x000a_ Falta_x000a_     de Portafolio (README.md): Aunque usaste GitHub, omitiste el archivo README.md._x000a_     En el mercado laboral, un repositorio sin README es un proyecto_x000a_     &quot;invisible&quot; para los reclutadores, ya que no explica qué hace el_x000a_     código ni quién lo hizo.  Motivación: _x000a_Tienes un talento técnico innegable y una lógica matemática muy bien_x000a_estructurada. El reto para ti en este curso será la Autogestión: leer_x000a_detenidamente los requerimientos y asegurar que tu producto cumpla exactamente_x000a_con lo que se pide, además de documentar tu proceso. Si logras alinear tu_x000a_excelente nivel de código con el rigor administrativo, serás una profesional_x000a_imparabl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la carpeta design/ con el_x000a_  pseudocódigo ni el diagrama de flujo. _x000a_  _x000a_  _x000a_  10.0 _x000a_  _x000a_  _x000a_  0.0 _x000a_  _x000a_ _x000a_ _x000a_  _x000a_  Funcionalidad Python _x000a_  _x000a_  _x000a_  10.0: Código robusto y sin errores (uso de try-except)._x000a_  Se descuentan 5 puntos por la ausencia del Menú Interactivo (while) exigido_x000a_  en la rúbrica. _x000a_  _x000a_  _x000a_  15.0 _x000a_  _x000a_  _x000a_  10.0 _x000a_  _x000a_ _x000a_ _x000a_  _x000a_  Manejo de Datos _x000a_  _x000a_  _x000a_  15.0: Uso perfecto y avanzado de listas de_x000a_  diccionarios, ciclos for y .sort(key=lambda). _x000a_  _x000a_  _x000a_  15.0 _x000a_  _x000a_  _x000a_  15.0 _x000a_  _x000a_ _x000a_ _x000a_  _x000a_  Git &amp;amp; GitHub _x000a_  _x000a_  _x000a_  5.0: Se otorgan los puntos base por la exención de_x000a_  clase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12"/>
    <s v="Maria Juliana"/>
    <s v="Mejia Quintero"/>
    <s v="mariamequ@unisabana.edu.co"/>
    <x v="4"/>
    <d v="2026-02-25T00:00:00"/>
    <x v="3"/>
    <s v="Devuelta"/>
    <s v="Retroalimentación de la Entrega: Taller Corte 1 -_x000a_SmartChef MVP  Grupo:  CARMONA ROMERO, MARIANA _x000a_HERRERA PULIDO, MARIA JULIANA _x000a_MEJIA QUINTERO, MARIA JULIANA.  Proyecto: SmartChef MVP (Reto Gastronomía)  Calificación Final: 50/50 (Equivalente a 5.0) (Nota: Se aplicó un bono de +5 puntos por el uso proactivo de Git/GitHub, lo_x000a_que asegura la nota máxima).  Comentarios del Profesor: Equipo, han realizado un trabajo sólido y funcional. Han_x000a_logrado traducir la lógica de un problema de negocio (control de costos en_x000a_gastronomía) a una solución técnica en Python.  Puntos a destacar (Lo excelente): _x000a_ Lógica_x000a_     de Negocio Clara: El cálculo del aumento porcentual ((actual - base) /_x000a_     base) * 100 y la proyección del precio de venta con margen del 35% (total_x000a_     * 1.35) demuestran que entendieron perfectamente el requerimiento_x000a_     financiero del reto. _x000a_ Uso_x000a_     Avanzado de Ordenamiento: Me impresionó gratamente el uso de sorted(zip(...),_x000a_     key=lambda...). Esta es una técnica avanzada para ordenar dos listas_x000a_     paralelas (nombres y precios) manteniéndolas sincronizadas. Aunque en_x000a_     clase vimos el método de &quot;listas de listas&quot; (ej: [[precio,_x000a_     nombre]]), su solución es válida, elegante y demuestra investigación_x000a_     autónoma. _x000a_ Diagrama_x000a_     de Flujo Coherente: El diagrama en draw.io refleja fielmente la_x000a_     estructura del código, con las decisiones claras para cada opción del_x000a_     menú. Esto valida el proceso de diseño previo. _x000a_ Bono_x000a_     de Autogestión (GitHub): Aunque no era obligatorio por tiempos de_x000a_     clase, el hecho de que hayan creado el repositorio, subido el código y el_x000a_     diagrama les otorga el bono de +5 puntos. Esto habla muy bien de su_x000a_     compromiso profesional.  Oportunidad de Mejora (Para el futuro): _x000a_ Estructura_x000a_     de Datos: Si bien zip funciona, para proyectos más grandes es mejor_x000a_     usar una sola lista que contenga sub-listas (ej: ingredientes = [[nombre,_x000a_     precio_base, precio_actual]]). Esto evita tener que manejar 3 listas_x000a_     separadas (ingredientes, precios_base, precios_actuales) que podrían_x000a_     desincronizarse si el código crece. _x000a_ Validación_x000a_     de Errores: Al igual que en la retroalimentación general, recuerden_x000a_     que el input() puede fallar si el usuario escribe letras en vez de_x000a_     números. Implementar try-except será el siguiente paso para blindar su_x000a_     aplicación.  Motivación: _x000a_Han demostrado una gran capacidad técnica. El uso de funciones lambda para el_x000a_ordenamiento es un indicio de que pueden llegar muy lejos en programación si_x000a_siguen curiosas. ¡Excelente trabajo, futuras líderes!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en draw.io que coincide con la_x000a_  lógica del menú y procesos. _x000a_  _x000a_  _x000a_  10.0 _x000a_  _x000a_  _x000a_  10.0 _x000a_  _x000a_ _x000a_ _x000a_  _x000a_  Funcionalidad Python _x000a_  _x000a_  _x000a_  Código funcional. Menú while, cálculos financieros_x000a_  correctos y alertas de inflación. _x000a_  _x000a_  _x000a_  15.0 _x000a_  _x000a_  _x000a_  15.0 _x000a_  _x000a_ _x000a_ _x000a_  _x000a_  Manejo de Datos _x000a_  _x000a_  _x000a_  Uso correcto de listas y ciclos. Implementación avanzada_x000a_  de ordenamiento con lambda. _x000a_  _x000a_  _x000a_  15.0 _x000a_  _x000a_  _x000a_  15.0 _x000a_  _x000a_ _x000a_ _x000a_  _x000a_  Git &amp;amp; GitHub _x000a_  _x000a_  _x000a_  Repositorio creado correctamente (Bono aplicado por_x000a_  autogestión). _x000a_  _x000a_  _x000a_  10.0 _x000a_  _x000a_  _x000a_  10.0 _x000a_  _x000a_ _x000a_ _x000a_  _x000a_  Bono Extra _x000a_  _x000a_  _x000a_  Investigación autónoma (Uso de zip y lambda + GitHub).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13"/>
    <s v="Alejandra"/>
    <s v="Leon Vargas"/>
    <s v="alejandraleva@unisabana.edu.co"/>
    <x v="4"/>
    <d v="2026-02-25T00:00:00"/>
    <x v="3"/>
    <s v="Devuelta"/>
    <s v="Retroalimentación de la Entrega: Taller Corte 1 - MVP del_x000a_Emprendedor  Calificación: 0.0 / 50  Retroalimentación: _x000a_No se encontró registro de entrega en la plataforma Microsoft Teams ni el_x000a_vínculo al repositorio de GitHub solicitado. Según el cronograma oficial y las_x000a_instrucciones dadas, el plazo máximo de entrega venció el miércoles 25 de_x000a_febrero a las 16:00, previo al inicio del primer parcial. Al no existir_x000a_evidencia del trabajo, no es posible aplicar la rúbrica de evaluación.  Motivación: _x000a_Este resultado impacta el 30% de tu nota del primer corte; sin embargo, el_x000a_semestre apenas comienza. Te invito a reflexionar sobre tu proceso de autogestión_x000a_y organización del tiempo. Quedan por delante el Corte 2 y el Corte 3 (70%_x000a_restante del semestre), donde tienes la oportunidad de demostrar tu compromiso_x000a_y habilidades técnicas. Asegúrate de cumplir con las fechas establecidas en el_x000a_Syllabus para evitar futuras penalizaciones. Diego Mauricio Zuluaga Rodríguez _x000a_Profesor - Departamento de Economía _x000a_Universidad de La Sabana"/>
    <n v="0"/>
    <n v="50"/>
    <n v="0"/>
  </r>
  <r>
    <x v="14"/>
    <s v="Alessandro Di Mauro"/>
    <s v="Bonilla Correa"/>
    <s v="alessandroboco@unisabana.edu.co"/>
    <x v="4"/>
    <d v="2026-02-25T00:00:00"/>
    <x v="3"/>
    <s v="Devuelta"/>
    <s v="Retroalimentación de la Entrega: Taller Corte 1 - MVP del_x000a_Emprendedor  Grupo: Alessandro Di Mauro Bonilla Correa, Maria Jose_x000a_Huertas Osorio, Gabriela Ruiz Perez. Proyecto: No registrado.  Calificación Final: 0.0 / 50 (Equivalente a 0.0)  Comentarios del Profesor: Lamento informar que, al cierre del buzón el pasado miércoles_x000a_25 de febrero a las 16:00, no se encontró registro de su entrega en la_x000a_plataforma Microsoft Teams ni se recibió el vínculo de su repositorio en_x000a_GitHub.  Análisis de Autogestión: _x000a_Uno de los pilares fundamentales de este curso y del Departamento de Economía_x000a_es la Autogestión. Esto implica la organización del tiempo y el_x000a_cumplimiento estricto de los cronogramas establecidos en el Syllabus. En un_x000a_entorno profesional y de emprendimiento, el incumplimiento de un deadline_x000a_para la entrega de un MVP (Producto Mínimo Viable) conlleva la pérdida de_x000a_credibilidad y de oportunidades de inversión.  Impacto Académico: _x000a_Esta nota corresponde al 30% de la calificación del primer corte. La_x000a_ausencia de este entregable afecta significativamente su promedio actual.  Motivación y Próximos Pasos: _x000a_El semestre apenas comienza. Los invito a reflexionar sobre los métodos de_x000a_estudio y organización que están utilizando como grupo. Tienen el Parcial_x000a_(50%) y las próximas actividades para demostrar su compromiso y nivel_x000a_técnico. No permitan que este resultado defina su desempeño en el resto del_x000a_semestre; utilícenlo como un motor para mejorar su planeación y asegurar que_x000a_todas las entregas futuras se realicen con antelación.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No se entregó evidencia de planeación. _x000a_  _x000a_  _x000a_  10.0 _x000a_  _x000a_  _x000a_  0.0 _x000a_  _x000a_ _x000a_ _x000a_  _x000a_  Funcionalidad Python _x000a_  _x000a_  _x000a_  No se entregó código funcional. _x000a_  _x000a_  _x000a_  15.0 _x000a_  _x000a_  _x000a_  0.0 _x000a_  _x000a_ _x000a_ _x000a_  _x000a_  Manejo de Datos _x000a_  _x000a_  _x000a_  No se entregó evidencia de manejo de listas/ciclos. _x000a_  _x000a_  _x000a_  15.0 _x000a_  _x000a_  _x000a_  0.0 _x000a_  _x000a_ _x000a_ _x000a_  _x000a_  Git &amp;amp; GitHub _x000a_  _x000a_  _x000a_  No se registró repositorio profesional. _x000a_  _x000a_  _x000a_  10.0 _x000a_  _x000a_  _x000a_  0.0 _x000a_  _x000a_ _x000a_ _x000a_  _x000a_  TOTAL _x000a_  _x000a_  _x000a_  _x000a_  50.0 _x000a_  _x000a_  _x000a_  0.0 _x000a_  _x000a_ Diego Mauricio Zuluaga Rodríguez _x000a_Profesor - Departamento de Economía _x000a_Universidad de La Sabana"/>
    <n v="0"/>
    <n v="50"/>
    <n v="0"/>
  </r>
  <r>
    <x v="15"/>
    <s v="Arianne Mariana"/>
    <s v="Amorocho Quiroga"/>
    <s v="arianneamqu@unisabana.edu.co"/>
    <x v="4"/>
    <d v="2026-02-25T00:00:00"/>
    <x v="3"/>
    <s v="Devuelta"/>
    <s v="Retroalimentación de la Entrega: Taller Corte 1 - MVP del_x000a_Emprendedor Grupo: Mariana Peña Rodríguez, Matías Mondragón_x000a_Osorio, Arianne Mariana Amorocho Quiroga. Proyecto: Ketoz - Sistema Central MVP Comentarios del Profesor: Equipo, han entregado un proyecto sobresaliente. Han logrado_x000a_conectar la teoría de la programación con un caso de negocio real y tangible_x000a_(Ketoz), lo cual es exactamente el objetivo del aprendizaje experiencial en la_x000a_EICEA. Puntos a destacar (Lo excelente): _x000a_ Portafolio_x000a_     Profesional (GitHub): El archivo README.md es de nivel_x000a_     profesional. Explicar el contexto de la empresa (importación de repuestos)_x000a_     y el rol de cada uno le da un valor inmenso a su portafolio. Además,_x000a_     lograron implementar Git y GitHub por su cuenta, lo cual demuestra una_x000a_     excelente capacidad de investigación y les otorga el bono de +5 puntos. _x000a_ Lógica_x000a_     y Diseño: El diagrama de flujo adjunto en la carpeta design/ es_x000a_     claro, estructurado y, lo más importante, coincide exactamente con la_x000a_     lógica del código final. Hicieron el trabajo de pensar antes de programar. _x000a_ Estructuras_x000a_     Modernas: La implementación de match/case para el menú_x000a_     principal demuestra que están explorando características modernas de_x000a_     Python (3.10+), yendo más allá de lo básico. _x000a_ Manejo_x000a_     de Datos: El uso de .sort() fue impecable. Entendieron_x000a_     perfectamente que al guardar los datos en las sublistas ([nombre, compra] y [peso,_x000a_     destino]), Python ordenaría automáticamente por el primer elemento_x000a_     (alfabético para mercadeo, numérico para logística). Oportunidad de Mejora (Sanity Check y Autogestión): _x000a_ Manejo_x000a_     de Errores (UX): En la ejecución de su Notebook quedó registrado_x000a_     un error ValueError: could not convert string to float: ''. Esto_x000a_     ocurre cuando el usuario presiona &quot;Enter&quot; sin escribir un_x000a_     número. Para futuros proyectos, recuerden lo que vimos sobre el_x000a_     bloque try-except para blindar el programa y evitar que colapse_x000a_     por un error de digitación del usuario. _x000a_ Puntualidad: El_x000a_     proyecto fue entregado 1 hora tarde. En el mundo de los negocios y la_x000a_     tecnología, los tiempos de despliegue son críticos. Por las reglas de_x000a_     autogestión del curso, esto genera una penalización de -5 puntos (0.5_x000a_     décimas). Afortunadamente, su proactividad con GitHub compensó esta_x000a_     pérdida, pero tengan mucho cuidado con los tiempos en el futuro. Motivación: _x000a_Tienen madera para liderar proyectos tecnológicos en sus respectivas áreas_x000a_(Mercadeo, Logística y Gastronomía). Han demostrado que no solo saben escribir_x000a_código, sino que entienden para qué sirve ese código en el_x000a_mundo real. ¡Sigan con este nivel de excelenci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excelente. Refleja la planeación exacta_x000a_  del código (Menú, Ciclos y Decisiones). _x000a_  _x000a_  _x000a_  10.0 _x000a_  _x000a_  _x000a_  10.0 _x000a_  _x000a_ _x000a_ _x000a_  _x000a_  Funcionalidad Python _x000a_  _x000a_  _x000a_  Uso correcto de while True, match/case y_x000a_  condicionales lógicos para ambos retos. _x000a_  _x000a_  _x000a_  15.0 _x000a_  _x000a_  _x000a_  15.0 _x000a_  _x000a_ _x000a_ _x000a_  _x000a_  Manejo de Datos _x000a_  _x000a_  _x000a_  Implementación perfecta de listas anidadas, ciclos for y_x000a_  el método .sort(). _x000a_  _x000a_  _x000a_  15.0 _x000a_  _x000a_  _x000a_  15.0 _x000a_  _x000a_ _x000a_ _x000a_  _x000a_  Git &amp;amp; GitHub _x000a_  _x000a_  _x000a_  Repositorio público impecable y README.md con_x000a_  contexto de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Penalización _x000a_  _x000a_  _x000a_  Entrega extemporánea (1 hora tarde). Reglas de_x000a_  Autogestión. _x000a_  _x000a_  _x000a_  - 5.0 _x000a_  _x000a_  _x000a_  - 5.0 _x000a_  _x000a_ _x000a_ _x000a_  _x000a_  TOTAL _x000a_  _x000a_  _x000a_  _x000a_  50.0 _x000a_  _x000a_  _x000a_  50.0 _x000a_  _x000a_ Diego Mauricio Zuluaga Rodríguez _x000a_Profesor - Departamento de Economía _x000a_Universidad de La Sabana"/>
    <n v="50"/>
    <n v="50"/>
    <n v="1"/>
  </r>
  <r>
    <x v="16"/>
    <s v="Maria Juliana"/>
    <s v="Herrera Pulido"/>
    <s v="mariahepu@unisabana.edu.co"/>
    <x v="4"/>
    <d v="2026-02-25T00:00:00"/>
    <x v="3"/>
    <s v="Devuelta"/>
    <s v="Retroalimentación de la Entrega: Taller Corte 1 -_x000a_SmartChef MVP  Grupo:  CARMONA ROMERO, MARIANA _x000a_HERRERA PULIDO, MARIA JULIANA _x000a_MEJIA QUINTERO, MARIA JULIANA.  Proyecto: SmartChef MVP (Reto Gastronomía)  Calificación Final: 50/50 (Equivalente a 5.0) (Nota: Se aplicó un bono de +5 puntos por el uso proactivo de Git/GitHub, lo_x000a_que asegura la nota máxima).  Comentarios del Profesor: Equipo, han realizado un trabajo sólido y funcional. Han_x000a_logrado traducir la lógica de un problema de negocio (control de costos en_x000a_gastronomía) a una solución técnica en Python.  Puntos a destacar (Lo excelente): _x000a_ Lógica_x000a_     de Negocio Clara: El cálculo del aumento porcentual ((actual - base) /_x000a_     base) * 100 y la proyección del precio de venta con margen del 35% (total_x000a_     * 1.35) demuestran que entendieron perfectamente el requerimiento_x000a_     financiero del reto. _x000a_ Uso_x000a_     Avanzado de Ordenamiento: Me impresionó gratamente el uso de sorted(zip(...),_x000a_     key=lambda...). Esta es una técnica avanzada para ordenar dos listas_x000a_     paralelas (nombres y precios) manteniéndolas sincronizadas. Aunque en_x000a_     clase vimos el método de &quot;listas de listas&quot; (ej: [[precio,_x000a_     nombre]]), su solución es válida, elegante y demuestra investigación_x000a_     autónoma. _x000a_ Diagrama_x000a_     de Flujo Coherente: El diagrama en draw.io refleja fielmente la_x000a_     estructura del código, con las decisiones claras para cada opción del_x000a_     menú. Esto valida el proceso de diseño previo. _x000a_ Bono_x000a_     de Autogestión (GitHub): Aunque no era obligatorio por tiempos de_x000a_     clase, el hecho de que hayan creado el repositorio, subido el código y el_x000a_     diagrama les otorga el bono de +5 puntos. Esto habla muy bien de su_x000a_     compromiso profesional.  Oportunidad de Mejora (Para el futuro): _x000a_ Estructura_x000a_     de Datos: Si bien zip funciona, para proyectos más grandes es mejor_x000a_     usar una sola lista que contenga sub-listas (ej: ingredientes = [[nombre,_x000a_     precio_base, precio_actual]]). Esto evita tener que manejar 3 listas_x000a_     separadas (ingredientes, precios_base, precios_actuales) que podrían_x000a_     desincronizarse si el código crece. _x000a_ Validación_x000a_     de Errores: Al igual que en la retroalimentación general, recuerden_x000a_     que el input() puede fallar si el usuario escribe letras en vez de_x000a_     números. Implementar try-except será el siguiente paso para blindar su_x000a_     aplicación.  Motivación: _x000a_Han demostrado una gran capacidad técnica. El uso de funciones lambda para el_x000a_ordenamiento es un indicio de que pueden llegar muy lejos en programación si_x000a_siguen curiosas. ¡Excelente trabajo, futuras líderes!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en draw.io que coincide con la_x000a_  lógica del menú y procesos. _x000a_  _x000a_  _x000a_  10.0 _x000a_  _x000a_  _x000a_  10.0 _x000a_  _x000a_ _x000a_ _x000a_  _x000a_  Funcionalidad Python _x000a_  _x000a_  _x000a_  Código funcional. Menú while, cálculos financieros_x000a_  correctos y alertas de inflación. _x000a_  _x000a_  _x000a_  15.0 _x000a_  _x000a_  _x000a_  15.0 _x000a_  _x000a_ _x000a_ _x000a_  _x000a_  Manejo de Datos _x000a_  _x000a_  _x000a_  Uso correcto de listas y ciclos. Implementación avanzada_x000a_  de ordenamiento con lambda. _x000a_  _x000a_  _x000a_  15.0 _x000a_  _x000a_  _x000a_  15.0 _x000a_  _x000a_ _x000a_ _x000a_  _x000a_  Git &amp;amp; GitHub _x000a_  _x000a_  _x000a_  Repositorio creado correctamente (Bono aplicado por_x000a_  autogestión). _x000a_  _x000a_  _x000a_  10.0 _x000a_  _x000a_  _x000a_  10.0 _x000a_  _x000a_ _x000a_ _x000a_  _x000a_  Bono Extra _x000a_  _x000a_  _x000a_  Investigación autónoma (Uso de zip y lambda + GitHub).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17"/>
    <s v="Simon Gustavo"/>
    <s v="Restrepo Alvarez"/>
    <s v="simonreal@unisabana.edu.co"/>
    <x v="4"/>
    <d v="2026-02-25T00:00:00"/>
    <x v="3"/>
    <s v="Devuelta"/>
    <s v="Retroalimentación de la Entrega: Taller Corte 1 -_x000a_SmartFlow Solutions S.A.S.  Grupo: Mateo Pérez Daza, Simón Gustavo Restrepo_x000a_Álvarez, Diego Alejandro Hermida Limas. Proyecto: SmartFlow Solutions - Sistema de Logística y Fidelización  Calificación Final: 50/50 (Equivalente a 5.0) (Nota: Se otorga el bono de +5 puntos por la implementación proactiva de_x000a_Git/GitHub).  Comentarios del Profesor: Equipo, han presentado un trabajo de altísima calidad_x000a_técnica. Su enfoque en la estructura modular (usando funciones def dentro del_x000a_Notebook) demuestra un nivel de abstracción superior al promedio del curso.  Puntos a destacar (Lo excelente): _x000a_ Estructura_x000a_     Modular: A diferencia de la mayoría que programó todo en un bloque_x000a_     lineal, ustedes encapsularon la lógica en funciones (ingresar_datos, ver_reporte)._x000a_     Esto hace que el código sea mantenible y escalable. ¡Excelente práctica de_x000a_     ingeniería de software! _x000a_ Uso_x000a_     Avanzado de .sort(): La implementación de key=lambda x:_x000a_     x[&quot;peso&quot;] demuestra que investigaron cómo ordenar diccionarios_x000a_     complejos. Esto es mucho más robusto que depender solo de la posición en_x000a_     una lista. _x000a_ Manejo_x000a_     de Errores (try-except): Incluyeron bloques try-except para validar_x000a_     que el usuario ingrese números. Esto blinda su aplicación contra errores_x000a_     humanos (User Experience - UX), algo vital en un entorno empresarial real. _x000a_ Portafolio_x000a_     Profesional: El README.md de SmartFlow Solutions es impecable. Venden_x000a_     la idea de la startup antes de mostrar el código, lo cual es clave para un_x000a_     perfil de negocios.  Oportunidad de Mejora (Sanity Check): _x000a_ Lógica_x000a_     de Negocio (Reto 1): En la clasificación logística, su código dice: if peso &amp;lt; 1: tipo = &quot;Documento&quot; elif peso &amp;lt; 10: tipo = &quot;Paquetería&quot; else: tipo = &quot;Carga&quot; Pero luego calculan el costo fuera de esta estructura_x000a_(costo = peso * TARIFA_BASE). En la vida real, la &quot;Carga&quot; suele tener_x000a_una tarifa distinta a un &quot;Documento&quot;. Aunque el enunciado pedía Tarifa_x000a_base x Kg, para un futuro MVP consideren tarifas diferenciadas.  Motivación: _x000a_Ustedes ya están programando con mentalidad de desarrolladores (funciones,_x000a_lambdas, manejo de excepciones). Este nivel técnico les dará una ventaja_x000a_competitiva enorme en el mercado laboral. Sigan cultivando esa curiosidad_x000a_técnic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y coherente con la estructura_x000a_  modular del código. _x000a_  _x000a_  _x000a_  10.0 _x000a_  _x000a_  _x000a_  10.0 _x000a_  _x000a_ _x000a_ _x000a_  _x000a_  Funcionalidad Python _x000a_  _x000a_  _x000a_  Código robusto con funciones, try-except y menús_x000a_  interactivos funcionales. _x000a_  _x000a_  _x000a_  15.0 _x000a_  _x000a_  _x000a_  15.0 _x000a_  _x000a_ _x000a_ _x000a_  _x000a_  Manejo de Datos _x000a_  _x000a_  _x000a_  Uso avanzado de diccionarios y ordenamiento con lambda. _x000a_  _x000a_  _x000a_  15.0 _x000a_  _x000a_  _x000a_  15.0 _x000a_  _x000a_ _x000a_ _x000a_  _x000a_  Git &amp;amp; GitHub _x000a_  _x000a_  _x000a_  Repositorio profesional con README.md de alta calidad_x000a_  (SmartFlow Solutions).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18"/>
    <s v="Daniel Felipe"/>
    <s v="Camacho Pedraza"/>
    <s v="danielcampe@unisabana.edu.co"/>
    <x v="4"/>
    <d v="2026-02-25T00:00:00"/>
    <x v="3"/>
    <s v="Devuelta"/>
    <s v="Retroalimentación de la Entrega: Taller Corte 1 - MVP del_x000a_Emprendedor  Grupo: Daniel Felipe Camacho Pedraza, Juan Sebastian_x000a_Perdomo Herrera, Samuel David Simancas Contreras. Proyecto: MVP - Retos de Logística y Gastronomía.  Calificación Final: 38/50 (Equivalente a 3.8 / 5.0)  Comentarios del Profesor: Equipo, han entregado un código con destellos técnicos muy_x000a_avanzados, pero han descuidado una de las reglas de oro del curso y del_x000a_Departamento de Economía: la planeación y la autogestión.  Puntos a destacar (Lo excelente): _x000a_ Investigación_x000a_     Autónoma: El uso de diccionarios dentro de listas y la implementación_x000a_     de funciones lambda para el ordenamiento (paquetes.sort(key=lambda x:_x000a_     x['peso'], reverse=True)) es de un nivel técnico superior al exigido._x000a_     Demuestra que investigaron por su cuenta y buscaron la forma más eficiente_x000a_     de estructurar los datos. ¡Excelente trabajo en este aspecto! _x000a_ Estructura_x000a_     de Menús: La implementación de los ciclos while True y el manejo de_x000a_     las opciones es limpio y funcional. _x000a_ Cálculos_x000a_     Financieros: El cálculo del margen de ganancia (1.35) y el uso de_x000a_     f-strings con separadores de miles (:,) demuestran atención a la_x000a_     presentación de los datos.  Oportunidades de Mejora (Sanity Check y Reglas de_x000a_Negocio): _x000a_ Ausencia_x000a_     de Planeación (Penalización Crítica): No adjuntaron el diagrama de_x000a_     flujo ni el pseudocódigo (Carpeta design/). Como se indicó en las_x000a_     instrucciones, programar sin planear es un riesgo inaceptable en el mundo_x000a_     real. Por esta razón, la nota en el criterio de &quot;Lógica y_x000a_     Diseño&quot; es 0.0. _x000a_ Lógica_x000a_     de Negocio (Reto 2): En el reto de Gastronomía, definieron un PRECIO_BASE_REFERENCIA_x000a_     = 10000 global para todos los ingredientes. En la vida real, la sal no_x000a_     tiene el mismo precio base que el salmón. El sistema debió pedir el precio_x000a_     base individual de cada ingrediente ingresado para calcular su inflación_x000a_     real. _x000a_ Detalle_x000a_     Técnico (Ejecución): En su archivo de Jupyter, encapsularon todo el_x000a_     código dentro de las funciones def reto_logistica(): y def_x000a_     reto_gastronomia():, pero nunca llamaron a las funciones al final_x000a_     de la celda. Si alguien ejecuta su código, no pasa absolutamente nada._x000a_     Tengan cuidado con estos detalles de despliegue.  Motivación: _x000a_Tienen una capacidad técnica innegable y un dominio de Python que destaca._x000a_Sabiendo que el Primer Parcial ya se realizó, estoy seguro de que si_x000a_aplicaron este mismo nivel de código (y recordaron hacer el pseudocódigo_x000a_exigido en el examen), habrán obtenido un gran resultado. Para el próximo_x000a_corte, no olviden que un buen CTO no solo escribe código complejo, sino que_x000a_planea, documenta y audita la lógica de su negocio antes de teclear.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el diagrama de flujo ni el_x000a_  pseudocódigo exigido en las instrucciones. _x000a_  _x000a_  _x000a_  10.0 _x000a_  _x000a_  _x000a_  0.0 _x000a_  _x000a_ _x000a_ _x000a_  _x000a_  Funcionalidad Python _x000a_  _x000a_  _x000a_  (13.0) Uso correcto de while e if/elif/else. Se_x000a_  descuentan 2 puntos porque las funciones fueron definidas pero no invocadas,_x000a_  y por la lógica del precio base global en el Reto 2. _x000a_  _x000a_  _x000a_  15.0 _x000a_  _x000a_  _x000a_  13.0 _x000a_  _x000a_ _x000a_ _x000a_  _x000a_  Manejo de Datos _x000a_  _x000a_  _x000a_  (15.0) Nivel avanzado. Excelente uso de_x000a_  diccionarios, listas, ciclos for y ordenamiento con lambda. _x000a_  _x000a_  _x000a_  15.0 _x000a_  _x000a_  _x000a_  15.0 _x000a_  _x000a_ _x000a_ _x000a_  _x000a_  Git &amp;amp; GitHub _x000a_  _x000a_  _x000a_  (10.0) Se otorga el puntaje completo por directriz_x000a_  de la clase (tema no evaluado en este corte). _x000a_  _x000a_  _x000a_  10.0 _x000a_  _x000a_  _x000a_  10.0 _x000a_  _x000a_ _x000a_ _x000a_  _x000a_  TOTAL _x000a_  _x000a_  _x000a_  _x000a_  50.0 _x000a_  _x000a_  _x000a_  38.0 _x000a_  _x000a_ Diego Mauricio Zuluaga Rodríguez _x000a_Profesor - Departamento de Economía _x000a_Universidad de La Sabana"/>
    <n v="38"/>
    <n v="50"/>
    <n v="0.76"/>
  </r>
  <r>
    <x v="19"/>
    <s v="Mateo"/>
    <s v="Perez Daza"/>
    <s v="mateopeda@unisabana.edu.co"/>
    <x v="4"/>
    <d v="2026-02-25T00:00:00"/>
    <x v="3"/>
    <s v="Devuelta"/>
    <s v="Retroalimentación de la Entrega: Taller Corte 1 -_x000a_SmartFlow Solutions S.A.S.  Grupo: Mateo Pérez Daza, Simón Gustavo Restrepo_x000a_Álvarez, Diego Alejandro Hermida Limas. Proyecto: SmartFlow Solutions - Sistema de Logística y Fidelización  Calificación Final: 50/50 (Equivalente a 5.0) (Nota: Se otorga el bono de +5 puntos por la implementación proactiva de_x000a_Git/GitHub).  Comentarios del Profesor: Equipo, han presentado un trabajo de altísima calidad_x000a_técnica. Su enfoque en la estructura modular (usando funciones def dentro del_x000a_Notebook) demuestra un nivel de abstracción superior al promedio del curso.  Puntos a destacar (Lo excelente): _x000a_ Estructura_x000a_     Modular: A diferencia de la mayoría que programó todo en un bloque_x000a_     lineal, ustedes encapsularon la lógica en funciones (ingresar_datos, ver_reporte)._x000a_     Esto hace que el código sea mantenible y escalable. ¡Excelente práctica de_x000a_     ingeniería de software! _x000a_ Uso_x000a_     Avanzado de .sort(): La implementación de key=lambda x:_x000a_     x[&quot;peso&quot;] demuestra que investigaron cómo ordenar diccionarios_x000a_     complejos. Esto es mucho más robusto que depender solo de la posición en_x000a_     una lista. _x000a_ Manejo_x000a_     de Errores (try-except): Incluyeron bloques try-except para validar_x000a_     que el usuario ingrese números. Esto blinda su aplicación contra errores_x000a_     humanos (User Experience - UX), algo vital en un entorno empresarial real. _x000a_ Portafolio_x000a_     Profesional: El README.md de SmartFlow Solutions es impecable. Venden_x000a_     la idea de la startup antes de mostrar el código, lo cual es clave para un_x000a_     perfil de negocios.  Oportunidad de Mejora (Sanity Check): _x000a_ Lógica_x000a_     de Negocio (Reto 1): En la clasificación logística, su código dice: if peso &amp;lt; 1: tipo = &quot;Documento&quot; elif peso &amp;lt; 10: tipo = &quot;Paquetería&quot; else: tipo = &quot;Carga&quot; Pero luego calculan el costo fuera de esta estructura_x000a_(costo = peso * TARIFA_BASE). En la vida real, la &quot;Carga&quot; suele tener_x000a_una tarifa distinta a un &quot;Documento&quot;. Aunque el enunciado pedía Tarifa_x000a_base x Kg, para un futuro MVP consideren tarifas diferenciadas.  Motivación: _x000a_Ustedes ya están programando con mentalidad de desarrolladores (funciones,_x000a_lambdas, manejo de excepciones). Este nivel técnico les dará una ventaja_x000a_competitiva enorme en el mercado laboral. Sigan cultivando esa curiosidad_x000a_técnic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y coherente con la estructura_x000a_  modular del código. _x000a_  _x000a_  _x000a_  10.0 _x000a_  _x000a_  _x000a_  10.0 _x000a_  _x000a_ _x000a_ _x000a_  _x000a_  Funcionalidad Python _x000a_  _x000a_  _x000a_  Código robusto con funciones, try-except y menús_x000a_  interactivos funcionales. _x000a_  _x000a_  _x000a_  15.0 _x000a_  _x000a_  _x000a_  15.0 _x000a_  _x000a_ _x000a_ _x000a_  _x000a_  Manejo de Datos _x000a_  _x000a_  _x000a_  Uso avanzado de diccionarios y ordenamiento con lambda. _x000a_  _x000a_  _x000a_  15.0 _x000a_  _x000a_  _x000a_  15.0 _x000a_  _x000a_ _x000a_ _x000a_  _x000a_  Git &amp;amp; GitHub _x000a_  _x000a_  _x000a_  Repositorio profesional con README.md de alta calidad_x000a_  (SmartFlow Solutions).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0"/>
    <s v="Matias"/>
    <s v="Mondragon Osorio"/>
    <s v="matiasmoos@unisabana.edu.co"/>
    <x v="4"/>
    <d v="2026-02-25T00:00:00"/>
    <x v="3"/>
    <s v="Devuelta"/>
    <s v="Retroalimentación de la Entrega: Taller Corte 1 - MVP del_x000a_Emprendedor Grupo: Mariana Peña Rodríguez, Matías Mondragón_x000a_Osorio, Arianne Mariana Amorocho Quiroga. Proyecto: Ketoz - Sistema Central MVP Comentarios del Profesor: Equipo, han entregado un proyecto sobresaliente. Han logrado_x000a_conectar la teoría de la programación con un caso de negocio real y tangible_x000a_(Ketoz), lo cual es exactamente el objetivo del aprendizaje experiencial en la_x000a_EICEA. Puntos a destacar (Lo excelente): _x000a_ Portafolio_x000a_     Profesional (GitHub): El archivo README.md es de nivel_x000a_     profesional. Explicar el contexto de la empresa (importación de repuestos)_x000a_     y el rol de cada uno le da un valor inmenso a su portafolio. Además,_x000a_     lograron implementar Git y GitHub por su cuenta, lo cual demuestra una_x000a_     excelente capacidad de investigación y les otorga el bono de +5 puntos. _x000a_ Lógica_x000a_     y Diseño: El diagrama de flujo adjunto en la carpeta design/ es_x000a_     claro, estructurado y, lo más importante, coincide exactamente con la_x000a_     lógica del código final. Hicieron el trabajo de pensar antes de programar. _x000a_ Estructuras_x000a_     Modernas: La implementación de match/case para el menú_x000a_     principal demuestra que están explorando características modernas de_x000a_     Python (3.10+), yendo más allá de lo básico. _x000a_ Manejo_x000a_     de Datos: El uso de .sort() fue impecable. Entendieron_x000a_     perfectamente que al guardar los datos en las sublistas ([nombre, compra] y [peso,_x000a_     destino]), Python ordenaría automáticamente por el primer elemento_x000a_     (alfabético para mercadeo, numérico para logística). Oportunidad de Mejora (Sanity Check y Autogestión): _x000a_ Manejo_x000a_     de Errores (UX): En la ejecución de su Notebook quedó registrado_x000a_     un error ValueError: could not convert string to float: ''. Esto_x000a_     ocurre cuando el usuario presiona &quot;Enter&quot; sin escribir un_x000a_     número. Para futuros proyectos, recuerden lo que vimos sobre el_x000a_     bloque try-except para blindar el programa y evitar que colapse_x000a_     por un error de digitación del usuario. _x000a_ Puntualidad: El_x000a_     proyecto fue entregado 1 hora tarde. En el mundo de los negocios y la_x000a_     tecnología, los tiempos de despliegue son críticos. Por las reglas de_x000a_     autogestión del curso, esto genera una penalización de -5 puntos (0.5_x000a_     décimas). Afortunadamente, su proactividad con GitHub compensó esta_x000a_     pérdida, pero tengan mucho cuidado con los tiempos en el futuro. Motivación: _x000a_Tienen madera para liderar proyectos tecnológicos en sus respectivas áreas_x000a_(Mercadeo, Logística y Gastronomía). Han demostrado que no solo saben escribir_x000a_código, sino que entienden para qué sirve ese código en el_x000a_mundo real. ¡Sigan con este nivel de excelenci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excelente. Refleja la planeación exacta_x000a_  del código (Menú, Ciclos y Decisiones). _x000a_  _x000a_  _x000a_  10.0 _x000a_  _x000a_  _x000a_  10.0 _x000a_  _x000a_ _x000a_ _x000a_  _x000a_  Funcionalidad Python _x000a_  _x000a_  _x000a_  Uso correcto de while True, match/case y_x000a_  condicionales lógicos para ambos retos. _x000a_  _x000a_  _x000a_  15.0 _x000a_  _x000a_  _x000a_  15.0 _x000a_  _x000a_ _x000a_ _x000a_  _x000a_  Manejo de Datos _x000a_  _x000a_  _x000a_  Implementación perfecta de listas anidadas, ciclos for y_x000a_  el método .sort(). _x000a_  _x000a_  _x000a_  15.0 _x000a_  _x000a_  _x000a_  15.0 _x000a_  _x000a_ _x000a_ _x000a_  _x000a_  Git &amp;amp; GitHub _x000a_  _x000a_  _x000a_  Repositorio público impecable y README.md con_x000a_  contexto de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Penalización _x000a_  _x000a_  _x000a_  Entrega extemporánea (1 hora tarde). Reglas de_x000a_  Autogestión. _x000a_  _x000a_  _x000a_  - 5.0 _x000a_  _x000a_  _x000a_  - 5.0 _x000a_  _x000a_ _x000a_ _x000a_  _x000a_  TOTAL _x000a_  _x000a_  _x000a_  _x000a_  50.0 _x000a_  _x000a_  _x000a_  50.0 _x000a_  _x000a_ Diego Mauricio Zuluaga Rodríguez _x000a_Profesor - Departamento de Economía _x000a_Universidad de La Sabana"/>
    <n v="50"/>
    <n v="50"/>
    <n v="1"/>
  </r>
  <r>
    <x v="21"/>
    <s v="Juan David"/>
    <s v="Neuta Medina"/>
    <s v="juanneme@unisabana.edu.co"/>
    <x v="4"/>
    <d v="2026-02-25T00:00:00"/>
    <x v="3"/>
    <s v="Devuelta"/>
    <s v="Retroalimentación de la Entrega: Taller Corte 1 - MVP del_x000a_Emprendedor  Grupo: José Daniel Escobar, Laura Fernanda López,_x000a_Juan David Neuta. Startup: FinData Analytics / Game Zone (Nota sobre consistencia abajo).  Calificación Final: 50/50 (Equivalente a 5.0) (Nota: Se aplicó un bono de +5 puntos por el uso de Git/GitHub).  Comentarios del Profesor: Equipo, han realizado un trabajo técnicamente sólido y muy_x000a_completo. Han demostrado dominio en la lógica de programación y en la_x000a_estructuración de soluciones.  Puntos a destacar (Lo excelente): _x000a_ Doble_x000a_     Implementación: Me sorprendió gratamente ver que desarrollaron dos_x000a_     soluciones completas en el mismo repositorio: &quot;Dolar-Track&quot;_x000a_     (Finanzas) y &quot;Game Zone&quot; (Videojuegos). Ambos códigos son_x000a_     funcionales, robustos y cumplen con la rúbrica. Esto demuestra un esfuerzo_x000a_     superior al requerido. _x000a_ Manejo_x000a_     de Errores (Try-Except): En el código de &quot;Game Zone&quot;,_x000a_     implementaron bloques try-except para validar las entradas del usuario._x000a_     Esto es vital para la experiencia de usuario (UX) y evita que el programa_x000a_     colapse si alguien escribe letras en lugar de números. ¡Excelente_x000a_     iniciativa! _x000a_ Portafolio_x000a_     Profesional (GitHub): Su repositorio está bien estructurado, con_x000a_     carpetas separadas para diseño y código. El README.md es claro y_x000a_     profesional. Además, ganaron el bono de +5 puntos por investigar e_x000a_     implementar Git por su cuenta. _x000a_ Lógica_x000a_     de Negocio: En &quot;Dolar-Track&quot;, la lógica para calcular la_x000a_     volatilidad (max - min) y las alertas de compra/venta es correcta y útil_x000a_     para el perfil financiero.  Oportunidad de Mejora (Coherencia del Proyecto): _x000a_ Identidad_x000a_     de la Startup: En el README.md se presentan como &quot;FinData_x000a_     Analytics&quot; (Fintech), pero en el código incluyen un sistema para una_x000a_     tienda de videojuegos (&quot;Game Zone&quot;). Aunque ambos códigos son_x000a_     excelentes, para futuras entregas asegúrense de que todo el repositorio_x000a_     gire en torno a una sola idea de negocio coherente. Si son una_x000a_     Fintech, el segundo reto podría haber sido el de_x000a_     &quot;Nomina-Express&quot; o &quot;Chef-Costos&quot; adaptado a costos_x000a_     financieros, para mantener la narrativa.  Motivación: _x000a_Tienen un nivel técnico muy alto. La capacidad de implementar validaciones de_x000a_errores y manejar múltiples lógicas de negocio los pone en una posición de_x000a_ventaja. Sigan cultivando esa curiosidad técnica; es lo que diferencia a un_x000a_buen profesional de uno excelen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y pseudocódigos claros para ambos retos en la_x000a_  carpeta design/. Coinciden con el código. _x000a_  _x000a_  _x000a_  10.0 _x000a_  _x000a_  _x000a_  10.0 _x000a_  _x000a_ _x000a_ _x000a_  _x000a_  Funcionalidad Python _x000a_  _x000a_  _x000a_  Código funcional, menús interactivos robustos y validación_x000a_  de errores (try-except). _x000a_  _x000a_  _x000a_  15.0 _x000a_  _x000a_  _x000a_  15.0 _x000a_  _x000a_ _x000a_ _x000a_  _x000a_  Manejo de Datos _x000a_  _x000a_  _x000a_  Uso correcto de listas, tuplas, ciclos for y métodos de_x000a_  ordenamiento (sorted y .sort). _x000a_  _x000a_  _x000a_  15.0 _x000a_  _x000a_  _x000a_  15.0 _x000a_  _x000a_ _x000a_ _x000a_  _x000a_  Git &amp;amp; GitHub _x000a_  _x000a_  _x000a_  Repositorio público bien configurado con README.md_x000a_  profesional.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2"/>
    <s v="Laura Fernanda"/>
    <s v="Lopez Parra"/>
    <s v="lauraloppa@unisabana.edu.co"/>
    <x v="4"/>
    <d v="2026-02-25T00:00:00"/>
    <x v="3"/>
    <s v="Devuelta"/>
    <s v="Retroalimentación de la Entrega: Taller Corte 1 - MVP del_x000a_Emprendedor  Grupo: José Daniel Escobar, Laura Fernanda López,_x000a_Juan David Neuta. Startup: FinData Analytics / Game Zone (Nota sobre consistencia abajo).  Calificación Final: 50/50 (Equivalente a 5.0) (Nota: Se aplicó un bono de +5 puntos por el uso de Git/GitHub).  Comentarios del Profesor: Equipo, han realizado un trabajo técnicamente sólido y muy_x000a_completo. Han demostrado dominio en la lógica de programación y en la_x000a_estructuración de soluciones.  Puntos a destacar (Lo excelente): _x000a_ Doble_x000a_     Implementación: Me sorprendió gratamente ver que desarrollaron dos_x000a_     soluciones completas en el mismo repositorio: &quot;Dolar-Track&quot;_x000a_     (Finanzas) y &quot;Game Zone&quot; (Videojuegos). Ambos códigos son_x000a_     funcionales, robustos y cumplen con la rúbrica. Esto demuestra un esfuerzo_x000a_     superior al requerido. _x000a_ Manejo_x000a_     de Errores (Try-Except): En el código de &quot;Game Zone&quot;,_x000a_     implementaron bloques try-except para validar las entradas del usuario._x000a_     Esto es vital para la experiencia de usuario (UX) y evita que el programa_x000a_     colapse si alguien escribe letras en lugar de números. ¡Excelente_x000a_     iniciativa! _x000a_ Portafolio_x000a_     Profesional (GitHub): Su repositorio está bien estructurado, con_x000a_     carpetas separadas para diseño y código. El README.md es claro y_x000a_     profesional. Además, ganaron el bono de +5 puntos por investigar e_x000a_     implementar Git por su cuenta. _x000a_ Lógica_x000a_     de Negocio: En &quot;Dolar-Track&quot;, la lógica para calcular la_x000a_     volatilidad (max - min) y las alertas de compra/venta es correcta y útil_x000a_     para el perfil financiero.  Oportunidad de Mejora (Coherencia del Proyecto): _x000a_ Identidad_x000a_     de la Startup: En el README.md se presentan como &quot;FinData_x000a_     Analytics&quot; (Fintech), pero en el código incluyen un sistema para una_x000a_     tienda de videojuegos (&quot;Game Zone&quot;). Aunque ambos códigos son_x000a_     excelentes, para futuras entregas asegúrense de que todo el repositorio_x000a_     gire en torno a una sola idea de negocio coherente. Si son una_x000a_     Fintech, el segundo reto podría haber sido el de_x000a_     &quot;Nomina-Express&quot; o &quot;Chef-Costos&quot; adaptado a costos_x000a_     financieros, para mantener la narrativa.  Motivación: _x000a_Tienen un nivel técnico muy alto. La capacidad de implementar validaciones de_x000a_errores y manejar múltiples lógicas de negocio los pone en una posición de_x000a_ventaja. Sigan cultivando esa curiosidad técnica; es lo que diferencia a un_x000a_buen profesional de uno excelen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y pseudocódigos claros para ambos retos en la_x000a_  carpeta design/. Coinciden con el código. _x000a_  _x000a_  _x000a_  10.0 _x000a_  _x000a_  _x000a_  10.0 _x000a_  _x000a_ _x000a_ _x000a_  _x000a_  Funcionalidad Python _x000a_  _x000a_  _x000a_  Código funcional, menús interactivos robustos y validación_x000a_  de errores (try-except). _x000a_  _x000a_  _x000a_  15.0 _x000a_  _x000a_  _x000a_  15.0 _x000a_  _x000a_ _x000a_ _x000a_  _x000a_  Manejo de Datos _x000a_  _x000a_  _x000a_  Uso correcto de listas, tuplas, ciclos for y métodos de_x000a_  ordenamiento (sorted y .sort). _x000a_  _x000a_  _x000a_  15.0 _x000a_  _x000a_  _x000a_  15.0 _x000a_  _x000a_ _x000a_ _x000a_  _x000a_  Git &amp;amp; GitHub _x000a_  _x000a_  _x000a_  Repositorio público bien configurado con README.md_x000a_  profesional.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3"/>
    <s v="Lukas"/>
    <s v="Blanco Llanes"/>
    <s v="lukasblll@unisabana.edu.co"/>
    <x v="4"/>
    <d v="2026-02-25T00:00:00"/>
    <x v="3"/>
    <s v="Devuelta"/>
    <s v="Retroalimentación de la Entrega: Taller Corte 1 - MVP del_x000a_Emprendedor  Grupo: Lukas Blanco Llanes, Alan David Rossoff_x000a_Vanegas, Juan Sebastian Salas Hinojosa. Proyectos: Dolar-Track (Reto 3) y Nomina-Express (Reto 5).  Calificación Final: 55/50 (Equivalente a 5.0 + 0.5 de_x000a_Bono) (Nota: Dado que el tema de Git/GitHub no se alcanzó a cubrir en clase, la_x000a_rúbrica base se califica sobre 10/10 automáticamente. Al haber investigado y_x000a_subido su proyecto a GitHub de forma proactiva, se les otorgan +5 puntos de_x000a_bono).  Comentarios del Profesor: Equipo, excelente trabajo. Han entregado un código robusto,_x000a_funcional y que demuestra un claro entendimiento de las estructuras de control_x000a_y el manejo de datos en Python. Actuaron como verdaderos CTOs al blindar su_x000a_aplicación contra errores de usuario.  Puntos a destacar (Lo excelente): _x000a_ Validación_x000a_     de Datos (Sanity Check): La implementación de los bloques try-except_x000a_     junto con el while True para asegurar que el usuario ingrese números_x000a_     válidos y mayores a cero es de nivel profesional. Esto evita que el_x000a_     programa colapse (crash) y mejora enormemente la experiencia de usuario_x000a_     (UX). _x000a_ Lógica_x000a_     y Diseño: Los diagramas de flujo y el pseudocódigo adjuntos en la_x000a_     carpeta design/ son coherentes con el código final. Planearon la solución_x000a_     antes de programarla. _x000a_ Estructuras_x000a_     de Control: Los menús interactivos funcionan a la perfección y la_x000a_     lógica matemática para calcular la volatilidad de la TRM y la nómina con_x000a_     horas extras es exacta.  Oportunidades de Mejora (Autogestión y Código): _x000a_ El_x000a_     Portafolio (Falta el README.md): Aunque subieron el proyecto a GitHub_x000a_     (lo cual es excelente y les dio el bono), omitieron crear el archivo README.md._x000a_     En el mundo del desarrollo y la ciencia de datos, un repositorio sin_x000a_     README es como un libro sin portada; los reclutadores no sabrán de qué_x000a_     trata su proyecto. Para el próximo corte, documenten su repositorio. _x000a_ Complejidad_x000a_     Innecesaria en el Ordenamiento: En el Reto 5 utilizaron zip() y_x000a_     funciones lambda (data.sort(key=lambda x: x[0].lower())). Es muy positivo_x000a_     que investiguen herramientas avanzadas, pero recuerden que si hubieran_x000a_     guardado los datos como una lista de listas [[nombre, horas]], un simple .sort()_x000a_     habría hecho el trabajo alfabéticamente sin necesidad de importar lógicas_x000a_     más complejas. A veces, la solución más simple es la mejor.  Motivación: _x000a_Tienen una base técnica muy sólida. Si mantienen este nivel de validación de_x000a_datos y mejoran la presentación comercial de sus repositorios (README), tendrán_x000a_un portafolio sumamente atractivo para el mercado laboral. ¡Sigan así y éxitos_x000a_en el 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entregados y coherentes_x000a_  con la lógica programada. _x000a_  _x000a_  _x000a_  10.0 _x000a_  _x000a_  _x000a_  10.0 _x000a_  _x000a_ _x000a_ _x000a_  _x000a_  Funcionalidad Python _x000a_  _x000a_  _x000a_  Uso impecable de while True para menús y validaciones try-except._x000a_  Lógica if/else correcta. _x000a_  _x000a_  _x000a_  15.0 _x000a_  _x000a_  _x000a_  15.0 _x000a_  _x000a_ _x000a_ _x000a_  _x000a_  Manejo de Datos _x000a_  _x000a_  _x000a_  Uso correcto de listas, ciclos for para cálculos_x000a_  (promedios/nómina) y ordenamiento. _x000a_  _x000a_  _x000a_  15.0 _x000a_  _x000a_  _x000a_  15.0 _x000a_  _x000a_ _x000a_ _x000a_  _x000a_  Git &amp;amp; GitHub (Base) _x000a_  _x000a_  _x000a_  Tema no evaluado obligatoriamente por tiempos de clase. Se_x000a_  otorga el puntaje base completo. _x000a_  _x000a_  _x000a_  10.0 _x000a_  _x000a_  _x000a_  10.0 _x000a_  _x000a_ _x000a_ _x000a_  _x000a_  Bono Autogestión _x000a_  _x000a_  _x000a_  Uso proactivo de GitHub para la entrega (+5 pts). Nota:_x000a_  Faltó el README.md, pero se otorga el bono por la iniciativa técnic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4"/>
    <s v="Juan Sebastian"/>
    <s v="Salas Hinojosa"/>
    <s v="juansahi@unisabana.edu.co"/>
    <x v="4"/>
    <d v="2026-02-25T00:00:00"/>
    <x v="3"/>
    <s v="Devuelta"/>
    <s v="Retroalimentación de la Entrega: Taller Corte 1 - MVP del_x000a_Emprendedor  Grupo: Lukas Blanco Llanes, Alan David Rossoff_x000a_Vanegas, Juan Sebastian Salas Hinojosa. Proyectos: Dolar-Track (Reto 3) y Nomina-Express (Reto 5).  Calificación Final: 55/50 (Equivalente a 5.0 + 0.5 de_x000a_Bono) (Nota: Dado que el tema de Git/GitHub no se alcanzó a cubrir en clase, la_x000a_rúbrica base se califica sobre 10/10 automáticamente. Al haber investigado y_x000a_subido su proyecto a GitHub de forma proactiva, se les otorgan +5 puntos de_x000a_bono).  Comentarios del Profesor: Equipo, excelente trabajo. Han entregado un código robusto,_x000a_funcional y que demuestra un claro entendimiento de las estructuras de control_x000a_y el manejo de datos en Python. Actuaron como verdaderos CTOs al blindar su_x000a_aplicación contra errores de usuario.  Puntos a destacar (Lo excelente): _x000a_ Validación_x000a_     de Datos (Sanity Check): La implementación de los bloques try-except_x000a_     junto con el while True para asegurar que el usuario ingrese números_x000a_     válidos y mayores a cero es de nivel profesional. Esto evita que el_x000a_     programa colapse (crash) y mejora enormemente la experiencia de usuario_x000a_     (UX). _x000a_ Lógica_x000a_     y Diseño: Los diagramas de flujo y el pseudocódigo adjuntos en la_x000a_     carpeta design/ son coherentes con el código final. Planearon la solución_x000a_     antes de programarla. _x000a_ Estructuras_x000a_     de Control: Los menús interactivos funcionan a la perfección y la_x000a_     lógica matemática para calcular la volatilidad de la TRM y la nómina con_x000a_     horas extras es exacta.  Oportunidades de Mejora (Autogestión y Código): _x000a_ El_x000a_     Portafolio (Falta el README.md): Aunque subieron el proyecto a GitHub_x000a_     (lo cual es excelente y les dio el bono), omitieron crear el archivo README.md._x000a_     En el mundo del desarrollo y la ciencia de datos, un repositorio sin_x000a_     README es como un libro sin portada; los reclutadores no sabrán de qué_x000a_     trata su proyecto. Para el próximo corte, documenten su repositorio. _x000a_ Complejidad_x000a_     Innecesaria en el Ordenamiento: En el Reto 5 utilizaron zip() y_x000a_     funciones lambda (data.sort(key=lambda x: x[0].lower())). Es muy positivo_x000a_     que investiguen herramientas avanzadas, pero recuerden que si hubieran_x000a_     guardado los datos como una lista de listas [[nombre, horas]], un simple .sort()_x000a_     habría hecho el trabajo alfabéticamente sin necesidad de importar lógicas_x000a_     más complejas. A veces, la solución más simple es la mejor.  Motivación: _x000a_Tienen una base técnica muy sólida. Si mantienen este nivel de validación de_x000a_datos y mejoran la presentación comercial de sus repositorios (README), tendrán_x000a_un portafolio sumamente atractivo para el mercado laboral. ¡Sigan así y éxitos_x000a_en el 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entregados y coherentes_x000a_  con la lógica programada. _x000a_  _x000a_  _x000a_  10.0 _x000a_  _x000a_  _x000a_  10.0 _x000a_  _x000a_ _x000a_ _x000a_  _x000a_  Funcionalidad Python _x000a_  _x000a_  _x000a_  Uso impecable de while True para menús y validaciones try-except._x000a_  Lógica if/else correcta. _x000a_  _x000a_  _x000a_  15.0 _x000a_  _x000a_  _x000a_  15.0 _x000a_  _x000a_ _x000a_ _x000a_  _x000a_  Manejo de Datos _x000a_  _x000a_  _x000a_  Uso correcto de listas, ciclos for para cálculos_x000a_  (promedios/nómina) y ordenamiento. _x000a_  _x000a_  _x000a_  15.0 _x000a_  _x000a_  _x000a_  15.0 _x000a_  _x000a_ _x000a_ _x000a_  _x000a_  Git &amp;amp; GitHub (Base) _x000a_  _x000a_  _x000a_  Tema no evaluado obligatoriamente por tiempos de clase. Se_x000a_  otorga el puntaje base completo. _x000a_  _x000a_  _x000a_  10.0 _x000a_  _x000a_  _x000a_  10.0 _x000a_  _x000a_ _x000a_ _x000a_  _x000a_  Bono Autogestión _x000a_  _x000a_  _x000a_  Uso proactivo de GitHub para la entrega (+5 pts). Nota:_x000a_  Faltó el README.md, pero se otorga el bono por la iniciativa técnic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5"/>
    <s v="Avril Avril"/>
    <s v="Ariza Quitian"/>
    <s v="avrilarqu@unisabana.edu.co"/>
    <x v="4"/>
    <d v="2026-02-25T00:00:00"/>
    <x v="3"/>
    <s v="Devuelta"/>
    <s v="Retroalimentación de la Entrega: Taller Corte 1 - MVP del_x000a_Emprendedor  Grupo: Avril Ariza, Samantha Vanegas. Proyectos: ModaPlus (Reto 4) y Nómina-Express (Reto 5).  Calificación Final: 41/50 (Equivalente a 4.1) (Nota: Se aplicó un bono de +5 puntos por la implementación autónoma de_x000a_Git/GitHub. El puntaje base fue 36/50).  Comentarios del Profesor: Equipo, han presentado un trabajo con un nivel de detalle_x000a_visual y matemático muy interesante. La forma en que estructuraron las salidas_x000a_en consola (tablas, resúmenes, f-strings) demuestra un gran esfuerzo por_x000a_entregar un producto amigable para el usuario final.  Puntos a destacar (Lo excelente): _x000a_ Portafolio_x000a_     Profesional (GitHub): El archivo README.md es claro y cumple con el_x000a_     objetivo. Además, lograron implementar Git y GitHub por su cuenta, lo cual_x000a_     demuestra una excelente capacidad de investigación y les otorga el bono de_x000a_     +5 puntos. _x000a_ Formato_x000a_     de Salida (UX): La presentación de los desprendibles de pago y el_x000a_     reporte de clientes es de nivel avanzado. El uso de espaciados (:&amp;lt;15, :8.0f)_x000a_     hace que la consola se vea como un software real. _x000a_ Lógica_x000a_     Algorítmica: Implementar un &quot;Método Burbuja&quot; (Bubble Sort)_x000a_     manual con ciclos for anidados en el Reto 4 es una muestra de pensamiento_x000a_     lógico avanzado. ¡Muy bien pensado!  Oportunidades de Mejora (Sanity Check y Autogestión): _x000a_ El_x000a_     Menú Interactivo (while): Este era un requerimiento obligatorio de la_x000a_     rúbrica general. Su código se ejecuta de forma lineal (de arriba a abajo)_x000a_     y termina. No implementaron el menú interactivo con el ciclo while que_x000a_     permitiera al usuario elegir opciones sin que el programa se cerrara. _x000a_ Coherencia_x000a_     Diseño vs. Código: En su archivo pseudocodigo.txt y en el diagrama de_x000a_     flujo, ustedes planearon perfectamente el menú (Mientras el usuario no_x000a_     elija salir: Mostrar menú...). Sin embargo, no lo programaron en Python._x000a_     Recuerden la regla de oro: el diseño debe coincidir exactamente con el_x000a_     producto final. _x000a_ Seguimiento_x000a_     de Instrucciones (.sort() y Categorías): _x000a_ _x000a_  Aunque_x000a_      su método burbuja es genial, la rúbrica exigía evaluar su capacidad para_x000a_      usar el método nativo .sort(). En el mundo laboral, reinventar la rueda_x000a_      puede costar tiempo valioso; debemos usar las herramientas integradas del_x000a_      lenguaje. _x000a_  En_x000a_      el Reto 4, omitieron la categoría &quot;Plata&quot;. Su código clasifica_x000a_      todo lo menor a $500.000 como &quot;Bronce&quot;, saltándose la regla de_x000a_      negocio del cliente. _x000a_ Motivación: _x000a_Tienen una capacidad excelente para estructurar datos y presentarlos de forma_x000a_profesional. El siguiente paso para alcanzar la excelencia es asegurar que_x000a_cumplen estrictamente con los requerimientos técnicos del cliente (la rúbrica)_x000a_y que su planeación se refleje 100% en su código. ¡Sigan adelante, tienen un_x000a_gran potencial para el análisis de datos!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Entregaron pseudocódigo y diagrama. Penalización:_x000a_  El diseño plantea un menú while que no fue implementado en el código final_x000a_  (Falla en Sanity Check). _x000a_  _x000a_  _x000a_  10.0 _x000a_  _x000a_  _x000a_  6.0 _x000a_  _x000a_ _x000a_ _x000a_  _x000a_  Funcionalidad Python _x000a_  _x000a_  _x000a_  Código sin errores y cálculos correctos. Penalización:_x000a_  Ausencia total del ciclo while (Menú interactivo) y omisión de la categoría_x000a_  &quot;Plata&quot; en Reto 4. _x000a_  _x000a_  _x000a_  15.0 _x000a_  _x000a_  _x000a_  9.0 _x000a_  _x000a_ _x000a_ _x000a_  _x000a_  Manejo de Datos _x000a_  _x000a_  _x000a_  Excelente uso de listas y ciclos for. Penalización:_x000a_  No se utilizó el método .sort() solicitado en la rúbrica. _x000a_  _x000a_  _x000a_  15.0 _x000a_  _x000a_  _x000a_  11.0 _x000a_  _x000a_ _x000a_ _x000a_  _x000a_  Git &amp;amp; GitHub _x000a_  _x000a_  _x000a_  Repositorio público configurado correctamente y README.md_x000a_  funcion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TOTAL _x000a_  _x000a_  _x000a_  _x000a_  50.0 _x000a_  _x000a_  _x000a_  41.0 _x000a_  _x000a_ Diego Mauricio Zuluaga Rodríguez _x000a_Profesor - Departamento de Economía _x000a_Universidad de La Sabana"/>
    <n v="41"/>
    <n v="50"/>
    <n v="0.82"/>
  </r>
  <r>
    <x v="26"/>
    <s v="Samuel David"/>
    <s v="Simancas Contreras"/>
    <s v="samuelsico@unisabana.edu.co"/>
    <x v="4"/>
    <d v="2026-02-25T00:00:00"/>
    <x v="3"/>
    <s v="Devuelta"/>
    <s v="Retroalimentación de la Entrega: Taller Corte 1 - MVP del_x000a_Emprendedor  Grupo: Daniel Felipe Camacho Pedraza, Juan Sebastian_x000a_Perdomo Herrera, Samuel David Simancas Contreras. Proyecto: MVP - Retos de Logística y Gastronomía.  Calificación Final: 38/50 (Equivalente a 3.8 / 5.0)  Comentarios del Profesor: Equipo, han entregado un código con destellos técnicos muy_x000a_avanzados, pero han descuidado una de las reglas de oro del curso y del_x000a_Departamento de Economía: la planeación y la autogestión.  Puntos a destacar (Lo excelente): _x000a_ Investigación_x000a_     Autónoma: El uso de diccionarios dentro de listas y la implementación_x000a_     de funciones lambda para el ordenamiento (paquetes.sort(key=lambda x:_x000a_     x['peso'], reverse=True)) es de un nivel técnico superior al exigido._x000a_     Demuestra que investigaron por su cuenta y buscaron la forma más eficiente_x000a_     de estructurar los datos. ¡Excelente trabajo en este aspecto! _x000a_ Estructura_x000a_     de Menús: La implementación de los ciclos while True y el manejo de_x000a_     las opciones es limpio y funcional. _x000a_ Cálculos_x000a_     Financieros: El cálculo del margen de ganancia (1.35) y el uso de_x000a_     f-strings con separadores de miles (:,) demuestran atención a la_x000a_     presentación de los datos.  Oportunidades de Mejora (Sanity Check y Reglas de_x000a_Negocio): _x000a_ Ausencia_x000a_     de Planeación (Penalización Crítica): No adjuntaron el diagrama de_x000a_     flujo ni el pseudocódigo (Carpeta design/). Como se indicó en las_x000a_     instrucciones, programar sin planear es un riesgo inaceptable en el mundo_x000a_     real. Por esta razón, la nota en el criterio de &quot;Lógica y_x000a_     Diseño&quot; es 0.0. _x000a_ Lógica_x000a_     de Negocio (Reto 2): En el reto de Gastronomía, definieron un PRECIO_BASE_REFERENCIA_x000a_     = 10000 global para todos los ingredientes. En la vida real, la sal no_x000a_     tiene el mismo precio base que el salmón. El sistema debió pedir el precio_x000a_     base individual de cada ingrediente ingresado para calcular su inflación_x000a_     real. _x000a_ Detalle_x000a_     Técnico (Ejecución): En su archivo de Jupyter, encapsularon todo el_x000a_     código dentro de las funciones def reto_logistica(): y def_x000a_     reto_gastronomia():, pero nunca llamaron a las funciones al final_x000a_     de la celda. Si alguien ejecuta su código, no pasa absolutamente nada._x000a_     Tengan cuidado con estos detalles de despliegue.  Motivación: _x000a_Tienen una capacidad técnica innegable y un dominio de Python que destaca._x000a_Sabiendo que el Primer Parcial ya se realizó, estoy seguro de que si_x000a_aplicaron este mismo nivel de código (y recordaron hacer el pseudocódigo_x000a_exigido en el examen), habrán obtenido un gran resultado. Para el próximo_x000a_corte, no olviden que un buen CTO no solo escribe código complejo, sino que_x000a_planea, documenta y audita la lógica de su negocio antes de teclear.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el diagrama de flujo ni el_x000a_  pseudocódigo exigido en las instrucciones. _x000a_  _x000a_  _x000a_  10.0 _x000a_  _x000a_  _x000a_  0.0 _x000a_  _x000a_ _x000a_ _x000a_  _x000a_  Funcionalidad Python _x000a_  _x000a_  _x000a_  (13.0) Uso correcto de while e if/elif/else. Se_x000a_  descuentan 2 puntos porque las funciones fueron definidas pero no invocadas,_x000a_  y por la lógica del precio base global en el Reto 2. _x000a_  _x000a_  _x000a_  15.0 _x000a_  _x000a_  _x000a_  13.0 _x000a_  _x000a_ _x000a_ _x000a_  _x000a_  Manejo de Datos _x000a_  _x000a_  _x000a_  (15.0) Nivel avanzado. Excelente uso de_x000a_  diccionarios, listas, ciclos for y ordenamiento con lambda. _x000a_  _x000a_  _x000a_  15.0 _x000a_  _x000a_  _x000a_  15.0 _x000a_  _x000a_ _x000a_ _x000a_  _x000a_  Git &amp;amp; GitHub _x000a_  _x000a_  _x000a_  (10.0) Se otorga el puntaje completo por directriz_x000a_  de la clase (tema no evaluado en este corte). _x000a_  _x000a_  _x000a_  10.0 _x000a_  _x000a_  _x000a_  10.0 _x000a_  _x000a_ _x000a_ _x000a_  _x000a_  TOTAL _x000a_  _x000a_  _x000a_  _x000a_  50.0 _x000a_  _x000a_  _x000a_  38.0 _x000a_  _x000a_ Diego Mauricio Zuluaga Rodríguez _x000a_Profesor - Departamento de Economía _x000a_Universidad de La Sabana"/>
    <n v="38"/>
    <n v="50"/>
    <n v="0.76"/>
  </r>
  <r>
    <x v="27"/>
    <s v="Derek Sebastian"/>
    <s v="Quintero Espindola"/>
    <s v="derekques@unisabana.edu.co"/>
    <x v="4"/>
    <d v="2026-02-25T00:00:00"/>
    <x v="3"/>
    <s v="Devuelta"/>
    <s v="Retroalimentación de la Entrega: Taller Corte 1 - MVP del_x000a_Emprendedor  Calificación: 0.0 / 50  Retroalimentación: _x000a_No se encontró registro de entrega en la plataforma Microsoft Teams ni el_x000a_vínculo al repositorio de GitHub solicitado. Según el cronograma oficial y las_x000a_instrucciones dadas, el plazo máximo de entrega venció el miércoles 25 de_x000a_febrero a las 16:00, previo al inicio del primer parcial. Al no existir_x000a_evidencia del trabajo, no es posible aplicar la rúbrica de evaluación.  Motivación: _x000a_Este resultado impacta el 30% de tu nota del primer corte; sin embargo, el_x000a_semestre apenas comienza. Te invito a reflexionar sobre tu proceso de autogestión_x000a_y organización del tiempo. Quedan por delante el Corte 2 y el Corte 3 (70%_x000a_restante del semestre), donde tienes la oportunidad de demostrar tu compromiso_x000a_y habilidades técnicas. Asegúrate de cumplir con las fechas establecidas en el_x000a_Syllabus para evitar futuras penalizaciones. Diego Mauricio Zuluaga Rodríguez _x000a_Profesor - Departamento de Economía _x000a_Universidad de La Sabana"/>
    <n v="0"/>
    <n v="50"/>
    <n v="0"/>
  </r>
  <r>
    <x v="28"/>
    <s v="Maria Jose"/>
    <s v="Huertas Osorio"/>
    <s v="mariahueos@unisabana.edu.co"/>
    <x v="4"/>
    <d v="2026-02-25T00:00:00"/>
    <x v="3"/>
    <s v="Devuelta"/>
    <s v="Retroalimentación de la Entrega: Taller Corte 1 - MVP del_x000a_Emprendedor  Grupo: Alessandro Di Mauro Bonilla Correa, Maria Jose_x000a_Huertas Osorio, Gabriela Ruiz Perez. Proyecto: No registrado.  Calificación Final: 0.0 / 50 (Equivalente a 0.0)  Comentarios del Profesor: Lamento informar que, al cierre del buzón el pasado miércoles_x000a_25 de febrero a las 16:00, no se encontró registro de su entrega en la_x000a_plataforma Microsoft Teams ni se recibió el vínculo de su repositorio en_x000a_GitHub.  Análisis de Autogestión: _x000a_Uno de los pilares fundamentales de este curso y del Departamento de Economía_x000a_es la Autogestión. Esto implica la organización del tiempo y el_x000a_cumplimiento estricto de los cronogramas establecidos en el Syllabus. En un_x000a_entorno profesional y de emprendimiento, el incumplimiento de un deadline_x000a_para la entrega de un MVP (Producto Mínimo Viable) conlleva la pérdida de_x000a_credibilidad y de oportunidades de inversión.  Impacto Académico: _x000a_Esta nota corresponde al 30% de la calificación del primer corte. La_x000a_ausencia de este entregable afecta significativamente su promedio actual.  Motivación y Próximos Pasos: _x000a_El semestre apenas comienza. Los invito a reflexionar sobre los métodos de_x000a_estudio y organización que están utilizando como grupo. Tienen el Parcial_x000a_(50%) y las próximas actividades para demostrar su compromiso y nivel_x000a_técnico. No permitan que este resultado defina su desempeño en el resto del_x000a_semestre; utilícenlo como un motor para mejorar su planeación y asegurar que_x000a_todas las entregas futuras se realicen con antelación.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No se entregó evidencia de planeación. _x000a_  _x000a_  _x000a_  10.0 _x000a_  _x000a_  _x000a_  0.0 _x000a_  _x000a_ _x000a_ _x000a_  _x000a_  Funcionalidad Python _x000a_  _x000a_  _x000a_  No se entregó código funcional. _x000a_  _x000a_  _x000a_  15.0 _x000a_  _x000a_  _x000a_  0.0 _x000a_  _x000a_ _x000a_ _x000a_  _x000a_  Manejo de Datos _x000a_  _x000a_  _x000a_  No se entregó evidencia de manejo de listas/ciclos. _x000a_  _x000a_  _x000a_  15.0 _x000a_  _x000a_  _x000a_  0.0 _x000a_  _x000a_ _x000a_ _x000a_  _x000a_  Git &amp;amp; GitHub _x000a_  _x000a_  _x000a_  No se registró repositorio profesional. _x000a_  _x000a_  _x000a_  10.0 _x000a_  _x000a_  _x000a_  0.0 _x000a_  _x000a_ _x000a_ _x000a_  _x000a_  TOTAL _x000a_  _x000a_  _x000a_  _x000a_  50.0 _x000a_  _x000a_  _x000a_  0.0 _x000a_  _x000a_ Diego Mauricio Zuluaga Rodríguez _x000a_Profesor - Departamento de Economía _x000a_Universidad de La Sabana"/>
    <n v="0"/>
    <n v="50"/>
    <n v="0"/>
  </r>
  <r>
    <x v="29"/>
    <s v="Juan Camilo"/>
    <s v="Leyton Lancheros"/>
    <s v="juanleyla@unisabana.edu.co"/>
    <x v="4"/>
    <d v="2026-02-25T00:00:00"/>
    <x v="3"/>
    <s v="Devuelta"/>
    <s v="Retroalimentación de la Entrega: Taller Corte 1 - MVP del_x000a_Emprendedor  Grupo: Cristian Bermúdez, Juan Camilo Leyton_x000a_Lancheros, Nicolás Torres Calderón. Proyectos: Ruta-Óptima (Reto 1) y Chef-Costos (Reto 2).  Calificación Final: 19/50 (Equivalente a 1.9)  Comentarios del Profesor: Equipo, he revisado su entrega. A nivel de lógica matemática_x000a_y sintaxis de Python, el código que escribieron funciona correctamente. Sin_x000a_embargo, esta entrega presenta fallas críticas en el seguimiento de_x000a_instrucciones y en la competencia de Autogestión, lo cual ha impactado_x000a_severamente su calificación.  Puntos a destacar (Lo técnico): _x000a_ Lógica_x000a_     de Negocio: Las fórmulas matemáticas para calcular el costo de envío y_x000a_     el aumento porcentual de los ingredientes son correctas. _x000a_ Estructuras_x000a_     Avanzadas: Noté que utilizaron diccionarios y la función sorted() con_x000a_     funciones lambda. Aunque esto demuestra que investigaron o tienen_x000a_     conocimientos previos, en este curso evaluamos el dominio de las_x000a_     herramientas vistas en clase (Listas y el método .sort()).  Oportunidades de Mejora Críticas (Autogestión y Sanity_x000a_Check): _x000a_ Incumplimiento_x000a_     del Formato de Entrega (Git/GitHub): La instrucción era clara: debían_x000a_     crear un repositorio público en GitHub con un archivo README.md y subir el_x000a_     enlace a Teams. Ustedes adjuntaron únicamente el archivo .ipynb. En el_x000a_     mundo profesional, no usar el control de versiones solicitado por el_x000a_     cliente o el líder técnico es inaceptable. Esto les costó todos los puntos_x000a_     de esa sección. _x000a_ Ausencia_x000a_     de Planeación (Diseño): No entregaron la carpeta design/ con el_x000a_     pseudocódigo ni el diagrama de flujo. Recuerden la regla de la clase: Primero_x000a_     pensamos, luego codificamos. La falta de esta evidencia penaliza_x000a_     fuertemente la nota. _x000a_ Omisión_x000a_     de Requerimientos Obligatorios: La rúbrica exigía explícitamente un Menú_x000a_     Interactivo utilizando un ciclo while para que el programa no se_x000a_     cerrara solo y permitiera navegar entre los retos. Su código se ejecuta de_x000a_     forma lineal y termina, omitiendo por completo esta estructura de control_x000a_     fundamental.  Motivación: _x000a_Ustedes tienen la capacidad técnica para escribir buen código, eso quedó_x000a_demostrado en la lógica de sus retos. Sin embargo, el éxito de un profesional_x000a_(y de un CTO en una startup) radica en seguir los requerimientos del cliente al_x000a_pie de la letra y gestionar sus entregables de forma organizada. Los invito a_x000a_ajustar su nivel de atención al detalle y autogestión para los próximos cortes._x000a_Tienen el potencial para recuperars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pseudocódigo ni diagrama de_x000a_  flujo (Carpeta design/ ausente). _x000a_  _x000a_  _x000a_  10.0 _x000a_  _x000a_  _x000a_  0.0 _x000a_  _x000a_ _x000a_ _x000a_  _x000a_  Funcionalidad Python _x000a_  _x000a_  _x000a_  7.0: El código corre y usa if/else correctamente,_x000a_  pero omite por completo el ciclo while (Menú interactivo obligatorio). _x000a_  _x000a_  _x000a_  15.0 _x000a_  _x000a_  _x000a_  8.0 _x000a_  _x000a_ _x000a_ _x000a_  _x000a_  Manejo de Datos _x000a_  _x000a_  _x000a_  12.0: Uso correcto de ciclos for. Penalización:_x000a_  Se usó sorted() con lambda en lugar del método .sort() sobre listas anidadas,_x000a_  como se solicitó en la rúbrica. _x000a_  _x000a_  _x000a_  15.0 _x000a_  _x000a_  _x000a_  12.0 _x000a_  _x000a_ _x000a_ _x000a_  _x000a_  Git &amp;amp; GitHub _x000a_  _x000a_  _x000a_  0.0: NA. _x000a_  _x000a_  _x000a_  10.0 _x000a_  _x000a_  _x000a_  10.0 _x000a_  _x000a_ _x000a_ _x000a_  _x000a_  TOTAL _x000a_  _x000a_  _x000a_  _x000a_  50.0 _x000a_  _x000a_  _x000a_  30.0 _x000a_  _x000a_ Diego Mauricio Zuluaga Rodríguez _x000a_Profesor - Departamento de Economía _x000a_Universidad de La Sabana"/>
    <n v="30"/>
    <n v="50"/>
    <n v="0.6"/>
  </r>
  <r>
    <x v="30"/>
    <s v="Samuel Mathias"/>
    <s v="Gonzalez Bernal"/>
    <s v="samuelgonbe@unisabana.edu.co"/>
    <x v="4"/>
    <d v="2026-02-25T00:00:00"/>
    <x v="3"/>
    <s v="Devuelta"/>
    <s v="Retroalimentación de la Entrega: Taller Corte 1 - MVP del_x000a_Emprendedor  Grupo: Samuel Gonzales, Samuel Lozano, Sebastián_x000a_Vanoy. Retos Seleccionados: Logística (&quot;Ruta-Óptima&quot;) y Economía_x000a_(&quot;Dolar-Track&quot;).  Calificación Final: 50/50 (Equivalente a 5.0)  Comentarios del Profesor: Equipo, han realizado un trabajo sólido y funcional._x000a_Lograron implementar la lógica requerida para ambos retos, demostrando un buen_x000a_entendimiento de las estructuras de control (while, if/elif/else) y el manejo_x000a_de listas.  Puntos a destacar (Lo bueno): _x000a_ Lógica_x000a_     de Logística (Reto 1): La implementación de zip() para unir las listas_x000a_     (pesos, destinos, tipos, costos) antes de ordenar es una solución técnica_x000a_     muy inteligente y eficiente. Esto garantiza que al ordenar por peso, la_x000a_     información del destino y el costo no se &quot;descuadre&quot;. ¡Excelente_x000a_     recurso! _x000a_ Validaciones_x000a_     de Seguridad (Sanity Checks): Me gustó ver que incluyeron validaciones_x000a_     como if len(pesos) &amp;lt; 5: o if len(TRM_dias_anteriores) == 0:. Esto evita_x000a_     que el programa colapse si el usuario intenta calcular sin haber ingresado_x000a_     datos, lo cual demuestra madurez en su lógica de programación. _x000a_ Diagramas_x000a_     de Flujo: Los diagramas adjuntos en PDF son claros y coinciden con la_x000a_     lógica implementada en el código, cumpliendo con el requisito de diseño_x000a_     previo.  Oportunidades de Mejora (Para el futuro): _x000a_ Redundancia_x000a_     en el Reto 3 (Economía): Noté que en las opciones '2' y '3' repiten el_x000a_     bloque de código para calcular el promedio (sum / len). En programación,_x000a_     cuando vean que están copiando y pegando el mismo código varias veces, es_x000a_     una señal para optimizar (quizás calculando el promedio una sola vez al_x000a_     inicio o usando una función). _x000a_ Experiencia_x000a_     de Usuario (UX): En el Reto 3, al seleccionar la opción 1, el programa_x000a_     pide los 7 datos y automáticamente los imprime ordenados. Sería_x000a_     mejor separar el &quot;Ingreso&quot; del &quot;Reporte&quot;, tal como lo_x000a_     hicieron en el Reto 1, para darle más control al usuario.  Motivación: _x000a_Tienen una base técnica muy fuerte. El uso de zip() demuestra que están_x000a_investigando y yendo más allá de lo básico. Sigan cultivando esa curiosidad_x000a_técnica, porque es lo que diferencia a un programador promedio de uno_x000a_excelente. ¡Buen trabajo!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claros y coherentes con el código_x000a_  entregado. _x000a_  _x000a_  _x000a_  10.0 _x000a_  _x000a_  _x000a_  10.0 _x000a_  _x000a_ _x000a_ _x000a_  _x000a_  Funcionalidad Python _x000a_  _x000a_  _x000a_  Código funcional, sin errores de sintaxis y con menús_x000a_  interactivos robustos. _x000a_  _x000a_  _x000a_  15.0 _x000a_  _x000a_  _x000a_  15.0 _x000a_  _x000a_ _x000a_ _x000a_  _x000a_  Manejo de Datos _x000a_  _x000a_  _x000a_  Uso avanzado de listas (incluyendo zip y clear) y ciclos for_x000a_  correctos. _x000a_  _x000a_  _x000a_  15.0 _x000a_  _x000a_  _x000a_  15.0 _x000a_  _x000a_ _x000a_ _x000a_  _x000a_  Git &amp;amp; GitHub _x000a_  _x000a_  _x000a_  (No evaluado por tiempos de clase - Se otorga el_x000a_  puntaje base). _x000a_  _x000a_  _x000a_  10.0 _x000a_  _x000a_  _x000a_  10.0 _x000a_  _x000a_ _x000a_ _x000a_  _x000a_  TOTAL _x000a_  _x000a_  _x000a_  _x000a_  50.0 _x000a_  _x000a_  _x000a_  50.0 _x000a_  _x000a_ Diego Mauricio Zuluaga Rodríguez _x000a_Profesor - Departamento de Economía _x000a_Universidad de La Sabana"/>
    <n v="50"/>
    <n v="50"/>
    <n v="1"/>
  </r>
  <r>
    <x v="31"/>
    <s v="Valeria"/>
    <s v="Morales"/>
    <s v="valeriamor@unisabana.edu.co"/>
    <x v="4"/>
    <d v="2026-02-25T00:00:00"/>
    <x v="3"/>
    <s v="Devuelta"/>
    <s v="Retroalimentación de la Entrega: Taller Corte 1 - MVP del_x000a_Emprendedor  Grupo: Paula Andrea Arciniegas Cárdenas, Valeria_x000a_Morales. Startup: LogicFlow  Calificación Final: 50/50 (Equivalente a 5.0) (Nota: El puntaje base obtenido fue de 46/50. Se aplicó el bono de +5 puntos_x000a_por la implementación exitosa de Git/GitHub, alcanzando el tope máximo de_x000a_50/50).  Comentarios del Profesor: Equipo LogicFlow, han presentado un proyecto muy sólido. Han_x000a_demostrado una excelente capacidad para resolver problemas lógicos y_x000a_estructurar un portafolio profesional que resalta sus perfiles como analistas y_x000a_desarrolladoras.  Puntos a destacar (Lo excelente): _x000a_ Portafolio_x000a_     Profesional (GitHub): El archivo README.md es impecable. Definir el_x000a_     contexto de la Startup y explicar cómo cada reto aporta a la toma de_x000a_     decisiones en Colombia demuestra una gran visión de negocio. Además,_x000a_     lograron implementar Git y GitHub, obteniendo el bono de +5 puntos. _x000a_ Nivel_x000a_     Avanzado en Reto 1: El uso de una lista de diccionarios (paquetes.append({&quot;peso&quot;:_x000a_     peso...})) y la función lambda para ordenar con .sort(key=lambda x:_x000a_     x[&quot;peso&quot;]) es código de nivel intermedio-avanzado. ¡Excelente_x000a_     investigación autónoma! _x000a_ Manejo_x000a_     de Errores (UX): En el Reto 1, la implementación de try/except para_x000a_     evitar que el programa colapse si el usuario ingresa letras en lugar de_x000a_     números es una práctica de programación defensiva muy profesional.  Oportunidades de Mejora (Sanity Check y Autogestión): _x000a_ Estructura_x000a_     General (Reto 3): La rúbrica exigía que todos los retos_x000a_     tuvieran un Menú Interactivo (while). El Reto 1 lo tiene perfecto, pero el_x000a_     Reto 3 se ejecuta de forma lineal y termina. En el mundo real, un usuario_x000a_     necesita poder realizar varios análisis sin tener que reiniciar la_x000a_     aplicación. _x000a_ &quot;Pythonic_x000a_     Way&quot; (Reto 3): En el Reto 3 inicializaron la lista con ceros trm_x000a_     =[0,0,0,0,0,0,0] y luego reemplazaron los valores por índice trm[i] =_x000a_     trm_dia. Aunque funciona (lógica de lenguajes como C o Java), en Python la_x000a_     mejor práctica es iniciar una lista vacía trm =[] y usar el método .append(trm_dia). _x000a_ Declaración_x000a_     de Tipos: En el Reto 3 escribieron valor_maximo = float. En Python,_x000a_     esto asigna el objeto tipo float a la variable, lo cual es_x000a_     innecesario porque en la siguiente línea lo sobrescriben con trm[0]._x000a_     Python es de tipado dinámico, no necesitan declarar el tipo de la variable_x000a_     antes de usarla.  Motivación: _x000a_Tienen un pensamiento analítico muy fuerte y una excelente presentación de_x000a_resultados. Ajustando esos pequeños detalles de estructura y aprovechando al_x000a_máximo las herramientas nativas de Python, estarán listas para construir_x000a_modelos financieros y logísticos muy potentes. ¡Excelente preparación para el_x000a_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presentes y coherentes_x000a_  con la lógica implementada. _x000a_  _x000a_  _x000a_  10.0 _x000a_  _x000a_  _x000a_  10.0 _x000a_  _x000a_ _x000a_ _x000a_  _x000a_  Funcionalidad Python _x000a_  _x000a_  _x000a_  Reto 1 impecable. Penalización leve: El Reto 3_x000a_  carece del menú interactivo (while) exigido en la rúbrica general. _x000a_  _x000a_  _x000a_  15.0 _x000a_  _x000a_  _x000a_  13.0 _x000a_  _x000a_ _x000a_ _x000a_  _x000a_  Manejo de Datos _x000a_  _x000a_  _x000a_  Excelente uso de diccionarios y .sort() en Reto 1. Penalización_x000a_  leve: Uso poco convencional de listas en Reto 3 y ausencia de .sort(). _x000a_  _x000a_  _x000a_  15.0 _x000a_  _x000a_  _x000a_  13.0 _x000a_  _x000a_ _x000a_ _x000a_  _x000a_  Git &amp;amp; GitHub _x000a_  _x000a_  _x000a_  Repositorio público excelente y README.md con contexto de_x000a_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TOTAL _x000a_  _x000a_  _x000a_  (Tope máximo de 50 puntos) _x000a_  _x000a_  _x000a_  50.0 _x000a_  _x000a_  _x000a_  50.0 _x000a_  _x000a_ Diego Mauricio Zuluaga Rodríguez _x000a_Profesor - Departamento de Economía _x000a_Universidad de La Sabana"/>
    <n v="50"/>
    <n v="50"/>
    <n v="1"/>
  </r>
  <r>
    <x v="32"/>
    <s v="Samantha"/>
    <s v="Vanegas Russi"/>
    <s v="samanthavaru@unisabana.edu.co"/>
    <x v="4"/>
    <d v="2026-02-25T00:00:00"/>
    <x v="3"/>
    <s v="Devuelta"/>
    <s v="Retroalimentación de la Entrega: Taller Corte 1 - MVP del_x000a_Emprendedor  Grupo: Avril Ariza, Samantha Vanegas. Proyectos: ModaPlus (Reto 4) y Nómina-Express (Reto 5).  Calificación Final: 41/50 (Equivalente a 4.1) (Nota: Se aplicó un bono de +5 puntos por la implementación autónoma de_x000a_Git/GitHub. El puntaje base fue 36/50).  Comentarios del Profesor: Equipo, han presentado un trabajo con un nivel de detalle_x000a_visual y matemático muy interesante. La forma en que estructuraron las salidas_x000a_en consola (tablas, resúmenes, f-strings) demuestra un gran esfuerzo por_x000a_entregar un producto amigable para el usuario final.  Puntos a destacar (Lo excelente): _x000a_ Portafolio_x000a_     Profesional (GitHub): El archivo README.md es claro y cumple con el_x000a_     objetivo. Además, lograron implementar Git y GitHub por su cuenta, lo cual_x000a_     demuestra una excelente capacidad de investigación y les otorga el bono de_x000a_     +5 puntos. _x000a_ Formato_x000a_     de Salida (UX): La presentación de los desprendibles de pago y el_x000a_     reporte de clientes es de nivel avanzado. El uso de espaciados (:&amp;lt;15, :8.0f)_x000a_     hace que la consola se vea como un software real. _x000a_ Lógica_x000a_     Algorítmica: Implementar un &quot;Método Burbuja&quot; (Bubble Sort)_x000a_     manual con ciclos for anidados en el Reto 4 es una muestra de pensamiento_x000a_     lógico avanzado. ¡Muy bien pensado!  Oportunidades de Mejora (Sanity Check y Autogestión): _x000a_ El_x000a_     Menú Interactivo (while): Este era un requerimiento obligatorio de la_x000a_     rúbrica general. Su código se ejecuta de forma lineal (de arriba a abajo)_x000a_     y termina. No implementaron el menú interactivo con el ciclo while que_x000a_     permitiera al usuario elegir opciones sin que el programa se cerrara. _x000a_ Coherencia_x000a_     Diseño vs. Código: En su archivo pseudocodigo.txt y en el diagrama de_x000a_     flujo, ustedes planearon perfectamente el menú (Mientras el usuario no_x000a_     elija salir: Mostrar menú...). Sin embargo, no lo programaron en Python._x000a_     Recuerden la regla de oro: el diseño debe coincidir exactamente con el_x000a_     producto final. _x000a_ Seguimiento_x000a_     de Instrucciones (.sort() y Categorías): _x000a_ _x000a_  Aunque_x000a_      su método burbuja es genial, la rúbrica exigía evaluar su capacidad para_x000a_      usar el método nativo .sort(). En el mundo laboral, reinventar la rueda_x000a_      puede costar tiempo valioso; debemos usar las herramientas integradas del_x000a_      lenguaje. _x000a_  En_x000a_      el Reto 4, omitieron la categoría &quot;Plata&quot;. Su código clasifica_x000a_      todo lo menor a $500.000 como &quot;Bronce&quot;, saltándose la regla de_x000a_      negocio del cliente. _x000a_ Motivación: _x000a_Tienen una capacidad excelente para estructurar datos y presentarlos de forma_x000a_profesional. El siguiente paso para alcanzar la excelencia es asegurar que_x000a_cumplen estrictamente con los requerimientos técnicos del cliente (la rúbrica)_x000a_y que su planeación se refleje 100% en su código. ¡Sigan adelante, tienen un_x000a_gran potencial para el análisis de datos!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Entregaron pseudocódigo y diagrama. Penalización:_x000a_  El diseño plantea un menú while que no fue implementado en el código final_x000a_  (Falla en Sanity Check). _x000a_  _x000a_  _x000a_  10.0 _x000a_  _x000a_  _x000a_  6.0 _x000a_  _x000a_ _x000a_ _x000a_  _x000a_  Funcionalidad Python _x000a_  _x000a_  _x000a_  Código sin errores y cálculos correctos. Penalización:_x000a_  Ausencia total del ciclo while (Menú interactivo) y omisión de la categoría_x000a_  &quot;Plata&quot; en Reto 4. _x000a_  _x000a_  _x000a_  15.0 _x000a_  _x000a_  _x000a_  9.0 _x000a_  _x000a_ _x000a_ _x000a_  _x000a_  Manejo de Datos _x000a_  _x000a_  _x000a_  Excelente uso de listas y ciclos for. Penalización:_x000a_  No se utilizó el método .sort() solicitado en la rúbrica. _x000a_  _x000a_  _x000a_  15.0 _x000a_  _x000a_  _x000a_  11.0 _x000a_  _x000a_ _x000a_ _x000a_  _x000a_  Git &amp;amp; GitHub _x000a_  _x000a_  _x000a_  Repositorio público configurado correctamente y README.md_x000a_  funcion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TOTAL _x000a_  _x000a_  _x000a_  _x000a_  50.0 _x000a_  _x000a_  _x000a_  41.0 _x000a_  _x000a_ Diego Mauricio Zuluaga Rodríguez _x000a_Profesor - Departamento de Economía _x000a_Universidad de La Sabana"/>
    <n v="41"/>
    <n v="50"/>
    <n v="0.82"/>
  </r>
  <r>
    <x v="33"/>
    <s v="Cristobal"/>
    <s v="Robayo Jimenez"/>
    <s v="cristobalroji@unisabana.edu.co"/>
    <x v="4"/>
    <d v="2026-02-25T00:00:00"/>
    <x v="3"/>
    <s v="Devuelta"/>
    <s v="Retroalimentación de la Entrega: Taller Corte 1 - MVP del_x000a_Emprendedor  Calificación: 0.0 / 50  Retroalimentación: _x000a_No se encontró registro de entrega en la plataforma Microsoft Teams ni el_x000a_vínculo al repositorio de GitHub solicitado. Según el cronograma oficial y las_x000a_instrucciones dadas, el plazo máximo de entrega venció el miércoles 25 de_x000a_febrero a las 16:00, previo al inicio del primer parcial. Al no existir_x000a_evidencia del trabajo, no es posible aplicar la rúbrica de evaluación.  Motivación: _x000a_Este resultado impacta el 30% de tu nota del primer corte; sin embargo, el_x000a_semestre apenas comienza. Te invito a reflexionar sobre tu proceso de autogestión_x000a_y organización del tiempo. Quedan por delante el Corte 2 y el Corte 3 (70%_x000a_restante del semestre), donde tienes la oportunidad de demostrar tu compromiso_x000a_y habilidades técnicas. Asegúrate de cumplir con las fechas establecidas en el_x000a_Syllabus para evitar futuras penalizaciones. Diego Mauricio Zuluaga Rodríguez _x000a_Profesor - Departamento de Economía _x000a_Universidad de La Sabana"/>
    <n v="0"/>
    <n v="50"/>
    <n v="0"/>
  </r>
  <r>
    <x v="34"/>
    <s v="Juan Jose"/>
    <s v="Caballero Mantilla"/>
    <s v="juancabma@unisabana.edu.co"/>
    <x v="4"/>
    <d v="2026-02-25T00:00:00"/>
    <x v="3"/>
    <s v="Devuelta"/>
    <s v="Retroalimentación de la Entrega: Taller Corte 1 - MVP del_x000a_Emprendedor  Grupo: Juan Jose Caballero Mantilla, Daniel Camilo_x000a_Lopez Piraquive, Martin Martin Trujillo Rodriguez. Proyecto: LogiChef Solutions (Logística y Gastronomía)  Calificación Final: 40/50 (Equivalente a 4.0 / 5.0) (Nota: Se aplicó un bono de +5 puntos por el uso de GitHub. Hubo descuentos_x000a_por no cumplir con el ingreso dinámico de datos y requerimientos incompletos).  Comentarios del Profesor: Equipo, he revisado su repositorio y su código. Tienen una_x000a_base estructurada muy interesante y destaco su iniciativa para investigar temas_x000a_avanzados, pero han descuidado requerimientos explícitos de la rúbrica, lo cual_x000a_es un fallo crítico en la autogestión.  Puntos a destacar (Lo excelente): _x000a_ Planeación_x000a_     y Diseño: Entregaron el diagrama de flujo y el pseudocódigo en la_x000a_     carpeta design/. Esto demuestra que hicieron el trabajo de pensar la_x000a_     lógica antes de programar, cumpliendo con el estándar del curso. _x000a_ Portafolio_x000a_     Profesional (GitHub): Su archivo README.md es claro y va al punto._x000a_     Además, lograron implementar Git y GitHub por su cuenta, lo cual demuestra_x000a_     una excelente capacidad de investigación y les otorga el bono de +5_x000a_     puntos. _x000a_ Estructura_x000a_     Avanzada: Utilizaron funciones (def) para separar la lógica de cada_x000a_     módulo. Aunque no lo hemos visto a profundidad en clase, es una excelente_x000a_     práctica de ingeniería de software.  Oportunidades de Mejora (Autogestión y Sanity Check): _x000a_ Ingreso_x000a_     de Datos (Fallo Crítico): La rúbrica exigía explícitamente: &quot;Deben_x000a_     permitir al usuario ingresar al menos 5 registros usando input()&quot;._x000a_     Ustedes &quot;quemaron&quot; (hardcoded) los datos directamente en el_x000a_     código (ej. pesos = [0.5, 3, 12, 8, 15]). Un MVP debe ser dinámico; si el_x000a_     cliente no puede ingresar sus propios datos, el software no es funcional_x000a_     para el mundo real. _x000a_ Requerimientos_x000a_     Incompletos: Aunque estructuraron dos módulos, la entrega se considera_x000a_     incompleta frente a lo solicitado (equivalente a haber realizado solo 1 de_x000a_     los 2 retos a cabalidad). Por ejemplo, en el módulo de Gastronomía_x000a_     omitieron el requerimiento de mostrar la lista de ingredientes ordenada_x000a_     del más caro al más barato usando .sort(). _x000a_ Uso_x000a_     de .append(): Al tener los datos fijos desde el inicio, perdieron la_x000a_     oportunidad de demostrar el uso de .append() dentro de un ciclo for para_x000a_     llenar las listas dinámicamente, que era uno de los objetivos de_x000a_     aprendizaje del taller.  Motivación: _x000a_Tienen una capacidad técnica muy buena y la iniciativa para aprender por su_x000a_cuenta es su mayor fortaleza. Sin embargo, en el mundo laboral, el cliente no_x000a_solo evalúa qué tan sofisticado es el código, sino si cumple exactamente con lo_x000a_que pidió. Espero que la retroalimentación de este taller y los aprendizajes_x000a_obtenidos les hayan sido de gran utilidad para el Parcial 1 que ya presentamos._x000a_¡A seguir mejorando para el segundo cor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10.0: Entrega correcta del pseudocódigo y diagrama_x000a_  de flujo en la carpeta design/. _x000a_  _x000a_  _x000a_  10.0 _x000a_  _x000a_  _x000a_  10.0 _x000a_  _x000a_ _x000a_ _x000a_  _x000a_  Funcionalidad Python _x000a_  _x000a_  _x000a_  7.5: El menú while funciona bien, pero se penaliza_x000a_  fuertemente la ausencia de input() para el ingreso dinámico de datos. _x000a_  _x000a_  _x000a_  15.0 _x000a_  _x000a_  _x000a_  7.5 _x000a_  _x000a_ _x000a_ _x000a_  _x000a_  Manejo de Datos _x000a_  _x000a_  _x000a_  7.5: Uso de listas y ciclos for. Se penaliza por no_x000a_  usar .sort() en el reto de Gastronomía y por no llenar las listas_x000a_  dinámicamente. _x000a_  _x000a_  _x000a_  15.0 _x000a_  _x000a_  _x000a_  7.5 _x000a_  _x000a_ _x000a_ _x000a_  _x000a_  Git &amp;amp; GitHub _x000a_  _x000a_  _x000a_  10.0: Repositorio público configurado correctamente_x000a_  y README.md profesional.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35"/>
    <s v="Daniel Camilo"/>
    <s v="Lopez Piraquive"/>
    <s v="danielloppi@unisabana.edu.co"/>
    <x v="4"/>
    <d v="2026-02-25T00:00:00"/>
    <x v="3"/>
    <s v="Devuelta"/>
    <s v="Retroalimentación de la Entrega: Taller Corte 1 - MVP del_x000a_Emprendedor  Grupo: Juan Jose Caballero Mantilla, Daniel Camilo_x000a_Lopez Piraquive, Martin Martin Trujillo Rodriguez. Proyecto: LogiChef Solutions (Logística y Gastronomía)  Calificación Final: 40/50 (Equivalente a 4.0 / 5.0) (Nota: Se aplicó un bono de +5 puntos por el uso de GitHub. Hubo descuentos_x000a_por no cumplir con el ingreso dinámico de datos y requerimientos incompletos).  Comentarios del Profesor: Equipo, he revisado su repositorio y su código. Tienen una_x000a_base estructurada muy interesante y destaco su iniciativa para investigar temas_x000a_avanzados, pero han descuidado requerimientos explícitos de la rúbrica, lo cual_x000a_es un fallo crítico en la autogestión.  Puntos a destacar (Lo excelente): _x000a_ Planeación_x000a_     y Diseño: Entregaron el diagrama de flujo y el pseudocódigo en la_x000a_     carpeta design/. Esto demuestra que hicieron el trabajo de pensar la_x000a_     lógica antes de programar, cumpliendo con el estándar del curso. _x000a_ Portafolio_x000a_     Profesional (GitHub): Su archivo README.md es claro y va al punto._x000a_     Además, lograron implementar Git y GitHub por su cuenta, lo cual demuestra_x000a_     una excelente capacidad de investigación y les otorga el bono de +5_x000a_     puntos. _x000a_ Estructura_x000a_     Avanzada: Utilizaron funciones (def) para separar la lógica de cada_x000a_     módulo. Aunque no lo hemos visto a profundidad en clase, es una excelente_x000a_     práctica de ingeniería de software.  Oportunidades de Mejora (Autogestión y Sanity Check): _x000a_ Ingreso_x000a_     de Datos (Fallo Crítico): La rúbrica exigía explícitamente: &quot;Deben_x000a_     permitir al usuario ingresar al menos 5 registros usando input()&quot;._x000a_     Ustedes &quot;quemaron&quot; (hardcoded) los datos directamente en el_x000a_     código (ej. pesos = [0.5, 3, 12, 8, 15]). Un MVP debe ser dinámico; si el_x000a_     cliente no puede ingresar sus propios datos, el software no es funcional_x000a_     para el mundo real. _x000a_ Requerimientos_x000a_     Incompletos: Aunque estructuraron dos módulos, la entrega se considera_x000a_     incompleta frente a lo solicitado (equivalente a haber realizado solo 1 de_x000a_     los 2 retos a cabalidad). Por ejemplo, en el módulo de Gastronomía_x000a_     omitieron el requerimiento de mostrar la lista de ingredientes ordenada_x000a_     del más caro al más barato usando .sort(). _x000a_ Uso_x000a_     de .append(): Al tener los datos fijos desde el inicio, perdieron la_x000a_     oportunidad de demostrar el uso de .append() dentro de un ciclo for para_x000a_     llenar las listas dinámicamente, que era uno de los objetivos de_x000a_     aprendizaje del taller.  Motivación: _x000a_Tienen una capacidad técnica muy buena y la iniciativa para aprender por su_x000a_cuenta es su mayor fortaleza. Sin embargo, en el mundo laboral, el cliente no_x000a_solo evalúa qué tan sofisticado es el código, sino si cumple exactamente con lo_x000a_que pidió. Espero que la retroalimentación de este taller y los aprendizajes_x000a_obtenidos les hayan sido de gran utilidad para el Parcial 1 que ya presentamos._x000a_¡A seguir mejorando para el segundo cor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10.0: Entrega correcta del pseudocódigo y diagrama_x000a_  de flujo en la carpeta design/. _x000a_  _x000a_  _x000a_  10.0 _x000a_  _x000a_  _x000a_  10.0 _x000a_  _x000a_ _x000a_ _x000a_  _x000a_  Funcionalidad Python _x000a_  _x000a_  _x000a_  7.5: El menú while funciona bien, pero se penaliza_x000a_  fuertemente la ausencia de input() para el ingreso dinámico de datos. _x000a_  _x000a_  _x000a_  15.0 _x000a_  _x000a_  _x000a_  7.5 _x000a_  _x000a_ _x000a_ _x000a_  _x000a_  Manejo de Datos _x000a_  _x000a_  _x000a_  7.5: Uso de listas y ciclos for. Se penaliza por no_x000a_  usar .sort() en el reto de Gastronomía y por no llenar las listas_x000a_  dinámicamente. _x000a_  _x000a_  _x000a_  15.0 _x000a_  _x000a_  _x000a_  7.5 _x000a_  _x000a_ _x000a_ _x000a_  _x000a_  Git &amp;amp; GitHub _x000a_  _x000a_  _x000a_  10.0: Repositorio público configurado correctamente_x000a_  y README.md profesional.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36"/>
    <s v="Gabriela"/>
    <s v="Ruiz Perez"/>
    <s v="gabrielarupe@unisabana.edu.co"/>
    <x v="4"/>
    <d v="2026-02-25T00:00:00"/>
    <x v="3"/>
    <s v="Devuelta"/>
    <s v="Retroalimentación de la Entrega: Taller Corte 1 - MVP del_x000a_Emprendedor  Grupo: Alessandro Di Mauro Bonilla Correa, Maria Jose_x000a_Huertas Osorio, Gabriela Ruiz Perez. Proyecto: No registrado.  Calificación Final: 0.0 / 50 (Equivalente a 0.0)  Comentarios del Profesor: Lamento informar que, al cierre del buzón el pasado miércoles_x000a_25 de febrero a las 16:00, no se encontró registro de su entrega en la_x000a_plataforma Microsoft Teams ni se recibió el vínculo de su repositorio en_x000a_GitHub.  Análisis de Autogestión: _x000a_Uno de los pilares fundamentales de este curso y del Departamento de Economía_x000a_es la Autogestión. Esto implica la organización del tiempo y el_x000a_cumplimiento estricto de los cronogramas establecidos en el Syllabus. En un_x000a_entorno profesional y de emprendimiento, el incumplimiento de un deadline_x000a_para la entrega de un MVP (Producto Mínimo Viable) conlleva la pérdida de_x000a_credibilidad y de oportunidades de inversión.  Impacto Académico: _x000a_Esta nota corresponde al 30% de la calificación del primer corte. La_x000a_ausencia de este entregable afecta significativamente su promedio actual.  Motivación y Próximos Pasos: _x000a_El semestre apenas comienza. Los invito a reflexionar sobre los métodos de_x000a_estudio y organización que están utilizando como grupo. Tienen el Parcial_x000a_(50%) y las próximas actividades para demostrar su compromiso y nivel_x000a_técnico. No permitan que este resultado defina su desempeño en el resto del_x000a_semestre; utilícenlo como un motor para mejorar su planeación y asegurar que_x000a_todas las entregas futuras se realicen con antelación.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No se entregó evidencia de planeación. _x000a_  _x000a_  _x000a_  10.0 _x000a_  _x000a_  _x000a_  0.0 _x000a_  _x000a_ _x000a_ _x000a_  _x000a_  Funcionalidad Python _x000a_  _x000a_  _x000a_  No se entregó código funcional. _x000a_  _x000a_  _x000a_  15.0 _x000a_  _x000a_  _x000a_  0.0 _x000a_  _x000a_ _x000a_ _x000a_  _x000a_  Manejo de Datos _x000a_  _x000a_  _x000a_  No se entregó evidencia de manejo de listas/ciclos. _x000a_  _x000a_  _x000a_  15.0 _x000a_  _x000a_  _x000a_  0.0 _x000a_  _x000a_ _x000a_ _x000a_  _x000a_  Git &amp;amp; GitHub _x000a_  _x000a_  _x000a_  No se registró repositorio profesional. _x000a_  _x000a_  _x000a_  10.0 _x000a_  _x000a_  _x000a_  0.0 _x000a_  _x000a_ _x000a_ _x000a_  _x000a_  TOTAL _x000a_  _x000a_  _x000a_  _x000a_  50.0 _x000a_  _x000a_  _x000a_  0.0 _x000a_  _x000a_ Diego Mauricio Zuluaga Rodríguez _x000a_Profesor - Departamento de Economía _x000a_Universidad de La Sabana"/>
    <n v="0"/>
    <n v="50"/>
    <n v="0"/>
  </r>
  <r>
    <x v="37"/>
    <s v="Juan Sebastian"/>
    <s v="Perdomo Herrera"/>
    <s v="juanperhe@unisabana.edu.co"/>
    <x v="4"/>
    <d v="2026-02-25T00:00:00"/>
    <x v="3"/>
    <s v="Devuelta"/>
    <s v="Retroalimentación de la Entrega: Taller Corte 1 - MVP del_x000a_Emprendedor  Calificación: 0.0 / 50  Retroalimentación: _x000a_No se encontró registro de entrega en la plataforma Microsoft Teams ni el_x000a_vínculo al repositorio de GitHub solicitado. Según el cronograma oficial y las_x000a_instrucciones dadas, el plazo máximo de entrega venció el miércoles 25 de_x000a_febrero a las 16:00, previo al inicio del primer parcial. Al no existir_x000a_evidencia del trabajo, no es posible aplicar la rúbrica de evaluación.  Motivación: _x000a_Este resultado impacta el 30% de tu nota del primer corte; sin embargo, el_x000a_semestre apenas comienza. Te invito a reflexionar sobre tu proceso de autogestión_x000a_y organización del tiempo. Quedan por delante el Corte 2 y el Corte 3 (70%_x000a_restante del semestre), donde tienes la oportunidad de demostrar tu compromiso_x000a_y habilidades técnicas. Asegúrate de cumplir con las fechas establecidas en el_x000a_Syllabus para evitar futuras penalizaciones. Diego Mauricio Zuluaga Rodríguez _x000a_Profesor - Departamento de Economía _x000a_Universidad de La Sabana"/>
    <n v="0"/>
    <n v="50"/>
    <n v="0"/>
  </r>
  <r>
    <x v="38"/>
    <s v="Martin Martin"/>
    <s v="Trujillo Rodriguez"/>
    <s v="martintrro@unisabana.edu.co"/>
    <x v="4"/>
    <d v="2026-02-25T00:00:00"/>
    <x v="3"/>
    <s v="Devuelta"/>
    <s v="Retroalimentación de la Entrega: Taller Corte 1 - MVP del_x000a_Emprendedor  Grupo: Juan Jose Caballero Mantilla, Daniel Camilo_x000a_Lopez Piraquive, Martin Martin Trujillo Rodriguez. Proyecto: LogiChef Solutions (Logística y Gastronomía)  Calificación Final: 40/50 (Equivalente a 4.0 / 5.0) (Nota: Se aplicó un bono de +5 puntos por el uso de GitHub. Hubo descuentos_x000a_por no cumplir con el ingreso dinámico de datos y requerimientos incompletos).  Comentarios del Profesor: Equipo, he revisado su repositorio y su código. Tienen una_x000a_base estructurada muy interesante y destaco su iniciativa para investigar temas_x000a_avanzados, pero han descuidado requerimientos explícitos de la rúbrica, lo cual_x000a_es un fallo crítico en la autogestión.  Puntos a destacar (Lo excelente): _x000a_ Planeación_x000a_     y Diseño: Entregaron el diagrama de flujo y el pseudocódigo en la_x000a_     carpeta design/. Esto demuestra que hicieron el trabajo de pensar la_x000a_     lógica antes de programar, cumpliendo con el estándar del curso. _x000a_ Portafolio_x000a_     Profesional (GitHub): Su archivo README.md es claro y va al punto._x000a_     Además, lograron implementar Git y GitHub por su cuenta, lo cual demuestra_x000a_     una excelente capacidad de investigación y les otorga el bono de +5_x000a_     puntos. _x000a_ Estructura_x000a_     Avanzada: Utilizaron funciones (def) para separar la lógica de cada_x000a_     módulo. Aunque no lo hemos visto a profundidad en clase, es una excelente_x000a_     práctica de ingeniería de software.  Oportunidades de Mejora (Autogestión y Sanity Check): _x000a_ Ingreso_x000a_     de Datos (Fallo Crítico): La rúbrica exigía explícitamente: &quot;Deben_x000a_     permitir al usuario ingresar al menos 5 registros usando input()&quot;._x000a_     Ustedes &quot;quemaron&quot; (hardcoded) los datos directamente en el_x000a_     código (ej. pesos = [0.5, 3, 12, 8, 15]). Un MVP debe ser dinámico; si el_x000a_     cliente no puede ingresar sus propios datos, el software no es funcional_x000a_     para el mundo real. _x000a_ Requerimientos_x000a_     Incompletos: Aunque estructuraron dos módulos, la entrega se considera_x000a_     incompleta frente a lo solicitado (equivalente a haber realizado solo 1 de_x000a_     los 2 retos a cabalidad). Por ejemplo, en el módulo de Gastronomía_x000a_     omitieron el requerimiento de mostrar la lista de ingredientes ordenada_x000a_     del más caro al más barato usando .sort(). _x000a_ Uso_x000a_     de .append(): Al tener los datos fijos desde el inicio, perdieron la_x000a_     oportunidad de demostrar el uso de .append() dentro de un ciclo for para_x000a_     llenar las listas dinámicamente, que era uno de los objetivos de_x000a_     aprendizaje del taller.  Motivación: _x000a_Tienen una capacidad técnica muy buena y la iniciativa para aprender por su_x000a_cuenta es su mayor fortaleza. Sin embargo, en el mundo laboral, el cliente no_x000a_solo evalúa qué tan sofisticado es el código, sino si cumple exactamente con lo_x000a_que pidió. Espero que la retroalimentación de este taller y los aprendizajes_x000a_obtenidos les hayan sido de gran utilidad para el Parcial 1 que ya presentamos._x000a_¡A seguir mejorando para el segundo cor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10.0: Entrega correcta del pseudocódigo y diagrama_x000a_  de flujo en la carpeta design/. _x000a_  _x000a_  _x000a_  10.0 _x000a_  _x000a_  _x000a_  10.0 _x000a_  _x000a_ _x000a_ _x000a_  _x000a_  Funcionalidad Python _x000a_  _x000a_  _x000a_  7.5: El menú while funciona bien, pero se penaliza_x000a_  fuertemente la ausencia de input() para el ingreso dinámico de datos. _x000a_  _x000a_  _x000a_  15.0 _x000a_  _x000a_  _x000a_  7.5 _x000a_  _x000a_ _x000a_ _x000a_  _x000a_  Manejo de Datos _x000a_  _x000a_  _x000a_  7.5: Uso de listas y ciclos for. Se penaliza por no_x000a_  usar .sort() en el reto de Gastronomía y por no llenar las listas_x000a_  dinámicamente. _x000a_  _x000a_  _x000a_  15.0 _x000a_  _x000a_  _x000a_  7.5 _x000a_  _x000a_ _x000a_ _x000a_  _x000a_  Git &amp;amp; GitHub _x000a_  _x000a_  _x000a_  10.0: Repositorio público configurado correctamente_x000a_  y README.md profesional.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39"/>
    <s v="Alan David"/>
    <s v="Rossoff Vanegas"/>
    <s v="alanrova@unisabana.edu.co"/>
    <x v="4"/>
    <d v="2026-02-25T00:00:00"/>
    <x v="3"/>
    <s v="Devuelta"/>
    <s v="Retroalimentación de la Entrega: Taller Corte 1 - MVP del_x000a_Emprendedor  Grupo: Lukas Blanco Llanes, Alan David Rossoff_x000a_Vanegas, Juan Sebastian Salas Hinojosa. Proyectos: Dolar-Track (Reto 3) y Nomina-Express (Reto 5).  El link de Alan David Rossoff Vanegas no es el correcto. Este es un link de Instagram. Se bajan 10 puntos. Calificación Final: 55/50 (Equivalente a 5.0 + 0.5 de_x000a_Bono) (Nota: Dado que el tema de Git/GitHub no se alcanzó a cubrir en clase, la_x000a_rúbrica base se califica sobre 10/10 automáticamente. Al haber investigado y_x000a_subido su proyecto a GitHub de forma proactiva, se les otorgan +5 puntos de_x000a_bono).  Comentarios del Profesor: Equipo, excelente trabajo. Han entregado un código robusto,_x000a_funcional y que demuestra un claro entendimiento de las estructuras de control_x000a_y el manejo de datos en Python. Actuaron como verdaderos CTOs al blindar su_x000a_aplicación contra errores de usuario.  Puntos a destacar (Lo excelente): _x000a_ Validación_x000a_     de Datos (Sanity Check): La implementación de los bloques try-except_x000a_     junto con el while True para asegurar que el usuario ingrese números_x000a_     válidos y mayores a cero es de nivel profesional. Esto evita que el_x000a_     programa colapse (crash) y mejora enormemente la experiencia de usuario_x000a_     (UX). _x000a_ Lógica_x000a_     y Diseño: Los diagramas de flujo y el pseudocódigo adjuntos en la_x000a_     carpeta design/ son coherentes con el código final. Planearon la solución_x000a_     antes de programarla. _x000a_ Estructuras_x000a_     de Control: Los menús interactivos funcionan a la perfección y la_x000a_     lógica matemática para calcular la volatilidad de la TRM y la nómina con_x000a_     horas extras es exacta.  Oportunidades de Mejora (Autogestión y Código): _x000a_ El_x000a_     Portafolio (Falta el README.md): Aunque subieron el proyecto a GitHub_x000a_     (lo cual es excelente y les dio el bono), omitieron crear el archivo README.md._x000a_     En el mundo del desarrollo y la ciencia de datos, un repositorio sin_x000a_     README es como un libro sin portada; los reclutadores no sabrán de qué_x000a_     trata su proyecto. Para el próximo corte, documenten su repositorio. _x000a_ Complejidad_x000a_     Innecesaria en el Ordenamiento: En el Reto 5 utilizaron zip() y_x000a_     funciones lambda (data.sort(key=lambda x: x[0].lower())). Es muy positivo_x000a_     que investiguen herramientas avanzadas, pero recuerden que si hubieran_x000a_     guardado los datos como una lista de listas [[nombre, horas]], un simple .sort()_x000a_     habría hecho el trabajo alfabéticamente sin necesidad de importar lógicas_x000a_     más complejas. A veces, la solución más simple es la mejor.  Motivación: _x000a_Tienen una base técnica muy sólida. Si mantienen este nivel de validación de_x000a_datos y mejoran la presentación comercial de sus repositorios (README), tendrán_x000a_un portafolio sumamente atractivo para el mercado laboral. ¡Sigan así y éxitos_x000a_en el 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entregados y coherentes_x000a_  con la lógica programada. _x000a_  _x000a_  _x000a_  10.0 _x000a_  _x000a_  _x000a_  10.0 _x000a_  _x000a_ _x000a_ _x000a_  _x000a_  Funcionalidad Python _x000a_  _x000a_  _x000a_  Uso impecable de while True para menús y validaciones try-except._x000a_  Lógica if/else correcta. _x000a_  _x000a_  _x000a_  15.0 _x000a_  _x000a_  _x000a_  15.0 _x000a_  _x000a_ _x000a_ _x000a_  _x000a_  Manejo de Datos _x000a_  _x000a_  _x000a_  Uso correcto de listas, ciclos for para cálculos_x000a_  (promedios/nómina) y ordenamiento. _x000a_  _x000a_  _x000a_  15.0 _x000a_  _x000a_  _x000a_  15.0 _x000a_  _x000a_ _x000a_ _x000a_  _x000a_  Git &amp;amp; GitHub (Base) _x000a_  _x000a_  _x000a_  Tema no evaluado obligatoriamente por tiempos de clase. Se_x000a_  otorga el puntaje base completo. _x000a_  _x000a_  _x000a_  10.0 _x000a_  _x000a_  _x000a_  10.0 _x000a_  _x000a_ _x000a_ _x000a_  _x000a_  Bono Autogestión _x000a_  _x000a_  _x000a_  Uso proactivo de GitHub para la entrega (+5 pts). Nota:_x000a_  Faltó el README.md, pero se otorga el bono por la iniciativa técnic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45"/>
    <n v="50"/>
    <n v="0.9"/>
  </r>
  <r>
    <x v="40"/>
    <s v="Diego Alejandro"/>
    <s v="Hermida Limas"/>
    <s v="diegoherli@unisabana.edu.co"/>
    <x v="4"/>
    <d v="2026-02-25T00:00:00"/>
    <x v="3"/>
    <s v="Devuelta"/>
    <s v="Retroalimentación de la Entrega: Taller Corte 1 -_x000a_SmartFlow Solutions S.A.S.  Grupo: Mateo Pérez Daza, Simón Gustavo Restrepo_x000a_Álvarez, Diego Alejandro Hermida Limas. Proyecto: SmartFlow Solutions - Sistema de Logística y Fidelización  Calificación Final: 50/50 (Equivalente a 5.0) (Nota: Se otorga el bono de +5 puntos por la implementación proactiva de_x000a_Git/GitHub).  Comentarios del Profesor: Equipo, han presentado un trabajo de altísima calidad_x000a_técnica. Su enfoque en la estructura modular (usando funciones def dentro del_x000a_Notebook) demuestra un nivel de abstracción superior al promedio del curso.  Puntos a destacar (Lo excelente): _x000a_ Estructura_x000a_     Modular: A diferencia de la mayoría que programó todo en un bloque_x000a_     lineal, ustedes encapsularon la lógica en funciones (ingresar_datos, ver_reporte)._x000a_     Esto hace que el código sea mantenible y escalable. ¡Excelente práctica de_x000a_     ingeniería de software! _x000a_ Uso_x000a_     Avanzado de .sort(): La implementación de key=lambda x:_x000a_     x[&quot;peso&quot;] demuestra que investigaron cómo ordenar diccionarios_x000a_     complejos. Esto es mucho más robusto que depender solo de la posición en_x000a_     una lista. _x000a_ Manejo_x000a_     de Errores (try-except): Incluyeron bloques try-except para validar_x000a_     que el usuario ingrese números. Esto blinda su aplicación contra errores_x000a_     humanos (User Experience - UX), algo vital en un entorno empresarial real. _x000a_ Portafolio_x000a_     Profesional: El README.md de SmartFlow Solutions es impecable. Venden_x000a_     la idea de la startup antes de mostrar el código, lo cual es clave para un_x000a_     perfil de negocios.  Oportunidad de Mejora (Sanity Check): _x000a_ Lógica_x000a_     de Negocio (Reto 1): En la clasificación logística, su código dice: if peso &amp;lt; 1: tipo = &quot;Documento&quot; elif peso &amp;lt; 10: tipo = &quot;Paquetería&quot; else: tipo = &quot;Carga&quot; Pero luego calculan el costo fuera de esta estructura_x000a_(costo = peso * TARIFA_BASE). En la vida real, la &quot;Carga&quot; suele tener_x000a_una tarifa distinta a un &quot;Documento&quot;. Aunque el enunciado pedía Tarifa_x000a_base x Kg, para un futuro MVP consideren tarifas diferenciadas.  Motivación: _x000a_Ustedes ya están programando con mentalidad de desarrolladores (funciones,_x000a_lambdas, manejo de excepciones). Este nivel técnico les dará una ventaja_x000a_competitiva enorme en el mercado laboral. Sigan cultivando esa curiosidad_x000a_técnic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y coherente con la estructura_x000a_  modular del código. _x000a_  _x000a_  _x000a_  10.0 _x000a_  _x000a_  _x000a_  10.0 _x000a_  _x000a_ _x000a_ _x000a_  _x000a_  Funcionalidad Python _x000a_  _x000a_  _x000a_  Código robusto con funciones, try-except y menús_x000a_  interactivos funcionales. _x000a_  _x000a_  _x000a_  15.0 _x000a_  _x000a_  _x000a_  15.0 _x000a_  _x000a_ _x000a_ _x000a_  _x000a_  Manejo de Datos _x000a_  _x000a_  _x000a_  Uso avanzado de diccionarios y ordenamiento con lambda. _x000a_  _x000a_  _x000a_  15.0 _x000a_  _x000a_  _x000a_  15.0 _x000a_  _x000a_ _x000a_ _x000a_  _x000a_  Git &amp;amp; GitHub _x000a_  _x000a_  _x000a_  Repositorio profesional con README.md de alta calidad_x000a_  (SmartFlow Solutions).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0"/>
    <s v="Paula Andrea"/>
    <s v="Arciniegas Cardenas"/>
    <s v="paulaarcca@unisabana.edu.co"/>
    <x v="5"/>
    <d v="2026-02-17T00:00:00"/>
    <x v="4"/>
    <s v="Devuelta"/>
    <s v="Retroalimentación de la Entrega: Calculadora de Divisas Calificación Final: 48/50 Comentarios del Profesor: Buen trabajo, Paula y Valeria. Han presentado una solución técnica muy sólida con un enfoque financiero interesante.Puntos Destacados:Lógica Financiera Superior: Me llamó la atención que utilizaran la paridad EUR/USD_x000a_ para calcular el valor en Euros a partir del resultado en Dólares. Esta_x000a_ es una lógica de mercado real (triangulación de divisas) que demuestra _x000a_que entienden el trasfondo económico del ejercicio, no solo la _x000a_programación.Impecable Formato de Salida: El uso de f-strings con :,.2f y los separadores visuales en la consola (============CONVERSIÓN============) hacen que el reporte sea profesional y fácil de leer para un usuario final.Documentación Precisa: Los comentarios explican claramente el porqué del uso de float(), lo cual evidencia que comprenden el concepto de Casting.Observación de Autogestión (Oportunidad de Mejora):Conformación del Grupo: Las instrucciones iniciales y el contrato pedagógico estipulaban el trabajo en grupos de 3 estudiantes._x000a_ En esta entrega solo figuran dos integrantes. Es vital seguir las _x000a_instrucciones de organización grupal para fomentar el trabajo _x000a_colaborativo completo. Por este detalle administrativo, se descuentan 2 _x000a_puntos en el criterio de estructura. Motivación:  Tienen_x000a_ un dominio técnico muy claro de los fundamentos vistos hasta ahora. Esa_x000a_ capacidad de aplicar &quot;lógica de paridad&quot; les será de gran utilidad en _x000a_el Parcial del 25 de febrero. Sigan así, cuidando tanto el código como el cumplimiento de los lineamientos administrativos.Rúbrica de CalificaciónCriterio de EvaluaciónDescripciónPuntaje MáximoPuntaje ObtenidoUso de Casting (float)Conversión correcta de entradas a decimales.10.010.0Formato de SalidaUso de f-strings, separadores de miles y precisión decimal.10.010.0Markdown y EstructuraPresentación y nombres.10.010.0Funcionalidad y LógicaCálculos correctos. Excelente uso de paridad EUR/USD.10.010.0DocumentaciónComentarios claros y explicativos en el código.10.010.0TOTAL50.050.0Diego Mauricio Zuluaga Rodríguez Profesor - Departamento de Economía Universidad de La Sabana"/>
    <n v="50"/>
    <n v="50"/>
    <n v="1"/>
  </r>
  <r>
    <x v="1"/>
    <s v="Sofia"/>
    <s v="Giraldo Pico"/>
    <s v="sofiagipi@unisabana.edu.co"/>
    <x v="5"/>
    <d v="2026-02-17T00:00:00"/>
    <x v="4"/>
    <s v="Devuelta"/>
    <s v="Retroalimentación de la Entrega: Calculadora de Divisas Calificación Final: 35/50 Comentarios del Profesor:  Equipo, han presentado un trabajo con una lógica de programación superior al promedio, integrando ciclos while y validación de errores con try-except, lo cual es excelente. Sin embargo, la calificación se ve afectada por el incumplimiento de instrucciones específicas y la falta de puntualidad.Puntos Fuertes:Lógica Avanzada: Implementar un menú interactivo y un sistema de validación de datos (try-except) demuestra que han profundizado en el material. El programa es robusto y no se &quot;rompe&quot; si el usuario ingresa texto en lugar de números.Uso de Casting: El manejo de float() es correcto y bien aplicado dentro de la validación.Oportunidades de Mejora (Puntos Críticos):Puntualidad (Autogestión): La tarea fue entregada con 14 horas de retraso. En este curso, la gestión del tiempo es una competencia fundamental. Este retraso conlleva una penalización directa en la nota final.Documentación: Las instrucciones solicitaban explícitamente &quot;documentar cada línea de código&quot;. Su script solo cuenta con un par de comentarios generales. La documentación es vital para el trabajo colaborativo.Formato de Salida: Aunque usaron round(), para perfiles de EICEA es indispensable usar el formato de f-strings con separadores de miles (:,.2f) para reportes financieros, tal como se practicó en clase. Motivación:  Tienen una capacidad técnica muy alta; el código funciona de manera impecable y la lógica es elegante. Si logran alinear ese talento con la disciplina en los tiempos de entrega y el seguimiento estricto de los requerimientos de formato, sus resultados serán sobresalientes. ¡Ajusten estos detalles para el parcial!Rúbrica de CalificaciónCriterio de EvaluaciónDescripciónPuntaje MáximoPuntaje ObtenidoUso de Casting (float)Uso correcto de conversión de datos con validación.10.010.0Formato de SalidaMensajes claros, aunque faltó el formato financiero de miles.10.08.0Markdown y NombresIdentificación del grupo y descripción correcta.10.010.0DocumentaciónIncumplimiento: No se documentó cada línea como se pidió.10.03.0Entrega OportunaPenalización: Entrega con 14 horas de retraso.10.04.0TOTAL50.035.0Diego Mauricio Zuluaga Rodríguez Profesor - Departamento de Economía Universidad de La Sabana"/>
    <n v="35"/>
    <n v="50"/>
    <n v="0.7"/>
  </r>
  <r>
    <x v="2"/>
    <s v="Valery"/>
    <s v="Linares Hernandez"/>
    <s v="valerylihe@unisabana.edu.co"/>
    <x v="5"/>
    <d v="2026-02-17T00:00:00"/>
    <x v="4"/>
    <s v="Devuelta"/>
    <s v="Retroalimentación de la Entrega: Calculadora de DivisasCalificación Final: 42/50Comentarios del Profesor:Han presentado un trabajo con un nivel técnico sobresaliente, sin embargo, han fallado en aspectos fundamentales de autogestión y seguimiento de instrucciones que son críticos en este curso.Puntos Fuertes (Excelencia Técnica):El código es muy avanzado. Han implementado una función de normalización de números que maneja automáticamente puntos y comas, algo que supera las expectativas del ejercicio.El uso de try-except y bucles while para validar que el usuario no ingrese valores erróneos es una práctica profesional excelente.El formato de salida es impecable y muy claro.Oportunidades de Mejora (Autogestión y Reglas):Conformación del Grupo: La instrucción fue clara: &quot;actividad exclusiva en grupos de 3&quot;. Su entrega solo registra a 2 integrantes. El cumplimiento de las normas de equipo es parte de la evaluación.Atención al detalle (Markdown): El encabezado presenta errores ortográficos notables (&quot;Nuetsro&quot;, &quot;coaluladora&quot;). Como futuros profesionales de EICEA, la forma en que presentan sus reportes es tan importante como el código.Documentación: Aunque el código tiene comentarios, la instrucción pedía &quot;documentar cada línea de código&quot;. Hay bloques lógicos extensos sin comentarios intermedios.Motivación:Técnicamente tienen un potencial muy alto; la lógica de programación la dominan con fluidez. Para el parcial del 25 de febrero, les recomiendo enfocarse en la lectura minuciosa de los requerimientos. En el mundo de los negocios, un gran modelo con errores de forma o que no sigue los parámetros del cliente puede ser rechazado. ¡Sigan puliendo esa atención al detalle!Rúbrica de CalificaciónCriterio de EvaluaciónDescripciónPuntaje MáximoPuntaje ObtenidoUso de Casting (float)Uso avanzado y robusto de conversión de datos.10.010.0Formato de SalidaExcelente claridad y uso de f-strings profesionales.10.010.0Markdown y EstructuraPenalización: errores ortográficos.10.08.0Funcionalidad y LógicaEl script es impecable y maneja errores de usuario.10.010.0DocumentaciónComentarios presentes, pero no en cada línea como se solicitó.10.08.0TOTAL50.046.0Diego Mauricio Zuluaga RodríguezProfesor - Departamento de EconomíaUniversidad de La Sabana"/>
    <n v="46"/>
    <n v="50"/>
    <n v="0.92"/>
  </r>
  <r>
    <x v="3"/>
    <s v="Nicolas"/>
    <s v="Torres Calderon"/>
    <s v="nicolastorca@unisabana.edu.co"/>
    <x v="5"/>
    <d v="2026-02-17T00:00:00"/>
    <x v="4"/>
    <s v="Devuelta"/>
    <s v="Retroalimentación de la Entrega: Calculadora de DivisasCalificación Final: 45/50Comentarios del Profesor:Buen trabajo, equipo. El script es funcional y cumple con el objetivo básico de conversión. Sin embargo, para alcanzar la excelencia profesional (5.0), deben prestar atención a los requerimientos técnicos específicos y al formato de salida de datos financieros.Puntos a Mejorar:Solicitud de TRM: El enunciado solicitaba expresamente solicitar la TRM del día al usuario mediante input(). Ustedes dejaron las tasas fijas (hardcoded) en el código. En finanzas, un script que no permite actualizar la tasa de cambio pierde utilidad inmediata ante la volatilidad del mercado.Claridad en el Formato: Aunque usaron f-strings, el resultado impreso (50000.0) carece de separadores de miles y limitación de decimales. En un contexto bancario o administrativo, es vital presentar los montos como $ 50,000.00 para evitar errores de lectura.Puntos Fuertes:Documentación: El código está muy bien comentado, explicando el propósito de cada celda.Casting: El uso de float() en la entrada del monto es correcto.Motivación:Tienen una base sólida. Para el parcial del 25 de febrero, asegúrense de leer cada requerimiento del enunciado detalladamente. La diferencia entre un analista estándar y uno de alto nivel está en la capacidad de entregar herramientas flexibles y con formatos de lectura impecables. ¡Sigan practicando!Rúbrica de CalificaciónCriterio de EvaluaciónDescripciónPuntaje MáximoPuntaje ObtenidoUso de Casting (float)Conversión correcta de la entrada de COP a valor numérico.10.010.0Formato de SalidaUso de f-strings, pero faltaron separadores de miles y límite de decimales.10.07.0Markdown y EstructuraInclusión de nombres y descripción de la tarea.10.010.0Funcionalidad y LógicaEl script funciona, pero no solicita la TRM como se pidió (tasas fijas).10.08.0DocumentaciónComentarios claros explicando la lógica de cada sección.10.010.0TOTAL50.045.0Diego Mauricio Zuluaga RodríguezProfesor - Departamento de EconomíaUniversidad de La Sabana"/>
    <n v="45"/>
    <n v="50"/>
    <n v="0.9"/>
  </r>
  <r>
    <x v="4"/>
    <s v="Cristian"/>
    <s v="Bermudez"/>
    <s v="cristianbe@unisabana.edu.co"/>
    <x v="5"/>
    <d v="2026-02-17T00:00:00"/>
    <x v="4"/>
    <s v="Devuelta"/>
    <s v="Retroalimentación de la Entrega: Calculadora de Divisas Calificación Final: 45/50 Comentarios del Profesor:  Buen_x000a_ trabajo, equipo. El script es funcional y cumple con el objetivo básico_x000a_ de conversión. Sin embargo, para alcanzar la excelencia profesional _x000a_(5.0), deben prestar atención a los requerimientos técnicos específicos y_x000a_ al formato de salida de datos financieros.Puntos a Mejorar:Solicitud de TRM: El enunciado solicitaba expresamente solicitar la TRM del día al usuario mediante input()._x000a_ Ustedes dejaron las tasas fijas (hardcoded) en el código. En finanzas, _x000a_un script que no permite actualizar la tasa de cambio pierde utilidad _x000a_inmediata ante la volatilidad del mercado.Claridad en el Formato: Aunque usaron f-strings, el resultado impreso (50000.0)_x000a_ carece de separadores de miles y limitación de decimales. En un _x000a_contexto bancario o administrativo, es vital presentar los montos como $ 50,000.00 para evitar errores de lectura.Puntos Fuertes:Documentación: El código está muy bien comentado, explicando el propósito de cada celda.Casting: El uso de float() en la entrada del monto es correcto. Motivación:  Tienen_x000a_ una base sólida. Para el parcial del 25 de febrero, asegúrense de leer _x000a_cada requerimiento del enunciado detalladamente. La diferencia entre un _x000a_analista estándar y uno de alto nivel está en la capacidad de entregar _x000a_herramientas flexibles y con formatos de lectura impecables. ¡Sigan _x000a_practicando!Rúbrica de CalificaciónCriterio de EvaluaciónDescripciónPuntaje MáximoPuntaje ObtenidoUso de Casting (float)Conversión correcta de la entrada de COP a valor numérico.10.010.0Formato de SalidaUso de f-strings, pero faltaron separadores de miles y límite de decimales.10.07.0Markdown y EstructuraInclusión de nombres y descripción de la tarea.10.010.0Funcionalidad y LógicaEl script funciona, pero no solicita la TRM como se pidió (tasas fijas).10.08.0DocumentaciónComentarios claros explicando la lógica de cada sección.10.010.0TOTAL50.045.0Diego Mauricio Zuluaga Rodríguez Profesor - Departamento de Economía Universidad de La Sabana"/>
    <n v="45"/>
    <n v="50"/>
    <n v="0.9"/>
  </r>
  <r>
    <x v="5"/>
    <s v="Mariana"/>
    <s v="Carmona Romero"/>
    <s v="marianacarrom@unisabana.edu.co"/>
    <x v="5"/>
    <d v="2026-02-17T00:00:00"/>
    <x v="4"/>
    <s v="Devuelta"/>
    <s v="Retroalimentación de la Entrega: Calculadora de DivisasCalificación Final: 50/50Comentarios del Profesor:Equipo, estoy gratamente impresionado con el nivel de esta entrega. Han ido mucho más allá de los requisitos básicos, demostrando una autogestión y curiosidad técnica sobresalientes.Puntos de Excelencia:Robustez del Código: La implementación de un bloque try-except dentro de un bucle while True para validar las entradas es una práctica profesional de alto nivel. Esto garantiza que el programa no se rompa si el usuario comete un error.Normalización de Datos: La lógica para manejar diferentes separadores decimales (puntos y comas) es brillante. Es un problema real en finanzas internacionales y ustedes lo resolvieron de forma autónoma.Formato de Salida: El uso de f-strings con precisión de 4 decimales para las tasas (:,.4f) y 2 para los montos (:,.2f) cumple con los estándares bancarios internacionales.Creatividad: La interfaz en consola es limpia, organizada y visualmente agradable, lo cual aporta valor al usuario final.Motivación:Han establecido un estándar muy alto para el grupo. Este tipo de lógica &quot;a prueba de errores&quot; es exactamente lo que se necesita para gestionar modelos financieros confiables. Sigan explorando estas estructuras avanzadas; tienen un potencial técnico muy claro. ¡Excelente preparación para el parcial!Rúbrica de CalificaciónCriterio de EvaluaciónDescripciónPuntaje MáximoPuntaje ObtenidoUso de Casting (float)Conversión impecable. Incluye lógica de normalización de caracteres.10.010.0Formato de SalidaExcelente uso de f-strings, emojis y separadores profesionales.10.010.0Markdown y EstructuraNombres completos y descripción del proyecto presentes.10.010.0Funcionalidad y LógicaCódigo robusto que maneja excepciones y errores de usuario.10.010.0DocumentaciónComentarios detallados que explican funciones y lógica compleja.10.010.0TOTAL50.050.0Diego Mauricio Zuluaga RodríguezProfesor - Departamento de EconomíaUniversidad de La Sabana"/>
    <n v="50"/>
    <n v="50"/>
    <n v="1"/>
  </r>
  <r>
    <x v="6"/>
    <s v="Mariana"/>
    <s v="Pena Rodriguez"/>
    <s v="marianapero@unisabana.edu.co"/>
    <x v="5"/>
    <d v="2026-02-17T00:00:00"/>
    <x v="4"/>
    <s v="Devuelta"/>
    <s v="Retroalimentación de la Entrega: Calculadora de DivisasCalificación Final: 50/50Comentarios:¡Excelente trabajo, equipo! Han entregado un archivo que no solo cumple con los requerimientos técnicos, sino que proyecta un nivel de profesionalismo alineado con los estándares de la EICEA.Puntos Destacados:Precisión Técnica: El uso de float() para el casting de entradas es impecable. Es fundamental entender que en finanzas los decimales pueden cambiar el resultado de una operación a gran escala.Presentación y UX: El uso de f-strings con el formato :,.2f para separar miles y limitar decimales es de nivel avanzado. Esto facilita enormemente la lectura de datos financieros.Valor Agregado (Autogestión): Me llamó la atención que incluyeran una segunda versión del código con tasas fijas del 15 de febrero. Esto demuestra proactividad y un &quot;Sanity Check&quot; de los datos, comparando la entrada del usuario con la realidad del mercado.Documentación: Cada sección está claramente explicada, lo que garantiza la trazabilidad del código.Motivación:Sigan con este nivel de rigurosidad. Si mantienen esta atención al detalle en la lógica y en la presentación de resultados, están muy bien preparados para el Primer Parcial del 25 de febrero. Recuerden que en programación, como en los negocios, la claridad es poder.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
    <n v="50"/>
    <n v="50"/>
    <n v="1"/>
  </r>
  <r>
    <x v="7"/>
    <s v="Isabella"/>
    <s v="Carranza Tapiero"/>
    <s v="isabellacata@unisabana.edu.co"/>
    <x v="5"/>
    <d v="2026-02-17T00:00:00"/>
    <x v="4"/>
    <s v="Devuelta"/>
    <s v="Retroalimentación de la Entrega: Calculadora de Divisas Calificación Final: 35/50 Comentarios del Profesor:  Isabella, has demostrado un buen dominio técnico en el uso de la sintaxis de Python, especialmente en el manejo de f-strings y el casting de datos. Sin embargo, hay puntos críticos de instrucciones y autogestión que afectan significativamente la nota.Puntos a mejorar (Críticos):Trabajo en Equipo: Las instrucciones fueron explícitas: &quot;Esta actividad se desarrolla exclusivamente en sus grupos de 3 estudiantes&quot;. En tu entrega solo apareces tú. Esto incumple el componente de trabajo colaborativo y la meta de autogestión del departamento.Sanity Check (Sentido Numérico): Como futura economista, debes validar si los resultados tienen sentido. En tu ejecución (output), un monto de $4,000,000 COP resulta en €2,789,232.53 EUR. ¡Eso es imposible! Esto indica que ingresaste mal la tasa de conversión o la lógica de la paridad EUR/USD falló. Un error de esta magnitud en un entorno financiero real sería catastrófico.Documentación: Aunque hay comentarios, son muy breves. Se solicitó documentar la lógica de cada sección para asegurar la trazabilidad.Puntos Fuertes:Casting y Formato: El uso de float() y el formato de salida :,.2f es correcto y profesional.Estructura: El uso de celdas separadas en el Notebook facilita la lectura del flujo de datos. Motivación:  Tienes la habilidad técnica, pero debes prestar mucha más atención a las instrucciones administrativas y a la coherencia de los datos. En el parcial del 25 de febrero, un error en la lógica de cálculo o el incumplimiento de una regla de entrega restará puntos importantes. ¡Revisa siempre que tus números &quot;hagan sentido&quot; antes de entregar!Rúbrica de CalificaciónCriterio de EvaluaciónDescripciónPuntaje MáximoPuntaje ObtenidoUso de Casting (float)Conversión correcta de entradas de texto a valores numéricos.10.010.0Formato de SalidaUso de f-strings y precisión de 2 decimales.10.010.0Markdown y EstructuraIncumplimiento: Solo un integrante en lugar de 3.10.02.0Funcionalidad y LógicaEl resultado final es financieramente ilógico (Error de paridad).10.05.0DocumentaciónComentarios básicos, pero presentes.10.08.0TOTAL50.035.0Diego Mauricio Zuluaga Rodríguez Profesor - Departamento de Economía Universidad de La Sabana"/>
    <n v="35"/>
    <n v="50"/>
    <n v="0.7"/>
  </r>
  <r>
    <x v="8"/>
    <s v="Samuel David"/>
    <s v="Lozano Holguin"/>
    <s v="samuelloho@unisabana.edu.co"/>
    <x v="5"/>
    <d v="2026-02-17T00:00:00"/>
    <x v="4"/>
    <s v="Devuelta"/>
    <s v="Retroalimentación de la Entrega: Conversor de DivisasCalificación Final: 48/50Comentarios del Profesor:Buen trabajo, equipo. Han logrado un script funcional que cumple con el objetivo técnico de la herramienta financiera. El código es claro y la lógica de conversión es correcta.Puntos Fuertes:Casting Correcto: El uso de float() en todas las entradas es adecuado para manejar la precisión que requieren las tasas de cambio.Formato Profesional: Excelente implementación de f-strings con :,.2f. Esto demuestra que comprendieron cómo presentar datos monetarios de forma legible para un usuario final.Creatividad: El uso de emojis y separadores visuales mejora significativamente la experiencia de usuario en la consola.Oportunidades de Mejora:Identificación (Markdown): Las instrucciones solicitaban los nombres completos. Faltaron los segundos apellidos de los integrantes, lo cual es fundamental para el registro formal de notas en la EICEA.Detalle en Salida: En la línea de Euros, el mensaje imprime $ €. Recuerden que cada moneda tiene su propio símbolo; lo ideal sería dejar únicamente el símbolo de Euro (€) para evitar confusiones financieras.Estructura: Aunque en Jupyter se pueden usar varias celdas, se recomienda que el bloque lógico principal esté en una sola celda para que el script se ejecute de forma continua sin depender de ejecuciones previas de celdas separadas.Motivación:Tienen una base sólida. Pequeños detalles de precisión y formalidad en la identificación son lo único que los separa de la excelencia total. Sigan practicando la lógica de validación, ya que será clave para el Parcial del 25 de febrero. ¡Buen esfuerzo!Rúbrica de CalificaciónCriterio de EvaluaciónDescripciónPuntaje MáximoPuntaje ObtenidoUso de Casting (float)Conversión correcta de entradas de texto a valores numéricos.10.010.0Formato de SalidaUso de f-strings, separadores y precisión de 2 decimales.10.09.5Markdown y EstructuraIdentificación de integrantes (Nombres completos) y descripción.10.08.5Funcionalidad y LógicaEl script realiza los cálculos de conversión correctamente.10.010.0DocumentaciónComentarios claros explicando la lógica de cada paso.10.010.0TOTAL50.048.0Diego Mauricio Zuluaga RodríguezProfesor - Departamento de EconomíaUniversidad de La Sabana"/>
    <n v="48"/>
    <n v="50"/>
    <n v="0.96"/>
  </r>
  <r>
    <x v="9"/>
    <s v="Sebastian"/>
    <s v="Vanoy Gutierrez"/>
    <s v="sebastianvagu@unisabana.edu.co"/>
    <x v="5"/>
    <d v="2026-02-17T00:00:00"/>
    <x v="4"/>
    <s v="Devuelta"/>
    <s v="Retroalimentación de la Entrega: Conversor de DivisasCalificación Final: 48/50Comentarios del Profesor:Buen trabajo, equipo. Han logrado un script funcional que cumple con el objetivo técnico de la herramienta financiera. El código es claro y la lógica de conversión es correcta.Puntos Fuertes:Casting Correcto: El uso de float() en todas las entradas es adecuado para manejar la precisión que requieren las tasas de cambio.Formato Profesional: Excelente implementación de f-strings con :,.2f. Esto demuestra que comprendieron cómo presentar datos monetarios de forma legible para un usuario final.Creatividad: El uso de emojis y separadores visuales mejora significativamente la experiencia de usuario en la consola.Oportunidades de Mejora:Identificación (Markdown): Las instrucciones solicitaban los nombres completos. Faltaron los segundos apellidos de los integrantes, lo cual es fundamental para el registro formal de notas en la EICEA.Detalle en Salida: En la línea de Euros, el mensaje imprime $ €. Recuerden que cada moneda tiene su propio símbolo; lo ideal sería dejar únicamente el símbolo de Euro (€) para evitar confusiones financieras.Estructura: Aunque en Jupyter se pueden usar varias celdas, se recomienda que el bloque lógico principal esté en una sola celda para que el script se ejecute de forma continua sin depender de ejecuciones previas de celdas separadas.Motivación:Tienen una base sólida. Pequeños detalles de precisión y formalidad en la identificación son lo único que los separa de la excelencia total. Sigan practicando la lógica de validación, ya que será clave para el Parcial del 25 de febrero. ¡Buen esfuerzo!Rúbrica de CalificaciónCriterio de EvaluaciónDescripciónPuntaje MáximoPuntaje ObtenidoUso de Casting (float)Conversión correcta de entradas de texto a valores numéricos.10.010.0Formato de SalidaUso de f-strings, separadores y precisión de 2 decimales.10.09.5Markdown y EstructuraIdentificación de integrantes (Nombres completos) y descripción.10.08.5Funcionalidad y LógicaEl script realiza los cálculos de conversión correctamente.10.010.0DocumentaciónComentarios claros explicando la lógica de cada paso.10.010.0TOTAL50.048.0Diego Mauricio Zuluaga RodríguezProfesor - Departamento de EconomíaUniversidad de La Sabana"/>
    <n v="48"/>
    <n v="50"/>
    <n v="0.96"/>
  </r>
  <r>
    <x v="10"/>
    <s v="Jose Daniel"/>
    <s v="Escobar Hurtado"/>
    <s v="joseeshu@unisabana.edu.co"/>
    <x v="5"/>
    <d v="2026-02-17T00:00:00"/>
    <x v="4"/>
    <s v="Devuelta"/>
    <s v="Retroalimentación de la Entrega: Calculadora de Divisas Calificación Final: 36/50 Comentarios del Profesor:  Buen esfuerzo inicial en la estructura del programa, equipo. El código es funcional y cumple con la tarea básica de convertir monedas, sin embargo, hay puntos críticos de rigurosidad técnica y presentación profesional que deben ajustar para el parcial.Puntos a mejorar:Casting de Datos: Utilizaron int() para recibir el monto en pesos. En finanzas, el dinero siempre debe ser float(), ya que los montos pueden incluir decimales y el uso de enteros limita la precisión de la herramienta.Formato de Salida (Crítico): Los resultados muestran hasta 14 decimales (ej. 107.27592678854047). Para un usuario financiero, esto es ilegible. La instrucción pedía &quot;claridad en los mensajes&quot;; es obligatorio usar f-strings o el formato :.2f para redondear a 2 decimales.Documentación: Aunque incluyeron algunos comentarios, no se documentó cada sección o línea de lógica como se solicitó en la guía de autogestión.Lógica de Conversión: El cálculo para el Euro asume una paridad cruzada (COP -&amp;gt; USD -&amp;gt; EUR). Aunque es una lógica válida, asegúrense de que las etiquetas del input sean claras para que el usuario no se confunda con qué tasa debe ingresar. Motivación:  Tienen la base de la lógica clara, pero en este curso la diferencia entre un código &quot;que funciona&quot; y uno &quot;profesional&quot; está en los detalles. Los invito a revisar los apuntes de la Clase 2 sobre f-strings y formateo de números. Si corrigen estos detalles de precisión, su desempeño en el parcial será mucho más sólido. ¡A seguir practicando!Rúbrica de CalificaciónCriterio de EvaluaciónDescripciónPuntaje MáximoPuntaje ObtenidoUso de CastingUso de int() en lugar de float() para montos de dinero (Pérdida de precisión).10.07.0Formato de SalidaNo hay redondeo de decimales; salida visualmente desordenada.10.05.0Markdown y EstructuraCumplen con los nombres e identificación de los integrantes.10.09.0Funcionalidad y LógicaEl código corre y realiza la conversión, aunque la lógica es mejorable.10.08.0DocumentaciónComentarios escasos; no documentan el proceso completo.10.07.0TOTAL50.036.0Diego Mauricio Zuluaga Rodríguez Profesor - Departamento de Economía Universidad de La Sabana"/>
    <n v="36"/>
    <n v="50"/>
    <n v="0.72"/>
  </r>
  <r>
    <x v="11"/>
    <s v="Maria Jose"/>
    <s v="Botero Galviz"/>
    <s v="mariabotga@unisabana.edu.co"/>
    <x v="5"/>
    <d v="2026-02-17T00:00:00"/>
    <x v="4"/>
    <s v="Devuelta"/>
    <s v="Retroalimentación de la Entrega: Calculadora de Divisas Calificación Final: 42/50 Comentarios del Profesor:  Han presentado un trabajo con un nivel técnico sobresaliente, sin embargo, han fallado en aspectos fundamentales de autogestión y seguimiento de instrucciones que son críticos en este curso.Puntos Fuertes (Excelencia Técnica):El código es muy avanzado. Han implementado una función de normalización de números que maneja automáticamente puntos y comas, algo que supera las expectativas del ejercicio.El uso de try-except y bucles while para validar que el usuario no ingrese valores erróneos es una práctica profesional excelente.El formato de salida es impecable y muy claro.Oportunidades de Mejora (Autogestión y Reglas):Conformación del Grupo: La instrucción fue clara: &quot;actividad exclusiva en grupos de 3&quot;. Su entrega solo registra a 2 integrantes. El cumplimiento de las normas de equipo es parte de la evaluación.Atención al detalle (Markdown): El encabezado presenta errores ortográficos notables (&quot;Nuetsro&quot;, &quot;coaluladora&quot;). Como futuros profesionales de EICEA, la forma en que presentan sus reportes es tan importante como el código.Documentación: Aunque el código tiene comentarios, la instrucción pedía &quot;documentar cada línea de código&quot;. Hay bloques lógicos extensos sin comentarios intermedios. Motivación:  Técnicamente tienen un potencial muy alto; la lógica de programación la dominan con fluidez. Para el parcial del 25 de febrero, les recomiendo enfocarse en la lectura minuciosa de los requerimientos. En el mundo de los negocios, un gran modelo con errores de forma o que no sigue los parámetros del cliente puede ser rechazado. ¡Sigan puliendo esa atención al detalle!Rúbrica de CalificaciónCriterio de EvaluaciónDescripciónPuntaje MáximoPuntaje ObtenidoUso de Casting (float)Uso avanzado y robusto de conversión de datos.10.010.0Formato de SalidaExcelente claridad y uso de f-strings profesionales.10.010.0Markdown y EstructuraPenalización: errores ortográficos.10.08.0Funcionalidad y LógicaEl script es impecable y maneja errores de usuario.10.010.0DocumentaciónComentarios presentes, pero no en cada línea como se solicitó.10.08.0TOTAL50.046.0Diego Mauricio Zuluaga Rodríguez Profesor - Departamento de Economía Universidad de La Sabana"/>
    <n v="46"/>
    <n v="50"/>
    <n v="0.92"/>
  </r>
  <r>
    <x v="12"/>
    <s v="Maria Juliana"/>
    <s v="Mejia Quintero"/>
    <s v="mariamequ@unisabana.edu.co"/>
    <x v="5"/>
    <d v="2026-02-17T00:00:00"/>
    <x v="4"/>
    <s v="Devuelta"/>
    <s v="Retroalimentación de la Entrega: Calculadora de Divisas Calificación Final: 50/50 Comentarios del Profesor:  Equipo, estoy gratamente impresionado con el nivel de esta entrega. Han ido mucho más allá de los requisitos básicos, demostrando una autogestión y curiosidad técnica sobresalientes.Puntos de Excelencia:Robustez del Código: La implementación de un bloque try-except dentro de un bucle while True para validar las entradas es una práctica profesional de alto nivel. Esto garantiza que el programa no se rompa si el usuario comete un error.Normalización de Datos: La lógica para manejar diferentes separadores decimales (puntos y comas) es brillante. Es un problema real en finanzas internacionales y ustedes lo resolvieron de forma autónoma.Formato de Salida: El uso de f-strings con precisión de 4 decimales para las tasas (:,.4f) y 2 para los montos (:,.2f) cumple con los estándares bancarios internacionales.Creatividad: La interfaz en consola es limpia, organizada y visualmente agradable, lo cual aporta valor al usuario final. Motivación:  Han establecido un estándar muy alto para el grupo. Este tipo de lógica &quot;a prueba de errores&quot; es exactamente lo que se necesita para gestionar modelos financieros confiables. Sigan explorando estas estructuras avanzadas; tienen un potencial técnico muy claro. ¡Excelente preparación para el parcial!Rúbrica de CalificaciónCriterio de EvaluaciónDescripciónPuntaje MáximoPuntaje ObtenidoUso de Casting (float)Conversión impecable. Incluye lógica de normalización de caracteres.10.010.0Formato de SalidaExcelente uso de f-strings, emojis y separadores profesionales.10.010.0Markdown y EstructuraNombres completos y descripción del proyecto presentes.10.010.0Funcionalidad y LógicaCódigo robusto que maneja excepciones y errores de usuario.10.010.0DocumentaciónComentarios detallados que explican funciones y lógica compleja.10.010.0TOTAL50.050.0Diego Mauricio Zuluaga Rodríguez Profesor - Departamento de Economía Universidad de La Sabana"/>
    <n v="50"/>
    <n v="50"/>
    <n v="1"/>
  </r>
  <r>
    <x v="13"/>
    <s v="Alejandra"/>
    <s v="Leon Vargas"/>
    <s v="alejandraleva@unisabana.edu.co"/>
    <x v="5"/>
    <d v="2026-02-17T00:00:00"/>
    <x v="4"/>
    <s v="Devuelta"/>
    <s v="Retroalimentación de la Entrega: Calculadora de DivisasCalificación Final: 35/50Comentarios del Profesor:Equipo, han presentado un trabajo con una lógica de programación superior al promedio, integrando ciclos while y validación de errores con try-except, lo cual es excelente. Sin embargo, la calificación se ve afectada por el incumplimiento de instrucciones específicas y la falta de puntualidad.Puntos Fuertes:Lógica Avanzada: Implementar un menú interactivo y un sistema de validación de datos (try-except) demuestra que han profundizado en el material. El programa es robusto y no se &quot;rompe&quot; si el usuario ingresa texto en lugar de números.Uso de Casting: El manejo de float() es correcto y bien aplicado dentro de la validación.Oportunidades de Mejora (Puntos Críticos):Puntualidad (Autogestión): La tarea fue entregada con 14 horas de retraso. En este curso, la gestión del tiempo es una competencia fundamental. Este retraso conlleva una penalización directa en la nota final.Documentación: Las instrucciones solicitaban explícitamente &quot;documentar cada línea de código&quot;. Su script solo cuenta con un par de comentarios generales. La documentación es vital para el trabajo colaborativo.Formato de Salida: Aunque usaron round(), para perfiles de EICEA es indispensable usar el formato de f-strings con separadores de miles (:,.2f) para reportes financieros, tal como se practicó en clase.Motivación:Tienen una capacidad técnica muy alta; el código funciona de manera impecable y la lógica es elegante. Si logran alinear ese talento con la disciplina en los tiempos de entrega y el seguimiento estricto de los requerimientos de formato, sus resultados serán sobresalientes. ¡Ajusten estos detalles para el parcial!Rúbrica de CalificaciónCriterio de EvaluaciónDescripciónPuntaje MáximoPuntaje ObtenidoUso de Casting (float)Uso correcto de conversión de datos con validación.10.010.0Formato de SalidaMensajes claros, aunque faltó el formato financiero de miles.10.08.0Markdown y NombresIdentificación del grupo y descripción correcta.10.010.0DocumentaciónIncumplimiento: No se documentó cada línea como se pidió.10.03.0Entrega OportunaPenalización: Entrega con 14 horas de retraso.10.04.0TOTAL50.035.0Diego Mauricio Zuluaga RodríguezProfesor - Departamento de EconomíaUniversidad de La Sabana"/>
    <n v="35"/>
    <n v="50"/>
    <n v="0.7"/>
  </r>
  <r>
    <x v="14"/>
    <s v="Alessandro Di Mauro"/>
    <s v="Bonilla Correa"/>
    <s v="alessandroboco@unisabana.edu.co"/>
    <x v="5"/>
    <d v="2026-02-17T00:00:00"/>
    <x v="4"/>
    <s v="Devuelta"/>
    <s v="Retroalimentación de la Entrega: Calculadora de Divisas Calificación Final: 50/50 Comentarios del Profesor:  Excelente ejecución técnica, equipo. Han presentado una solución robusta que cumple con todos los estándares de calidad exigidos para el análisis financiero en Python.Puntos Destacados:Dominio del Casting: El uso de float() es correcto y necesario, asegurando que el programa no falle al procesar cifras con decimales, algo crítico en el manejo de TRM.Estética y Claridad: El reporte final en consola es muy limpio. El uso de f-strings con el formato :,.2f demuestra que tienen control sobre la visualización de datos, permitiendo que un usuario final entienda las cifras de inmediato.Documentación Proactiva: Es muy valioso que incluyan comentarios referenciando lo visto en las celdas de clase. Esto evidencia un seguimiento riguroso del material y una excelente autogestión del aprendizaje.Análisis Multiescenario: Incluir una segunda versión con tasas fijas para comparación es una excelente práctica de validación de datos. Motivación:  Tienen una base sólida en sintaxis y lógica secuencial. Mantengan este nivel de detalle para el Taller del Corte 1 y el Parcial del 25 de febrero. La capacidad de documentar y estructurar así su trabajo les ahorrará mucho tiempo en proyectos más complejos. ¡Buen trabajo!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 Profesor - Departamento de Economía Universidad de La Sabana"/>
    <n v="50"/>
    <n v="50"/>
    <n v="1"/>
  </r>
  <r>
    <x v="15"/>
    <s v="Arianne Mariana"/>
    <s v="Amorocho Quiroga"/>
    <s v="arianneamqu@unisabana.edu.co"/>
    <x v="5"/>
    <d v="2026-02-17T00:00:00"/>
    <x v="4"/>
    <s v="Devuelta"/>
    <s v="Retroalimentación de la Entrega: Calculadora de DivisasCalificación Final: 50/50 Comentarios:  ¡Excelente_x000a_ trabajo, equipo! Han entregado un archivo que no solo cumple con los _x000a_requerimientos técnicos, sino que proyecta un nivel de profesionalismo _x000a_alineado con los estándares de la EICEA.Puntos Destacados:Precisión Técnica: El uso de float()_x000a_ para el casting de entradas es impecable. Es fundamental entender que _x000a_en finanzas los decimales pueden cambiar el resultado de una operación a_x000a_ gran escala.Presentación y UX: El uso de f-strings con el formato :,.2f para separar miles y limitar decimales es de nivel avanzado. Esto facilita enormemente la lectura de datos financieros.Valor Agregado (Autogestión):_x000a_ Me llamó la atención que incluyeran una segunda versión del código con _x000a_tasas fijas del 15 de febrero. Esto demuestra proactividad y un &quot;Sanity _x000a_Check&quot; de los datos, comparando la entrada del usuario con la realidad _x000a_del mercado.Documentación: Cada sección está claramente explicada, lo que garantiza la trazabilidad del código. Motivación:  Sigan_x000a_ con este nivel de rigurosidad. Si mantienen esta atención al detalle en_x000a_ la lógica y en la presentación de resultados, están muy bien preparados_x000a_ para el Primer Parcial del 25 de febrero. Recuerden que en programación, como en los negocios, la claridad es poder.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 Profesor - Departamento de Economía Universidad de La Sabana"/>
    <n v="50"/>
    <n v="50"/>
    <n v="1"/>
  </r>
  <r>
    <x v="16"/>
    <s v="Maria Juliana"/>
    <s v="Herrera Pulido"/>
    <s v="mariahepu@unisabana.edu.co"/>
    <x v="5"/>
    <d v="2026-02-17T00:00:00"/>
    <x v="4"/>
    <s v="Devuelta"/>
    <s v="Retroalimentación de la Entrega: Calculadora de Divisas Calificación Final: 40/50 Comentarios del Profesor:  María Juliana, has demostrado un dominio técnico sólido en la construcción del script. El código es funcional, limpio y cumple con la lógica financiera solicitada. Sin embargo, hay un incumplimiento crítico en las instrucciones de autogestión y trabajo en equipo que afecta significativamente la nota.Puntos Fuertes:Casting Correcto: El uso de float() en todas las entradas es adecuado para el manejo de divisas.Lógica de Conversión: La secuencia COP → USD → EUR es correcta y el uso de la tasa de paridad entre USD/EUR es un buen enfoque técnico.Formato de Salida: El uso de f-strings con precisión de dos decimales (:.2f) es correcto y profesional.Oportunidades de Mejora (Crítico):Trabajo en Equipo: Las instrucciones eran explícitas: &quot;Esta actividad se desarrolla exclusivamente en sus grupos de 3 estudiantes&quot;. Al realizar la entrega de forma individual, se omite el componente colaborativo y de coordinación exigido por el Departamento.Cumplimiento de Markdown: La rúbrica exige el &quot;Cumplimiento estricto de los nombres de los 3 integrantes&quot;. Al faltar dos nombres, este criterio se penaliza fuertemente.Documentación: Aunque incluiste comentarios, son muy básicos. Para un nivel de excelencia, se espera una explicación más profunda del &quot;porqué&quot; de las operaciones, no solo del &quot;qué&quot; hace la línea. Motivación:  Técnicamente estás en el camino correcto y tu lógica de programación es clara. No obstante, en el mundo profesional y en la EICEA, seguir los lineamientos administrativos y el trabajo colaborativo es tan importante como el código. Te invito a integrarte con tu grupo para las próximas entregas y leer con extrema atención cada parámetro de la guía. ¡Tienes el potencial para el 5.0 si ajustas la atención al detalle!Rúbrica de CalificaciónCriterio de EvaluaciónDescripciónPuntaje MáximoPuntaje ObtenidoUso de Casting (float)Conversión correcta de entradas de texto a valores numéricos.10.010.0Formato de SalidaUso de f-strings y precisión de decimales.10.010.0Markdown y EstructuraInclusión de nombres y descripción. (Faltan 2 integrantes).10.03.0Funcionalidad y LógicaEl script realiza los cálculos correctamente.10.010.0DocumentaciónComentarios en el código (Muy básicos).10.07.0TOTAL50.040.0Diego Mauricio Zuluaga Rodríguez Profesor - Departamento de Economía Universidad de La Sabana"/>
    <n v="40"/>
    <n v="50"/>
    <n v="0.8"/>
  </r>
  <r>
    <x v="17"/>
    <s v="Simon Gustavo"/>
    <s v="Restrepo Alvarez"/>
    <s v="simonreal@unisabana.edu.co"/>
    <x v="5"/>
    <d v="2026-02-17T00:00:00"/>
    <x v="4"/>
    <s v="Devuelta"/>
    <s v="Retroalimentación de la Entrega: Calculadora de DivisasCalificación Final: 36/50Comentarios del Profesor:Equipo, han presentado un script funcional en su estructura básica, pero existen errores críticos de lógica financiera y técnica que deben corregir para el parcial.Observaciones Técnicas:Error de Lógica Financiera: La fórmula utilizada VALOR_COP / 1000 * TRM es incorrecta. En el mercado de divisas, para pasar de pesos a dólares se divide el monto por la tasa (COP / TRM). Su fórmula actual multiplica el valor, lo que genera resultados astronómicos y erróneos.Riesgo en el Casting: Utilizar int() para el VALOR_COP es una práctica arriesgada. Si un usuario ingresa un valor con decimales (ej. 10500.50), el programa colapsará inmediatamente con un ValueError. En finanzas, siempre debemos usar float().Presentación del Output: Los mensajes de salida son muy planos. No se utilizaron f-strings ni formatos de precisión (como :.2f). Esto causa que los resultados se muestren con demasiados decimales, dificultando la lectura profesional.Ortografía: Tengan cuidado con la presentación en el Markdown. Palabras como &quot;calcualadora&quot; o la falta de mayúsculas restan profesionalismo a su portafolio.Motivación:Tienen la estructura base clara, pero en Programación y Decisiones la precisión es lo que separa un código útil de uno peligroso. Les recomiendo revisar la jerarquía de operaciones y el uso de formatos de texto antes del parcial del 25 de febrero. ¡A ajustar esa lógica!Rúbrica de CalificaciónCriterio de EvaluaciónDescripciónPuntaje MáximoPuntaje ObtenidoUso de CastingUso de int en lugar de float para moneda limita la estabilidad del programa.10.07.0Formato de SalidaAusencia de f-strings, redondeo a 2 decimales y separadores de miles.10.05.0Markdown y EstructuraIncluye nombres y descripción, pero con errores ortográficos.10.08.0Funcionalidad y LógicaError grave: La fórmula matemática aplicada no corresponde a una conversión real.10.04.0DocumentaciónComentarios presentes pero extremadamente breves.10.08.0TOTAL50.032.0Nota: Se han otorgado 4 puntos adicionales por la entrega del archivo en el formato solicitado (.ipynb), para un total de 36.0.Diego Mauricio Zuluaga RodríguezProfesor - Departamento de EconomíaUniversidad de La Sabana"/>
    <n v="36"/>
    <n v="50"/>
    <n v="0.72"/>
  </r>
  <r>
    <x v="18"/>
    <s v="Daniel Felipe"/>
    <s v="Camacho Pedraza"/>
    <s v="danielcampe@unisabana.edu.co"/>
    <x v="5"/>
    <d v="2026-02-17T00:00:00"/>
    <x v="4"/>
    <s v="Devuelta"/>
    <m/>
    <n v="0"/>
    <n v="50"/>
    <n v="0"/>
  </r>
  <r>
    <x v="19"/>
    <s v="Mateo"/>
    <s v="Perez Daza"/>
    <s v="mateopeda@unisabana.edu.co"/>
    <x v="5"/>
    <d v="2026-02-17T00:00:00"/>
    <x v="4"/>
    <s v="Devuelta"/>
    <s v="Retroalimentación de la Entrega: Calculadora de DivisasCalificación Final: 36/50Comentarios del Profesor:Equipo, han presentado un script funcional en su estructura básica, pero existen errores críticos de lógica financiera y técnica que deben corregir para el parcial.Observaciones Técnicas:Error de Lógica Financiera: La fórmula utilizada VALOR_COP / 1000 * TRM es incorrecta. En el mercado de divisas, para pasar de pesos a dólares se divide el monto por la tasa (COP / TRM). Su fórmula actual multiplica el valor, lo que genera resultados astronómicos y erróneos.Riesgo en el Casting: Utilizar int() para el VALOR_COP es una práctica arriesgada. Si un usuario ingresa un valor con decimales (ej. 10500.50), el programa colapsará inmediatamente con un ValueError. En finanzas, siempre debemos usar float().Presentación del Output: Los mensajes de salida son muy planos. No se utilizaron f-strings ni formatos de precisión (como :.2f). Esto causa que los resultados se muestren con demasiados decimales, dificultando la lectura profesional.Ortografía: Tengan cuidado con la presentación en el Markdown. Palabras como &quot;calcualadora&quot; o la falta de mayúsculas restan profesionalismo a su portafolio.Motivación:Tienen la estructura base clara, pero en Programación y Decisiones la precisión es lo que separa un código útil de uno peligroso. Les recomiendo revisar la jerarquía de operaciones y el uso de formatos de texto antes del parcial del 25 de febrero. ¡A ajustar esa lógica!Rúbrica de CalificaciónCriterio de EvaluaciónDescripciónPuntaje MáximoPuntaje ObtenidoUso de CastingUso de int en lugar de float para moneda limita la estabilidad del programa.10.07.0Formato de SalidaAusencia de f-strings, redondeo a 2 decimales y separadores de miles.10.05.0Markdown y EstructuraIncluye nombres y descripción, pero con errores ortográficos.10.08.0Funcionalidad y LógicaError grave: La fórmula matemática aplicada no corresponde a una conversión real.10.04.0DocumentaciónComentarios presentes pero extremadamente breves.10.08.0TOTAL50.032.0Nota: Se han otorgado 4 puntos adicionales por la entrega del archivo en el formato solicitado (.ipynb), para un total de 36.0.Diego Mauricio Zuluaga RodríguezProfesor - Departamento de EconomíaUniversidad de La Sabana"/>
    <n v="36"/>
    <n v="50"/>
    <n v="0.72"/>
  </r>
  <r>
    <x v="20"/>
    <s v="Matias"/>
    <s v="Mondragon Osorio"/>
    <s v="matiasmoos@unisabana.edu.co"/>
    <x v="5"/>
    <d v="2026-02-17T00:00:00"/>
    <x v="4"/>
    <s v="Devuelta"/>
    <s v="Retroalimentación de la Entrega: Calculadora de DivisasCalificación Final: 50/50Comentarios:¡Excelente trabajo, equipo! Han entregado un archivo que no solo cumple con los requerimientos técnicos, sino que proyecta un nivel de profesionalismo alineado con los estándares de la EICEA.Puntos Destacados:Precisión Técnica: El uso de float() para el casting de entradas es impecable. Es fundamental entender que en finanzas los decimales pueden cambiar el resultado de una operación a gran escala.Presentación y UX: El uso de f-strings con el formato :,.2f para separar miles y limitar decimales es de nivel avanzado. Esto facilita enormemente la lectura de datos financieros.Valor Agregado (Autogestión): Me llamó la atención que incluyeran una segunda versión del código con tasas fijas del 15 de febrero. Esto demuestra proactividad y un &quot;Sanity Check&quot; de los datos, comparando la entrada del usuario con la realidad del mercado.Documentación: Cada sección está claramente explicada, lo que garantiza la trazabilidad del código.Motivación:Sigan con este nivel de rigurosidad. Si mantienen esta atención al detalle en la lógica y en la presentación de resultados, están muy bien preparados para el Primer Parcial del 25 de febrero. Recuerden que en programación, como en los negocios, la claridad es poder.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
    <n v="50"/>
    <n v="50"/>
    <n v="1"/>
  </r>
  <r>
    <x v="21"/>
    <s v="Juan David"/>
    <s v="Neuta Medina"/>
    <s v="juanneme@unisabana.edu.co"/>
    <x v="5"/>
    <d v="2026-02-17T00:00:00"/>
    <x v="4"/>
    <s v="Devuelta"/>
    <s v="Retroalimentación de la Entrega: Calculadora de DivisasCalificación Final: 36/50Comentarios del Profesor:Buen esfuerzo inicial en la estructura del programa, equipo. El código es funcional y cumple con la tarea básica de convertir monedas, sin embargo, hay puntos críticos de rigurosidad técnica y presentación profesional que deben ajustar para el parcial.Puntos a mejorar:Casting de Datos: Utilizaron int() para recibir el monto en pesos. En finanzas, el dinero siempre debe ser float(), ya que los montos pueden incluir decimales y el uso de enteros limita la precisión de la herramienta.Formato de Salida (Crítico): Los resultados muestran hasta 14 decimales (ej. 107.27592678854047). Para un usuario financiero, esto es ilegible. La instrucción pedía &quot;claridad en los mensajes&quot;; es obligatorio usar f-strings o el formato :.2f para redondear a 2 decimales.Documentación: Aunque incluyeron algunos comentarios, no se documentó cada sección o línea de lógica como se solicitó en la guía de autogestión.Lógica de Conversión: El cálculo para el Euro asume una paridad cruzada (COP -&amp;gt; USD -&amp;gt; EUR). Aunque es una lógica válida, asegúrense de que las etiquetas del input sean claras para que el usuario no se confunda con qué tasa debe ingresar.Motivación:Tienen la base de la lógica clara, pero en este curso la diferencia entre un código &quot;que funciona&quot; y uno &quot;profesional&quot; está en los detalles. Los invito a revisar los apuntes de la Clase 2 sobre f-strings y formateo de números. Si corrigen estos detalles de precisión, su desempeño en el parcial será mucho más sólido. ¡A seguir practicando!Rúbrica de CalificaciónCriterio de EvaluaciónDescripciónPuntaje MáximoPuntaje ObtenidoUso de CastingUso de int() en lugar de float() para montos de dinero (Pérdida de precisión).10.07.0Formato de SalidaNo hay redondeo de decimales; salida visualmente desordenada.10.05.0Markdown y EstructuraCumplen con los nombres e identificación de los integrantes.10.09.0Funcionalidad y LógicaEl código corre y realiza la conversión, aunque la lógica es mejorable.10.08.0DocumentaciónComentarios escasos; no documentan el proceso completo.10.07.0TOTAL50.036.0Diego Mauricio Zuluaga RodríguezProfesor - Departamento de EconomíaUniversidad de La Sabana"/>
    <n v="36"/>
    <n v="50"/>
    <n v="0.72"/>
  </r>
  <r>
    <x v="22"/>
    <s v="Laura Fernanda"/>
    <s v="Lopez Parra"/>
    <s v="lauraloppa@unisabana.edu.co"/>
    <x v="5"/>
    <d v="2026-02-17T00:00:00"/>
    <x v="4"/>
    <s v="Devuelta"/>
    <s v="Retroalimentación de la Entrega: Calculadora de DivisasCalificación Final: 36/50Comentarios del Profesor:Buen esfuerzo inicial en la estructura del programa, equipo. El código es funcional y cumple con la tarea básica de convertir monedas, sin embargo, hay puntos críticos de rigurosidad técnica y presentación profesional que deben ajustar para el parcial.Puntos a mejorar:Casting de Datos: Utilizaron int() para recibir el monto en pesos. En finanzas, el dinero siempre debe ser float(), ya que los montos pueden incluir decimales y el uso de enteros limita la precisión de la herramienta.Formato de Salida (Crítico): Los resultados muestran hasta 14 decimales (ej. 107.27592678854047). Para un usuario financiero, esto es ilegible. La instrucción pedía &quot;claridad en los mensajes&quot;; es obligatorio usar f-strings o el formato :.2f para redondear a 2 decimales.Documentación: Aunque incluyeron algunos comentarios, no se documentó cada sección o línea de lógica como se solicitó en la guía de autogestión.Lógica de Conversión: El cálculo para el Euro asume una paridad cruzada (COP -&amp;gt; USD -&amp;gt; EUR). Aunque es una lógica válida, asegúrense de que las etiquetas del input sean claras para que el usuario no se confunda con qué tasa debe ingresar.Motivación:Tienen la base de la lógica clara, pero en este curso la diferencia entre un código &quot;que funciona&quot; y uno &quot;profesional&quot; está en los detalles. Los invito a revisar los apuntes de la Clase 2 sobre f-strings y formateo de números. Si corrigen estos detalles de precisión, su desempeño en el parcial será mucho más sólido. ¡A seguir practicando!Rúbrica de CalificaciónCriterio de EvaluaciónDescripciónPuntaje MáximoPuntaje ObtenidoUso de CastingUso de int() en lugar de float() para montos de dinero (Pérdida de precisión).10.07.0Formato de SalidaNo hay redondeo de decimales; salida visualmente desordenada.10.05.0Markdown y EstructuraCumplen con los nombres e identificación de los integrantes.10.09.0Funcionalidad y LógicaEl código corre y realiza la conversión, aunque la lógica es mejorable.10.08.0DocumentaciónComentarios escasos; no documentan el proceso completo.10.07.0TOTAL50.036.0Diego Mauricio Zuluaga RodríguezProfesor - Departamento de EconomíaUniversidad de La Sabana"/>
    <n v="36"/>
    <n v="50"/>
    <n v="0.72"/>
  </r>
  <r>
    <x v="23"/>
    <s v="Lukas"/>
    <s v="Blanco Llanes"/>
    <s v="lukasblll@unisabana.edu.co"/>
    <x v="5"/>
    <d v="2026-02-17T00:00:00"/>
    <x v="4"/>
    <s v="Devuelta"/>
    <s v="Retroalimentación de la Entrega: Calculadora de DivisasCalificación Final: 50/50 Comentarios del Profesor:  Equipo,_x000a_ han presentado una solución de nivel excepcional. Han ido mucho más _x000a_allá de los requerimientos básicos del script, demostrando una autogestión y una curiosidad técnica sobresaliente.Puntos Destacados:Robustez Técnica: La implementación de una función de normalización de números (normalizar_numero)_x000a_ para manejar diferentes separadores de miles y decimales (puntos y _x000a_comas) es una práctica de nivel profesional. Esto resuelve un problema _x000a_real en bases de datos financieras internacionales.Validación de Datos: El uso de try-except combinado con un bucle while asegura que el programa no se rompa ante entradas inválidas, garantizando la continuidad del proceso.Documentación: Cada bloque de código y función interna está perfectamente documentado, facilitando la trazabilidad de la lógica.Creatividad en el Output:_x000a_ La presentación final con emojis y separadores visuales hace que la _x000a_herramienta sea intuitiva y agradable para el usuario final. Motivación:  El_x000a_ nivel técnico mostrado en esta tarea supera las expectativas para esta _x000a_etapa del curso. Han aplicado conceptos de validación y limpieza de _x000a_datos que suelen verse más adelante. Sigan con ese ímpetu; tienen un _x000a_perfil técnico muy fuerte que les permitirá destacar en el Parcial del 25 de febrero.Rúbrica de CalificaciónCriterio de EvaluaciónDescripciónPuntaje MáximoPuntaje ObtenidoUso de Casting (float)Conversión impecable y manejo de errores en tipos de datos.10.010.0Formato de SalidaUso avanzado de f-strings y presentación visual profesional.10.010.0Markdown y EstructuraNombres completos, descripción técnica y guía de usuario clara.10.010.0Funcionalidad y LógicaLógica superior con validaciones y normalización de entradas.10.010.0DocumentaciónComentarios detallados en cada línea y función del script.10.010.0TOTAL50.050.0Diego Mauricio Zuluaga Rodríguez Profesor - Departamento de Economía Universidad de La Sabana"/>
    <n v="50"/>
    <n v="50"/>
    <n v="1"/>
  </r>
  <r>
    <x v="24"/>
    <s v="Juan Sebastian"/>
    <s v="Salas Hinojosa"/>
    <s v="juansahi@unisabana.edu.co"/>
    <x v="5"/>
    <d v="2026-02-17T00:00:00"/>
    <x v="4"/>
    <s v="Devuelta"/>
    <s v="Retroalimentación de la Entrega: Calculadora de DivisasCalificación Final: 50/50Comentarios del Profesor:Equipo, han presentado una solución de nivel excepcional. Han ido mucho más allá de los requerimientos básicos del script, demostrando una autogestión y una curiosidad técnica sobresaliente.Puntos Destacados:Robustez Técnica: La implementación de una función de normalización de números (normalizar_numero) para manejar diferentes separadores de miles y decimales (puntos y comas) es una práctica de nivel profesional. Esto resuelve un problema real en bases de datos financieras internacionales.Validación de Datos: El uso de try-except combinado con un bucle while asegura que el programa no se rompa ante entradas inválidas, garantizando la continuidad del proceso.Documentación: Cada bloque de código y función interna está perfectamente documentado, facilitando la trazabilidad de la lógica.Creatividad en el Output: La presentación final con emojis y separadores visuales hace que la herramienta sea intuitiva y agradable para el usuario final.Motivación:El nivel técnico mostrado en esta tarea supera las expectativas para esta etapa del curso. Han aplicado conceptos de validación y limpieza de datos que suelen verse más adelante. Sigan con ese ímpetu; tienen un perfil técnico muy fuerte que les permitirá destacar en el Parcial del 25 de febrero.Rúbrica de CalificaciónCriterio de EvaluaciónDescripciónPuntaje MáximoPuntaje ObtenidoUso de Casting (float)Conversión impecable y manejo de errores en tipos de datos.10.010.0Formato de SalidaUso avanzado de f-strings y presentación visual profesional.10.010.0Markdown y EstructuraNombres completos, descripción técnica y guía de usuario clara.10.010.0Funcionalidad y LógicaLógica superior con validaciones y normalización de entradas.10.010.0DocumentaciónComentarios detallados en cada línea y función del script.10.010.0TOTAL50.050.0Diego Mauricio Zuluaga RodríguezProfesor - Departamento de EconomíaUniversidad de La Sabana"/>
    <n v="50"/>
    <n v="50"/>
    <n v="1"/>
  </r>
  <r>
    <x v="25"/>
    <s v="Avril Avril"/>
    <s v="Ariza Quitian"/>
    <s v="avrilarqu@unisabana.edu.co"/>
    <x v="5"/>
    <d v="2026-02-17T00:00:00"/>
    <x v="4"/>
    <s v="Devuelta"/>
    <s v="Retroalimentación de la Entrega: Calculadora de DivisasCalificación Final: 50/50Comentarios del Profesor:Excelente ejecución técnica, equipo. Han captado perfectamente la importancia de la precisión y la presentación en un reporte financiero.Puntos Destacados:Dominio Técnico: El uso del casting con float() es correcto, asegurando que el sistema no falle al ingresar centavos o tasas con decimales.Lógica Financiera: Es muy valioso que hayan utilizado la tasa de paridad EUR/USD para llegar al resultado del Euro. Este es un enfoque avanzado que demuestra que investigaron la sugerencia de la guía.Estética del Reporte: El uso de f-strings con formato :,.2f es impecable. Presentar un resultado como $5,000,000.00 en lugar de un número plano sin formato es lo que se espera de un profesional de la EICEA.Documentación: El código está bien estructurado y cada paso está debidamente comentado, lo que facilita su auditoría.Motivación:Han demostrado una excelente comprensión de los fundamentos. Este rigor en el manejo de datos les será de gran utilidad para el Taller del Corte 1 (30%) y el Parcial del 25 de febrero. Sigan así, manteniendo el orden y la claridad en su lógica de programación.Rúbrica de CalificaciónCriterio de EvaluaciónDescripciónPuntaje MáximoPuntaje ObtenidoUso de Casting (float)Conversión correcta de todas las entradas numéricas.10.010.0Formato de SalidaUso de f-strings, separadores de miles y precisión decimal.10.010.0Markdown y EstructuraInclusión de integrantes y descripción de la actividad.10.010.0Funcionalidad y LógicaCálculos precisos (uso de paridad EUR/USD).10.010.0DocumentaciónUso de comentarios y docstrings para explicar el código.10.010.0TOTAL50.050.0Diego Mauricio Zuluaga RodríguezProfesor - Departamento de EconomíaUniversidad de La Sabana"/>
    <n v="50"/>
    <n v="50"/>
    <n v="1"/>
  </r>
  <r>
    <x v="26"/>
    <s v="Samuel David"/>
    <s v="Simancas Contreras"/>
    <s v="samuelsico@unisabana.edu.co"/>
    <x v="5"/>
    <d v="2026-02-17T00:00:00"/>
    <x v="4"/>
    <s v="Devuelta"/>
    <m/>
    <n v="0"/>
    <n v="50"/>
    <n v="0"/>
  </r>
  <r>
    <x v="27"/>
    <s v="Derek Sebastian"/>
    <s v="Quintero Espindola"/>
    <s v="derekques@unisabana.edu.co"/>
    <x v="5"/>
    <d v="2026-02-17T00:00:00"/>
    <x v="4"/>
    <s v="Devuelta"/>
    <m/>
    <n v="0"/>
    <n v="50"/>
    <n v="0"/>
  </r>
  <r>
    <x v="28"/>
    <s v="Maria Jose"/>
    <s v="Huertas Osorio"/>
    <s v="mariahueos@unisabana.edu.co"/>
    <x v="5"/>
    <d v="2026-02-17T00:00:00"/>
    <x v="4"/>
    <s v="Devuelta"/>
    <s v="Retroalimentación de la Entrega: Calculadora de DivisasCalificación Final: 50/50Comentarios del Profesor:Excelente ejecución técnica, equipo. Han presentado una solución robusta que cumple con todos los estándares de calidad exigidos para el análisis financiero en Python.Puntos Destacados:Dominio del Casting: El uso de float() es correcto y necesario, asegurando que el programa no falle al procesar cifras con decimales, algo crítico en el manejo de TRM.Estética y Claridad: El reporte final en consola es muy limpio. El uso de f-strings con el formato :,.2f demuestra que tienen control sobre la visualización de datos, permitiendo que un usuario final entienda las cifras de inmediato.Documentación Proactiva: Es muy valioso que incluyan comentarios referenciando lo visto en las celdas de clase. Esto evidencia un seguimiento riguroso del material y una excelente autogestión del aprendizaje.Análisis Multiescenario: Incluir una segunda versión con tasas fijas para comparación es una excelente práctica de validación de datos.Motivación:Tienen una base sólida en sintaxis y lógica secuencial. Mantengan este nivel de detalle para el Taller del Corte 1 y el Parcial del 25 de febrero. La capacidad de documentar y estructurar así su trabajo les ahorrará mucho tiempo en proyectos más complejos. ¡Buen trabajo!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
    <n v="50"/>
    <n v="50"/>
    <n v="1"/>
  </r>
  <r>
    <x v="29"/>
    <s v="Juan Camilo"/>
    <s v="Leyton Lancheros"/>
    <s v="juanleyla@unisabana.edu.co"/>
    <x v="5"/>
    <d v="2026-02-17T00:00:00"/>
    <x v="4"/>
    <s v="Devuelta"/>
    <s v="Retroalimentación de la Entrega: Calculadora de DivisasCalificación Final: 45/50Comentarios del Profesor:Buen trabajo, equipo. El script es funcional y cumple con el objetivo básico de conversión. Sin embargo, para alcanzar la excelencia profesional (5.0), deben prestar atención a los requerimientos técnicos específicos y al formato de salida de datos financieros.Puntos a Mejorar:Solicitud de TRM: El enunciado solicitaba expresamente solicitar la TRM del día al usuario mediante input(). Ustedes dejaron las tasas fijas (hardcoded) en el código. En finanzas, un script que no permite actualizar la tasa de cambio pierde utilidad inmediata ante la volatilidad del mercado.Claridad en el Formato: Aunque usaron f-strings, el resultado impreso (50000.0) carece de separadores de miles y limitación de decimales. En un contexto bancario o administrativo, es vital presentar los montos como $ 50,000.00 para evitar errores de lectura.Puntos Fuertes:Documentación: El código está muy bien comentado, explicando el propósito de cada celda.Casting: El uso de float() en la entrada del monto es correcto.Motivación:Tienen una base sólida. Para el parcial del 25 de febrero, asegúrense de leer cada requerimiento del enunciado detalladamente. La diferencia entre un analista estándar y uno de alto nivel está en la capacidad de entregar herramientas flexibles y con formatos de lectura impecables. ¡Sigan practicando!Rúbrica de CalificaciónCriterio de EvaluaciónDescripciónPuntaje MáximoPuntaje ObtenidoUso de Casting (float)Conversión correcta de la entrada de COP a valor numérico.10.010.0Formato de SalidaUso de f-strings, pero faltaron separadores de miles y límite de decimales.10.07.0Markdown y EstructuraInclusión de nombres y descripción de la tarea.10.010.0Funcionalidad y LógicaEl script funciona, pero no solicita la TRM como se pidió (tasas fijas).10.08.0DocumentaciónComentarios claros explicando la lógica de cada sección.10.010.0TOTAL50.045.0Diego Mauricio Zuluaga RodríguezProfesor - Departamento de EconomíaUniversidad de La Sabana"/>
    <n v="45"/>
    <n v="50"/>
    <n v="0.9"/>
  </r>
  <r>
    <x v="30"/>
    <s v="Samuel Mathias"/>
    <s v="Gonzalez Bernal"/>
    <s v="samuelgonbe@unisabana.edu.co"/>
    <x v="5"/>
    <d v="2026-02-17T00:00:00"/>
    <x v="4"/>
    <s v="Devuelta"/>
    <s v="Retroalimentación de la Entrega: Conversor de Divisas Calificación Final: 48/50 Comentarios del Profesor:  Buen trabajo, equipo. Han logrado un script funcional que cumple con el objetivo técnico de la herramienta financiera. El código es claro y la lógica de conversión es correcta.Puntos Fuertes:Casting Correcto: El uso de float() en todas las entradas es adecuado para manejar la precisión que requieren las tasas de cambio.Formato Profesional: Excelente implementación de f-strings con :,.2f. Esto demuestra que comprendieron cómo presentar datos monetarios de forma legible para un usuario final.Creatividad: El uso de emojis y separadores visuales mejora significativamente la experiencia de usuario en la consola.Oportunidades de Mejora:Identificación (Markdown): Las instrucciones solicitaban los nombres completos. Faltaron los segundos apellidos de los integrantes, lo cual es fundamental para el registro formal de notas en la EICEA.Detalle en Salida: En la línea de Euros, el mensaje imprime $ €. Recuerden que cada moneda tiene su propio símbolo; lo ideal sería dejar únicamente el símbolo de Euro (€) para evitar confusiones financieras.Estructura: Aunque en Jupyter se pueden usar varias celdas, se recomienda que el bloque lógico principal esté en una sola celda para que el script se ejecute de forma continua sin depender de ejecuciones previas de celdas separadas. Motivación:  Tienen una base sólida. Pequeños detalles de precisión y formalidad en la identificación son lo único que los separa de la excelencia total. Sigan practicando la lógica de validación, ya que será clave para el Parcial del 25 de febrero. ¡Buen esfuerzo!Rúbrica de CalificaciónCriterio de EvaluaciónDescripciónPuntaje MáximoPuntaje ObtenidoUso de Casting (float)Conversión correcta de entradas de texto a valores numéricos.10.010.0Formato de SalidaUso de f-strings, separadores y precisión de 2 decimales.10.09.5Markdown y EstructuraIdentificación de integrantes (Nombres completos) y descripción.10.08.5Funcionalidad y LógicaEl script realiza los cálculos de conversión correctamente.10.010.0DocumentaciónComentarios claros explicando la lógica de cada paso.10.010.0TOTAL50.048.0Diego Mauricio Zuluaga Rodríguez Profesor - Departamento de Economía Universidad de La Sabana"/>
    <n v="48"/>
    <n v="50"/>
    <n v="0.96"/>
  </r>
  <r>
    <x v="31"/>
    <s v="Valeria"/>
    <s v="Morales"/>
    <s v="valeriamor@unisabana.edu.co"/>
    <x v="5"/>
    <d v="2026-02-17T00:00:00"/>
    <x v="4"/>
    <s v="Devuelta"/>
    <s v="Retroalimentación de la Entrega: Calculadora de DivisasCalificación Final: 48/50Comentarios del Profesor:Buen trabajo, Paula y Valeria. Han presentado una solución técnica muy sólida con un enfoque financiero interesante.Puntos Destacados:Lógica Financiera Superior: Me llamó la atención que utilizaran la paridad EUR/USD para calcular el valor en Euros a partir del resultado en Dólares. Esta es una lógica de mercado real (triangulación de divisas) que demuestra que entienden el trasfondo económico del ejercicio, no solo la programación.Impecable Formato de Salida: El uso de f-strings con :,.2f y los separadores visuales en la consola (============CONVERSIÓN============) hacen que el reporte sea profesional y fácil de leer para un usuario final.Documentación Precisa: Los comentarios explican claramente el porqué del uso de float(), lo cual evidencia que comprenden el concepto de Casting.Observación de Autogestión (Oportunidad de Mejora):Conformación del Grupo: Las instrucciones iniciales y el contrato pedagógico estipulaban el trabajo en grupos de 3 estudiantes. En esta entrega solo figuran dos integrantes. Es vital seguir las instrucciones de organización grupal para fomentar el trabajo colaborativo completo. Por este detalle administrativo, se descuentan 2 puntos en el criterio de estructura.Motivación:Tienen un dominio técnico muy claro de los fundamentos vistos hasta ahora. Esa capacidad de aplicar &quot;lógica de paridad&quot; les será de gran utilidad en el Parcial del 25 de febrero. Sigan así, cuidando tanto el código como el cumplimiento de los lineamientos administrativos.Rúbrica de CalificaciónCriterio de EvaluaciónDescripciónPuntaje MáximoPuntaje ObtenidoUso de Casting (float)Conversión correcta de entradas a decimales.10.010.0Formato de SalidaUso de f-strings, separadores de miles y precisión decimal.10.010.0Markdown y EstructuraPresentación y nombres.10.010.0Funcionalidad y LógicaCálculos correctos. Excelente uso de paridad EUR/USD.10.010.0DocumentaciónComentarios claros y explicativos en el código.10.010.0TOTAL50.050.0Diego Mauricio Zuluaga RodríguezProfesor - Departamento de EconomíaUniversidad de La Sabana"/>
    <n v="50"/>
    <n v="50"/>
    <n v="1"/>
  </r>
  <r>
    <x v="32"/>
    <s v="Samantha"/>
    <s v="Vanegas Russi"/>
    <s v="samanthavaru@unisabana.edu.co"/>
    <x v="5"/>
    <d v="2026-02-17T00:00:00"/>
    <x v="4"/>
    <s v="Devuelta"/>
    <s v="Retroalimentación de la Entrega: Calculadora de DivisasCalificación Final: 50/50Comentarios del Profesor:Excelente ejecución técnica, equipo. Han captado perfectamente la importancia de la precisión y la presentación en un reporte financiero.Puntos Destacados:Dominio Técnico: El uso del casting con float() es correcto, asegurando que el sistema no falle al ingresar centavos o tasas con decimales.Lógica Financiera: Es muy valioso que hayan utilizado la tasa de paridad EUR/USD para llegar al resultado del Euro. Este es un enfoque avanzado que demuestra que investigaron la sugerencia de la guía.Estética del Reporte: El uso de f-strings con formato :,.2f es impecable. Presentar un resultado como $5,000,000.00 en lugar de un número plano sin formato es lo que se espera de un profesional de la EICEA.Documentación: El código está bien estructurado y cada paso está debidamente comentado, lo que facilita su auditoría.Motivación:Han demostrado una excelente comprensión de los fundamentos. Este rigor en el manejo de datos les será de gran utilidad para el Taller del Corte 1 (30%) y el Parcial del 25 de febrero. Sigan así, manteniendo el orden y la claridad en su lógica de programación.Rúbrica de CalificaciónCriterio de EvaluaciónDescripciónPuntaje MáximoPuntaje ObtenidoUso de Casting (float)Conversión correcta de todas las entradas numéricas.10.010.0Formato de SalidaUso de f-strings, separadores de miles y precisión decimal.10.010.0Markdown y EstructuraInclusión de integrantes y descripción de la actividad.10.010.0Funcionalidad y LógicaCálculos precisos (uso de paridad EUR/USD).10.010.0DocumentaciónUso de comentarios y docstrings para explicar el código.10.010.0TOTAL50.050.0Diego Mauricio Zuluaga RodríguezProfesor - Departamento de EconomíaUniversidad de La Sabana"/>
    <n v="50"/>
    <n v="50"/>
    <n v="1"/>
  </r>
  <r>
    <x v="33"/>
    <s v="Cristobal"/>
    <s v="Robayo Jimenez"/>
    <s v="cristobalroji@unisabana.edu.co"/>
    <x v="5"/>
    <d v="2026-02-17T00:00:00"/>
    <x v="4"/>
    <s v="Devuelta"/>
    <m/>
    <n v="0"/>
    <n v="50"/>
    <n v="0"/>
  </r>
  <r>
    <x v="34"/>
    <s v="Juan Jose"/>
    <s v="Caballero Mantilla"/>
    <s v="juancabma@unisabana.edu.co"/>
    <x v="5"/>
    <d v="2026-02-17T00:00:00"/>
    <x v="4"/>
    <s v="Devuelta"/>
    <s v="Retroalimentación de la Entrega: Calculadora de Divisas Calificación Final: 19.0 / 50.0 Comentarios del Profesor:  Juan José, la calificación refleja un incumplimiento crítico de las instrucciones de autogestión y de los tiempos establecidos en el cronograma del curso.Puntos Críticos:Incumplimiento de Identificación: La instrucción de Markdown exigía explícitamente los nombres completos de los integrantes. Has entregado el archivo con los marcadores de posición &quot;Integrante 1, 2, 3&quot;. Esto impide la validación del trabajo en equipo y demuestra falta de revisión final.Calidad de Salida (Output): Los mensajes son extremadamente planos. No utilizas f-strings ni formatos de precisión decimal (:.2f), lo cual era un requerimiento para que el resultado fuera profesional (&quot;lo que verá el usuario final&quot;).Penalización por Retraso: La tarea fue entregada con 3 días de retraso. Según la política de rigurosidad del curso, se aplica un descuento de 5 puntos por cada día de demora (-15 puntos en total).Puntos a Favor:El código es funcional y aplica correctamente el casting de float() para las entradas y int() para la parte entera. La lógica aritmética de conversión es correcta. Motivación:  La programación exige atención al detalle. Tienes la capacidad técnica para resolver el problema, pero la autogestión (revisar el cumplimiento de la rúbrica antes de enviar y cumplir los plazos) es lo que define a un profesional. Debes mejorar drásticamente tu organización para el parcial del 25 de febrero, donde no habrá margen de error en las instrucciones.Rúbrica de CalificaciónCriterio de EvaluaciónPuntaje MáximoPuntaje ObtenidoObservacionesUso de Casting (float/int)10.010.0Implementado correctamente.Claridad en mensajes de salida10.06.0Muy básico. Sin formato de moneda ni f-strings.Nombres en Markdown10.00.0Incumplimiento total. Dejó &quot;Integrante 1, 2, 3&quot;.Funcionalidad y Lógica10.010.0El script realiza los cálculos.Documentación10.08.0Comentarios básicos presentes.Subtotal50.034.0Penalización por Retraso-15.03 días de retraso (-5.0 por día).TOTAL FINAL19.0Diego Mauricio Zuluaga Rodríguez Profesor - Departamento de Economía Universidad de La Sabana"/>
    <n v="19"/>
    <n v="50"/>
    <n v="0.38"/>
  </r>
  <r>
    <x v="35"/>
    <s v="Daniel Camilo"/>
    <s v="Lopez Piraquive"/>
    <s v="danielloppi@unisabana.edu.co"/>
    <x v="5"/>
    <d v="2026-02-17T00:00:00"/>
    <x v="4"/>
    <s v="Devuelta"/>
    <s v="Retroalimentación de la Entrega: Calculadora de DivisasCalificación Final: 50/50Comentarios del Profesor:Excelente ejecución técnica, equipo. Han captado perfectamente la importancia de la precisión y la presentación en un reporte financiero.Puntos Destacados:Dominio Técnico: El uso del casting con float() es correcto, asegurando que el sistema no falle al ingresar centavos o tasas con decimales.Lógica Financiera: Es muy valioso que hayan utilizado la tasa de paridad EUR/USD para llegar al resultado del Euro. Este es un enfoque avanzado que demuestra que investigaron la sugerencia de la guía.Estética del Reporte: El uso de f-strings con formato :,.2f es impecable. Presentar un resultado como $5,000,000.00 en lugar de un número plano sin formato es lo que se espera de un profesional de la EICEA.Documentación: El código está bien estructurado y cada paso está debidamente comentado, lo que facilita su auditoría.Motivación:Han demostrado una excelente comprensión de los fundamentos. Este rigor en el manejo de datos les será de gran utilidad para el Taller del Corte 1 (30%) y el Parcial del 25 de febrero. Sigan así, manteniendo el orden y la claridad en su lógica de programación.Rúbrica de CalificaciónCriterio de EvaluaciónDescripciónPuntaje MáximoPuntaje ObtenidoUso de Casting (float)Conversión correcta de todas las entradas numéricas.10.010.0Formato de SalidaUso de f-strings, separadores de miles y precisión decimal.10.010.0Markdown y EstructuraInclusión de integrantes y descripción de la actividad.10.010.0Funcionalidad y LógicaCálculos precisos (uso de paridad EUR/USD).10.010.0DocumentaciónUso de comentarios y docstrings para explicar el código.10.010.0TOTAL50.050.0Diego Mauricio Zuluaga RodríguezProfesor - Departamento de EconomíaUniversidad de La Sabana"/>
    <n v="50"/>
    <n v="50"/>
    <n v="1"/>
  </r>
  <r>
    <x v="36"/>
    <s v="Gabriela"/>
    <s v="Ruiz Perez"/>
    <s v="gabrielarupe@unisabana.edu.co"/>
    <x v="5"/>
    <d v="2026-02-17T00:00:00"/>
    <x v="4"/>
    <s v="Devuelta"/>
    <s v="Retroalimentación de la Entrega: Calculadora de DivisasCalificación Final: 50/50Comentarios del Profesor:Excelente ejecución técnica, equipo. Han presentado una solución robusta que cumple con todos los estándares de calidad exigidos para el análisis financiero en Python.Puntos Destacados:Dominio del Casting: El uso de float() es correcto y necesario, asegurando que el programa no falle al procesar cifras con decimales, algo crítico en el manejo de TRM.Estética y Claridad: El reporte final en consola es muy limpio. El uso de f-strings con el formato :,.2f demuestra que tienen control sobre la visualización de datos, permitiendo que un usuario final entienda las cifras de inmediato.Documentación Proactiva: Es muy valioso que incluyan comentarios referenciando lo visto en las celdas de clase. Esto evidencia un seguimiento riguroso del material y una excelente autogestión del aprendizaje.Análisis Multiescenario: Incluir una segunda versión con tasas fijas para comparación es una excelente práctica de validación de datos.Motivación:Tienen una base sólida en sintaxis y lógica secuencial. Mantengan este nivel de detalle para el Taller del Corte 1 y el Parcial del 25 de febrero. La capacidad de documentar y estructurar así su trabajo les ahorrará mucho tiempo en proyectos más complejos. ¡Buen trabajo!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
    <n v="50"/>
    <n v="50"/>
    <n v="1"/>
  </r>
  <r>
    <x v="37"/>
    <s v="Juan Sebastian"/>
    <s v="Perdomo Herrera"/>
    <s v="juanperhe@unisabana.edu.co"/>
    <x v="5"/>
    <d v="2026-02-17T00:00:00"/>
    <x v="4"/>
    <s v="Devuelta"/>
    <m/>
    <n v="0"/>
    <n v="50"/>
    <n v="0"/>
  </r>
  <r>
    <x v="38"/>
    <s v="Martin Martin"/>
    <s v="Trujillo Rodriguez"/>
    <s v="martintrro@unisabana.edu.co"/>
    <x v="5"/>
    <d v="2026-02-17T00:00:00"/>
    <x v="4"/>
    <s v="Devuelta"/>
    <s v="Retroalimentación de la Entrega: Calculadora de Divisas Calificación Final: 15/50 Comentarios del Profesor:  Martin, he revisado tu entrega. Aunque el código es funcional y cumple con la lógica básica de programación, existen fallos críticos en el seguimiento de instrucciones y en la puntualidad que afectan significativamente la nota.Puntos a mejorar:Incumplimiento de Requisitos de Identificación: En la sección de Markdown, dejaste los campos como &quot;Integrante 1, 2, 3&quot; en lugar de colocar los nombres reales. La rúbrica exige el cumplimiento estricto de los nombres para validar el trabajo.Puntualidad: La tarea fue entregada con 16 horas de retraso. En el ejercicio profesional y según nuestro contrato pedagógico, el cumplimiento de los deadlines es innegociable. Se ha aplicado la penalización correspondiente.Claridad de Salida: Los mensajes de impresión son muy básicos. No utilizaste f-strings ni diste formato a los decimales (moneda), lo cual era un requerimiento para la experiencia del usuario final.Puntos Positivos:Uso de Casting: Aplicaste correctamente tanto float() para las entradas como int() para mostrar la parte entera, demostrando que comprendes la diferencia entre tipos de datos.Documentación: El código tiene comentarios claros que explican qué hace cada sección. Motivación:  Martin, tienes la capacidad técnica para programar, pero la autogestión (atención al detalle y manejo del tiempo) es lo que define a un profesional de excelencia. Te invito a leer con más detenitud las instrucciones de las próximas tareas y a planificar tus entregas con antelación para evitar penalizaciones por tiempo. Tienes todo para mejorar en el parcial si aplicas rigor en estos detalles.Rúbrica de CalificaciónCriterio de EvaluaciónDescripciónPuntaje MáximoPuntaje ObtenidoUso de Casting (float/int)Conversión correcta de tipos de datos.10.010.0Claridad en Mensajes (Print)Uso de formato y creatividad en la salida.10.05.0Markdown e IdentificaciónNombres de integrantes (Se usaron placeholders).10.00.0DocumentaciónComentarios explicando la lógica del código.10.010.0Entrega OportunaPenalización por 16 horas de retraso.10.0-10.0TOTAL50.015.0Diego Mauricio Zuluaga Rodríguez Profesor - Departamento de Economía Universidad de La Sabana"/>
    <n v="15"/>
    <n v="50"/>
    <n v="0.3"/>
  </r>
  <r>
    <x v="39"/>
    <s v="Alan David"/>
    <s v="Rossoff Vanegas"/>
    <s v="alanrova@unisabana.edu.co"/>
    <x v="5"/>
    <d v="2026-02-17T00:00:00"/>
    <x v="4"/>
    <s v="Devuelta"/>
    <s v="Retroalimentación de la Entrega: Calculadora de DivisasCalificación Final: 50/50Comentarios del Profesor:Equipo, han presentado una solución de nivel excepcional. Han ido mucho más allá de los requerimientos básicos del script, demostrando una autogestión y una curiosidad técnica sobresaliente.Puntos Destacados:Robustez Técnica: La implementación de una función de normalización de números (normalizar_numero) para manejar diferentes separadores de miles y decimales (puntos y comas) es una práctica de nivel profesional. Esto resuelve un problema real en bases de datos financieras internacionales.Validación de Datos: El uso de try-except combinado con un bucle while asegura que el programa no se rompa ante entradas inválidas, garantizando la continuidad del proceso.Documentación: Cada bloque de código y función interna está perfectamente documentado, facilitando la trazabilidad de la lógica.Creatividad en el Output: La presentación final con emojis y separadores visuales hace que la herramienta sea intuitiva y agradable para el usuario final.Motivación:El nivel técnico mostrado en esta tarea supera las expectativas para esta etapa del curso. Han aplicado conceptos de validación y limpieza de datos que suelen verse más adelante. Sigan con ese ímpetu; tienen un perfil técnico muy fuerte que les permitirá destacar en el Parcial del 25 de febrero.Rúbrica de CalificaciónCriterio de EvaluaciónDescripciónPuntaje MáximoPuntaje ObtenidoUso de Casting (float)Conversión impecable y manejo de errores en tipos de datos.10.010.0Formato de SalidaUso avanzado de f-strings y presentación visual profesional.10.010.0Markdown y EstructuraNombres completos, descripción técnica y guía de usuario clara.10.010.0Funcionalidad y LógicaLógica superior con validaciones y normalización de entradas.10.010.0DocumentaciónComentarios detallados en cada línea y función del script.10.010.0TOTAL50.050.0Diego Mauricio Zuluaga RodríguezProfesor - Departamento de EconomíaUniversidad de La Sabana"/>
    <n v="50"/>
    <n v="50"/>
    <n v="1"/>
  </r>
  <r>
    <x v="40"/>
    <s v="Diego Alejandro"/>
    <s v="Hermida Limas"/>
    <s v="diegoherli@unisabana.edu.co"/>
    <x v="5"/>
    <d v="2026-02-17T00:00:00"/>
    <x v="4"/>
    <s v="Devuelta"/>
    <s v="Retroalimentación de la Entrega: Calculadora de Divisas Calificación Final: 36/50 Comentarios del Profesor:  Equipo, han presentado un script funcional en su estructura básica, pero existen errores críticos de lógica financiera y técnica que deben corregir para el parcial.Observaciones Técnicas:Error de Lógica Financiera: La fórmula utilizada VALOR_COP / 1000 * TRM es incorrecta. En el mercado de divisas, para pasar de pesos a dólares se divide el monto por la tasa (COP / TRM). Su fórmula actual multiplica el valor, lo que genera resultados astronómicos y erróneos.Riesgo en el Casting: Utilizar int() para el VALOR_COP es una práctica arriesgada. Si un usuario ingresa un valor con decimales (ej. 10500.50), el programa colapsará inmediatamente con un ValueError. En finanzas, siempre debemos usar float().Presentación del Output: Los mensajes de salida son muy planos. No se utilizaron f-strings ni formatos de precisión (como :.2f). Esto causa que los resultados se muestren con demasiados decimales, dificultando la lectura profesional.Ortografía: Tengan cuidado con la presentación en el Markdown. Palabras como &quot;calcualadora&quot; o la falta de mayúsculas restan profesionalismo a su portafolio. Motivación:  Tienen la estructura base clara, pero en Programación y Decisiones la precisión es lo que separa un código útil de uno peligroso. Les recomiendo revisar la jerarquía de operaciones y el uso de formatos de texto antes del parcial del 25 de febrero. ¡A ajustar esa lógica!Rúbrica de CalificaciónCriterio de EvaluaciónDescripciónPuntaje MáximoPuntaje ObtenidoUso de CastingUso de int en lugar de float para moneda limita la estabilidad del programa.10.07.0Formato de SalidaAusencia de f-strings, redondeo a 2 decimales y separadores de miles.10.05.0Markdown y EstructuraIncluye nombres y descripción, pero con errores ortográficos.10.08.0Funcionalidad y LógicaError grave: La fórmula matemática aplicada no corresponde a una conversión real.10.04.0DocumentaciónComentarios presentes pero extremadamente breves.10.08.0TOTAL50.032.0Nota: Se han otorgado 4 puntos adicionales por la entrega del archivo en el formato solicitado (.ipynb), para un total de 36.0.Diego Mauricio Zuluaga Rodríguez Profesor - Departamento de Economía Universidad de La Sabana"/>
    <n v="36"/>
    <n v="50"/>
    <n v="0.72"/>
  </r>
  <r>
    <x v="0"/>
    <s v="Paula Andrea"/>
    <s v="Arciniegas Cardenas"/>
    <s v="paulaarcca@unisabana.edu.co"/>
    <x v="6"/>
    <d v="2026-02-11T00:00:00"/>
    <x v="2"/>
    <s v="Devuelta"/>
    <m/>
    <n v="50"/>
    <n v="50"/>
    <n v="1"/>
  </r>
  <r>
    <x v="1"/>
    <s v="Sofia"/>
    <s v="Giraldo Pico"/>
    <s v="sofiagipi@unisabana.edu.co"/>
    <x v="6"/>
    <d v="2026-02-11T00:00:00"/>
    <x v="2"/>
    <s v="Devuelta"/>
    <m/>
    <n v="40"/>
    <n v="50"/>
    <n v="0.8"/>
  </r>
  <r>
    <x v="2"/>
    <s v="Valery"/>
    <s v="Linares Hernandez"/>
    <s v="valerylihe@unisabana.edu.co"/>
    <x v="6"/>
    <d v="2026-02-11T00:00:00"/>
    <x v="2"/>
    <s v="Devuelta"/>
    <m/>
    <n v="50"/>
    <n v="50"/>
    <n v="1"/>
  </r>
  <r>
    <x v="3"/>
    <s v="Nicolas"/>
    <s v="Torres Calderon"/>
    <s v="nicolastorca@unisabana.edu.co"/>
    <x v="6"/>
    <d v="2026-02-11T00:00:00"/>
    <x v="2"/>
    <s v="Devuelta"/>
    <m/>
    <n v="50"/>
    <n v="50"/>
    <n v="1"/>
  </r>
  <r>
    <x v="4"/>
    <s v="Cristian"/>
    <s v="Bermudez"/>
    <s v="cristianbe@unisabana.edu.co"/>
    <x v="6"/>
    <d v="2026-02-11T00:00:00"/>
    <x v="2"/>
    <s v="Devuelta"/>
    <m/>
    <n v="50"/>
    <n v="50"/>
    <n v="1"/>
  </r>
  <r>
    <x v="8"/>
    <s v="Samuel David"/>
    <s v="Lozano Holguin"/>
    <s v="samuelloho@unisabana.edu.co"/>
    <x v="6"/>
    <d v="2026-02-11T00:00:00"/>
    <x v="2"/>
    <s v="Devuelta"/>
    <m/>
    <n v="50"/>
    <n v="50"/>
    <n v="1"/>
  </r>
  <r>
    <x v="9"/>
    <s v="Sebastian"/>
    <s v="Vanoy Gutierrez"/>
    <s v="sebastianvagu@unisabana.edu.co"/>
    <x v="6"/>
    <d v="2026-02-11T00:00:00"/>
    <x v="2"/>
    <s v="Devuelta"/>
    <m/>
    <n v="50"/>
    <n v="50"/>
    <n v="1"/>
  </r>
  <r>
    <x v="6"/>
    <s v="Mariana"/>
    <s v="Pena Rodriguez"/>
    <s v="marianapero@unisabana.edu.co"/>
    <x v="6"/>
    <d v="2026-02-11T00:00:00"/>
    <x v="2"/>
    <s v="Devuelta"/>
    <m/>
    <n v="50"/>
    <n v="50"/>
    <n v="1"/>
  </r>
  <r>
    <x v="7"/>
    <s v="Isabella"/>
    <s v="Carranza Tapiero"/>
    <s v="isabellacata@unisabana.edu.co"/>
    <x v="6"/>
    <d v="2026-02-11T00:00:00"/>
    <x v="2"/>
    <s v="Devuelta"/>
    <m/>
    <n v="50"/>
    <n v="50"/>
    <n v="1"/>
  </r>
  <r>
    <x v="5"/>
    <s v="Mariana"/>
    <s v="Carmona Romero"/>
    <s v="marianacarrom@unisabana.edu.co"/>
    <x v="6"/>
    <d v="2026-02-11T00:00:00"/>
    <x v="2"/>
    <s v="Devuelta"/>
    <m/>
    <n v="50"/>
    <n v="50"/>
    <n v="1"/>
  </r>
  <r>
    <x v="10"/>
    <s v="Jose Daniel"/>
    <s v="Escobar Hurtado"/>
    <s v="joseeshu@unisabana.edu.co"/>
    <x v="6"/>
    <d v="2026-02-11T00:00:00"/>
    <x v="2"/>
    <s v="Devuelta"/>
    <m/>
    <n v="50"/>
    <n v="50"/>
    <n v="1"/>
  </r>
  <r>
    <x v="11"/>
    <s v="Maria Jose"/>
    <s v="Botero Galviz"/>
    <s v="mariabotga@unisabana.edu.co"/>
    <x v="6"/>
    <d v="2026-02-11T00:00:00"/>
    <x v="2"/>
    <s v="Devuelta"/>
    <m/>
    <n v="50"/>
    <n v="50"/>
    <n v="1"/>
  </r>
  <r>
    <x v="12"/>
    <s v="Maria Juliana"/>
    <s v="Mejia Quintero"/>
    <s v="mariamequ@unisabana.edu.co"/>
    <x v="6"/>
    <d v="2026-02-11T00:00:00"/>
    <x v="2"/>
    <s v="Devuelta"/>
    <m/>
    <n v="50"/>
    <n v="50"/>
    <n v="1"/>
  </r>
  <r>
    <x v="13"/>
    <s v="Alejandra"/>
    <s v="Leon Vargas"/>
    <s v="alejandraleva@unisabana.edu.co"/>
    <x v="6"/>
    <d v="2026-02-11T00:00:00"/>
    <x v="2"/>
    <s v="Devuelta"/>
    <m/>
    <n v="0"/>
    <n v="50"/>
    <n v="0"/>
  </r>
  <r>
    <x v="14"/>
    <s v="Alessandro Di Mauro"/>
    <s v="Bonilla Correa"/>
    <s v="alessandroboco@unisabana.edu.co"/>
    <x v="6"/>
    <d v="2026-02-11T00:00:00"/>
    <x v="2"/>
    <s v="Devuelta"/>
    <m/>
    <n v="50"/>
    <n v="50"/>
    <n v="1"/>
  </r>
  <r>
    <x v="15"/>
    <s v="Arianne Mariana"/>
    <s v="Amorocho Quiroga"/>
    <s v="arianneamqu@unisabana.edu.co"/>
    <x v="6"/>
    <d v="2026-02-11T00:00:00"/>
    <x v="2"/>
    <s v="Devuelta"/>
    <m/>
    <n v="50"/>
    <n v="50"/>
    <n v="1"/>
  </r>
  <r>
    <x v="16"/>
    <s v="Maria Juliana"/>
    <s v="Herrera Pulido"/>
    <s v="mariahepu@unisabana.edu.co"/>
    <x v="6"/>
    <d v="2026-02-11T00:00:00"/>
    <x v="2"/>
    <s v="Devuelta"/>
    <m/>
    <n v="50"/>
    <n v="50"/>
    <n v="1"/>
  </r>
  <r>
    <x v="17"/>
    <s v="Simon Gustavo"/>
    <s v="Restrepo Alvarez"/>
    <s v="simonreal@unisabana.edu.co"/>
    <x v="6"/>
    <d v="2026-02-11T00:00:00"/>
    <x v="2"/>
    <s v="Devuelta"/>
    <m/>
    <n v="50"/>
    <n v="50"/>
    <n v="1"/>
  </r>
  <r>
    <x v="18"/>
    <s v="Daniel Felipe"/>
    <s v="Camacho Pedraza"/>
    <s v="danielcampe@unisabana.edu.co"/>
    <x v="6"/>
    <d v="2026-02-11T00:00:00"/>
    <x v="2"/>
    <s v="Devuelta"/>
    <m/>
    <n v="50"/>
    <n v="50"/>
    <n v="1"/>
  </r>
  <r>
    <x v="19"/>
    <s v="Mateo"/>
    <s v="Perez Daza"/>
    <s v="mateopeda@unisabana.edu.co"/>
    <x v="6"/>
    <d v="2026-02-11T00:00:00"/>
    <x v="2"/>
    <s v="Devuelta"/>
    <m/>
    <n v="50"/>
    <n v="50"/>
    <n v="1"/>
  </r>
  <r>
    <x v="20"/>
    <s v="Matias"/>
    <s v="Mondragon Osorio"/>
    <s v="matiasmoos@unisabana.edu.co"/>
    <x v="6"/>
    <d v="2026-02-11T00:00:00"/>
    <x v="2"/>
    <s v="Devuelta"/>
    <m/>
    <n v="50"/>
    <n v="50"/>
    <n v="1"/>
  </r>
  <r>
    <x v="21"/>
    <s v="Juan David"/>
    <s v="Neuta Medina"/>
    <s v="juanneme@unisabana.edu.co"/>
    <x v="6"/>
    <d v="2026-02-11T00:00:00"/>
    <x v="2"/>
    <s v="Devuelta"/>
    <m/>
    <n v="50"/>
    <n v="50"/>
    <n v="1"/>
  </r>
  <r>
    <x v="22"/>
    <s v="Laura Fernanda"/>
    <s v="Lopez Parra"/>
    <s v="lauraloppa@unisabana.edu.co"/>
    <x v="6"/>
    <d v="2026-02-11T00:00:00"/>
    <x v="2"/>
    <s v="Devuelta"/>
    <m/>
    <n v="50"/>
    <n v="50"/>
    <n v="1"/>
  </r>
  <r>
    <x v="23"/>
    <s v="Lukas"/>
    <s v="Blanco Llanes"/>
    <s v="lukasblll@unisabana.edu.co"/>
    <x v="6"/>
    <d v="2026-02-11T00:00:00"/>
    <x v="2"/>
    <s v="Devuelta"/>
    <m/>
    <n v="50"/>
    <n v="50"/>
    <n v="1"/>
  </r>
  <r>
    <x v="24"/>
    <s v="Juan Sebastian"/>
    <s v="Salas Hinojosa"/>
    <s v="juansahi@unisabana.edu.co"/>
    <x v="6"/>
    <d v="2026-02-11T00:00:00"/>
    <x v="2"/>
    <s v="Devuelta"/>
    <m/>
    <n v="50"/>
    <n v="50"/>
    <n v="1"/>
  </r>
  <r>
    <x v="25"/>
    <s v="Avril Avril"/>
    <s v="Ariza Quitian"/>
    <s v="avrilarqu@unisabana.edu.co"/>
    <x v="6"/>
    <d v="2026-02-11T00:00:00"/>
    <x v="2"/>
    <s v="Devuelta"/>
    <m/>
    <n v="50"/>
    <n v="50"/>
    <n v="1"/>
  </r>
  <r>
    <x v="26"/>
    <s v="Samuel David"/>
    <s v="Simancas Contreras"/>
    <s v="samuelsico@unisabana.edu.co"/>
    <x v="6"/>
    <d v="2026-02-11T00:00:00"/>
    <x v="2"/>
    <s v="Devuelta"/>
    <m/>
    <n v="50"/>
    <n v="50"/>
    <n v="1"/>
  </r>
  <r>
    <x v="27"/>
    <s v="Derek Sebastian"/>
    <s v="Quintero Espindola"/>
    <s v="derekques@unisabana.edu.co"/>
    <x v="6"/>
    <d v="2026-02-11T00:00:00"/>
    <x v="2"/>
    <s v="Devuelta"/>
    <m/>
    <n v="50"/>
    <n v="50"/>
    <n v="1"/>
  </r>
  <r>
    <x v="28"/>
    <s v="Maria Jose"/>
    <s v="Huertas Osorio"/>
    <s v="mariahueos@unisabana.edu.co"/>
    <x v="6"/>
    <d v="2026-02-11T00:00:00"/>
    <x v="2"/>
    <s v="Devuelta"/>
    <m/>
    <n v="50"/>
    <n v="50"/>
    <n v="1"/>
  </r>
  <r>
    <x v="29"/>
    <s v="Juan Camilo"/>
    <s v="Leyton Lancheros"/>
    <s v="juanleyla@unisabana.edu.co"/>
    <x v="6"/>
    <d v="2026-02-11T00:00:00"/>
    <x v="2"/>
    <s v="Devuelta"/>
    <m/>
    <n v="0"/>
    <n v="50"/>
    <n v="0"/>
  </r>
  <r>
    <x v="30"/>
    <s v="Samuel Mathias"/>
    <s v="Gonzalez Bernal"/>
    <s v="samuelgonbe@unisabana.edu.co"/>
    <x v="6"/>
    <d v="2026-02-11T00:00:00"/>
    <x v="2"/>
    <s v="Devuelta"/>
    <m/>
    <n v="50"/>
    <n v="50"/>
    <n v="1"/>
  </r>
  <r>
    <x v="31"/>
    <s v="Valeria"/>
    <s v="Morales"/>
    <s v="valeriamor@unisabana.edu.co"/>
    <x v="6"/>
    <d v="2026-02-11T00:00:00"/>
    <x v="2"/>
    <s v="Devuelta"/>
    <m/>
    <n v="50"/>
    <n v="50"/>
    <n v="1"/>
  </r>
  <r>
    <x v="32"/>
    <s v="Samantha"/>
    <s v="Vanegas Russi"/>
    <s v="samanthavaru@unisabana.edu.co"/>
    <x v="6"/>
    <d v="2026-02-11T00:00:00"/>
    <x v="2"/>
    <s v="Devuelta"/>
    <m/>
    <n v="50"/>
    <n v="50"/>
    <n v="1"/>
  </r>
  <r>
    <x v="33"/>
    <s v="Cristobal"/>
    <s v="Robayo Jimenez"/>
    <s v="cristobalroji@unisabana.edu.co"/>
    <x v="6"/>
    <d v="2026-02-11T00:00:00"/>
    <x v="2"/>
    <s v="Devuelta"/>
    <m/>
    <n v="0"/>
    <n v="50"/>
    <n v="0"/>
  </r>
  <r>
    <x v="34"/>
    <s v="Juan Jose"/>
    <s v="Caballero Mantilla"/>
    <s v="juancabma@unisabana.edu.co"/>
    <x v="6"/>
    <d v="2026-02-11T00:00:00"/>
    <x v="2"/>
    <s v="Devuelta"/>
    <m/>
    <n v="50"/>
    <n v="50"/>
    <n v="1"/>
  </r>
  <r>
    <x v="35"/>
    <s v="Daniel Camilo"/>
    <s v="Lopez Piraquive"/>
    <s v="danielloppi@unisabana.edu.co"/>
    <x v="6"/>
    <d v="2026-02-11T00:00:00"/>
    <x v="2"/>
    <s v="Devuelta"/>
    <m/>
    <n v="50"/>
    <n v="50"/>
    <n v="1"/>
  </r>
  <r>
    <x v="36"/>
    <s v="Gabriela"/>
    <s v="Ruiz Perez"/>
    <s v="gabrielarupe@unisabana.edu.co"/>
    <x v="6"/>
    <d v="2026-02-11T00:00:00"/>
    <x v="2"/>
    <s v="Devuelta"/>
    <m/>
    <n v="50"/>
    <n v="50"/>
    <n v="1"/>
  </r>
  <r>
    <x v="37"/>
    <s v="Juan Sebastian"/>
    <s v="Perdomo Herrera"/>
    <s v="juanperhe@unisabana.edu.co"/>
    <x v="6"/>
    <d v="2026-02-11T00:00:00"/>
    <x v="2"/>
    <s v="Devuelta"/>
    <m/>
    <n v="40"/>
    <n v="50"/>
    <n v="0.8"/>
  </r>
  <r>
    <x v="38"/>
    <s v="Martin Martin"/>
    <s v="Trujillo Rodriguez"/>
    <s v="martintrro@unisabana.edu.co"/>
    <x v="6"/>
    <d v="2026-02-11T00:00:00"/>
    <x v="2"/>
    <s v="Devuelta"/>
    <m/>
    <n v="50"/>
    <n v="50"/>
    <n v="1"/>
  </r>
  <r>
    <x v="39"/>
    <s v="Alan David"/>
    <s v="Rossoff Vanegas"/>
    <s v="alanrova@unisabana.edu.co"/>
    <x v="6"/>
    <d v="2026-02-11T00:00:00"/>
    <x v="2"/>
    <s v="Devuelta"/>
    <m/>
    <n v="0"/>
    <n v="50"/>
    <n v="0"/>
  </r>
  <r>
    <x v="40"/>
    <s v="Diego Alejandro"/>
    <s v="Hermida Limas"/>
    <s v="diegoherli@unisabana.edu.co"/>
    <x v="6"/>
    <d v="2026-02-11T00:00:00"/>
    <x v="2"/>
    <s v="Devuelta"/>
    <m/>
    <n v="50"/>
    <n v="50"/>
    <n v="1"/>
  </r>
  <r>
    <x v="0"/>
    <s v="Paula Andrea"/>
    <s v="Arciniegas Cardenas"/>
    <s v="paulaarcca@unisabana.edu.co"/>
    <x v="7"/>
    <d v="2026-02-04T00:00:00"/>
    <x v="2"/>
    <s v="Devuelta"/>
    <m/>
    <n v="50"/>
    <n v="50"/>
    <n v="1"/>
  </r>
  <r>
    <x v="1"/>
    <s v="Sofia"/>
    <s v="Giraldo Pico"/>
    <s v="sofiagipi@unisabana.edu.co"/>
    <x v="7"/>
    <d v="2026-02-04T00:00:00"/>
    <x v="2"/>
    <s v="Devuelta"/>
    <m/>
    <n v="40"/>
    <n v="50"/>
    <n v="0.8"/>
  </r>
  <r>
    <x v="2"/>
    <s v="Valery"/>
    <s v="Linares Hernandez"/>
    <s v="valerylihe@unisabana.edu.co"/>
    <x v="7"/>
    <d v="2026-02-04T00:00:00"/>
    <x v="2"/>
    <s v="Devuelta"/>
    <m/>
    <n v="50"/>
    <n v="50"/>
    <n v="1"/>
  </r>
  <r>
    <x v="3"/>
    <s v="Nicolas"/>
    <s v="Torres Calderon"/>
    <s v="nicolastorca@unisabana.edu.co"/>
    <x v="7"/>
    <d v="2026-02-04T00:00:00"/>
    <x v="2"/>
    <s v="Devuelta"/>
    <m/>
    <n v="0"/>
    <n v="50"/>
    <n v="0"/>
  </r>
  <r>
    <x v="4"/>
    <s v="Cristian"/>
    <s v="Bermudez"/>
    <s v="cristianbe@unisabana.edu.co"/>
    <x v="7"/>
    <d v="2026-02-04T00:00:00"/>
    <x v="2"/>
    <s v="Devuelta"/>
    <m/>
    <n v="50"/>
    <n v="50"/>
    <n v="1"/>
  </r>
  <r>
    <x v="5"/>
    <s v="Mariana"/>
    <s v="Carmona Romero"/>
    <s v="marianacarrom@unisabana.edu.co"/>
    <x v="7"/>
    <d v="2026-02-04T00:00:00"/>
    <x v="2"/>
    <s v="Devuelta"/>
    <m/>
    <n v="0"/>
    <n v="50"/>
    <n v="0"/>
  </r>
  <r>
    <x v="6"/>
    <s v="Mariana"/>
    <s v="Pena Rodriguez"/>
    <s v="marianapero@unisabana.edu.co"/>
    <x v="7"/>
    <d v="2026-02-04T00:00:00"/>
    <x v="2"/>
    <s v="Devuelta"/>
    <m/>
    <n v="50"/>
    <n v="50"/>
    <n v="1"/>
  </r>
  <r>
    <x v="7"/>
    <s v="Isabella"/>
    <s v="Carranza Tapiero"/>
    <s v="isabellacata@unisabana.edu.co"/>
    <x v="7"/>
    <d v="2026-02-04T00:00:00"/>
    <x v="2"/>
    <s v="Devuelta"/>
    <m/>
    <n v="50"/>
    <n v="50"/>
    <n v="1"/>
  </r>
  <r>
    <x v="8"/>
    <s v="Samuel David"/>
    <s v="Lozano Holguin"/>
    <s v="samuelloho@unisabana.edu.co"/>
    <x v="7"/>
    <d v="2026-02-04T00:00:00"/>
    <x v="2"/>
    <s v="Devuelta"/>
    <m/>
    <n v="50"/>
    <n v="50"/>
    <n v="1"/>
  </r>
  <r>
    <x v="9"/>
    <s v="Sebastian"/>
    <s v="Vanoy Gutierrez"/>
    <s v="sebastianvagu@unisabana.edu.co"/>
    <x v="7"/>
    <d v="2026-02-04T00:00:00"/>
    <x v="2"/>
    <s v="Devuelta"/>
    <m/>
    <n v="50"/>
    <n v="50"/>
    <n v="1"/>
  </r>
  <r>
    <x v="10"/>
    <s v="Jose Daniel"/>
    <s v="Escobar Hurtado"/>
    <s v="joseeshu@unisabana.edu.co"/>
    <x v="7"/>
    <d v="2026-02-04T00:00:00"/>
    <x v="2"/>
    <s v="Devuelta"/>
    <m/>
    <n v="50"/>
    <n v="50"/>
    <n v="1"/>
  </r>
  <r>
    <x v="11"/>
    <s v="Maria Jose"/>
    <s v="Botero Galviz"/>
    <s v="mariabotga@unisabana.edu.co"/>
    <x v="7"/>
    <d v="2026-02-04T00:00:00"/>
    <x v="2"/>
    <s v="Devuelta"/>
    <m/>
    <n v="50"/>
    <n v="50"/>
    <n v="1"/>
  </r>
  <r>
    <x v="12"/>
    <s v="Maria Juliana"/>
    <s v="Mejia Quintero"/>
    <s v="mariamequ@unisabana.edu.co"/>
    <x v="7"/>
    <d v="2026-02-04T00:00:00"/>
    <x v="2"/>
    <s v="Devuelta"/>
    <m/>
    <n v="50"/>
    <n v="50"/>
    <n v="1"/>
  </r>
  <r>
    <x v="13"/>
    <s v="Alejandra"/>
    <s v="Leon Vargas"/>
    <s v="alejandraleva@unisabana.edu.co"/>
    <x v="7"/>
    <d v="2026-02-04T00:00:00"/>
    <x v="2"/>
    <s v="Devuelta"/>
    <m/>
    <n v="0"/>
    <n v="50"/>
    <n v="0"/>
  </r>
  <r>
    <x v="14"/>
    <s v="Alessandro Di Mauro"/>
    <s v="Bonilla Correa"/>
    <s v="alessandroboco@unisabana.edu.co"/>
    <x v="7"/>
    <d v="2026-02-04T00:00:00"/>
    <x v="2"/>
    <s v="Devuelta"/>
    <m/>
    <n v="0"/>
    <n v="50"/>
    <n v="0"/>
  </r>
  <r>
    <x v="15"/>
    <s v="Arianne Mariana"/>
    <s v="Amorocho Quiroga"/>
    <s v="arianneamqu@unisabana.edu.co"/>
    <x v="7"/>
    <d v="2026-02-04T00:00:00"/>
    <x v="2"/>
    <s v="Devuelta"/>
    <m/>
    <n v="50"/>
    <n v="50"/>
    <n v="1"/>
  </r>
  <r>
    <x v="16"/>
    <s v="Maria Juliana"/>
    <s v="Herrera Pulido"/>
    <s v="mariahepu@unisabana.edu.co"/>
    <x v="7"/>
    <d v="2026-02-04T00:00:00"/>
    <x v="2"/>
    <s v="Devuelta"/>
    <m/>
    <n v="50"/>
    <n v="50"/>
    <n v="1"/>
  </r>
  <r>
    <x v="17"/>
    <s v="Simon Gustavo"/>
    <s v="Restrepo Alvarez"/>
    <s v="simonreal@unisabana.edu.co"/>
    <x v="7"/>
    <d v="2026-02-04T00:00:00"/>
    <x v="2"/>
    <s v="Devuelta"/>
    <m/>
    <n v="50"/>
    <n v="50"/>
    <n v="1"/>
  </r>
  <r>
    <x v="18"/>
    <s v="Daniel Felipe"/>
    <s v="Camacho Pedraza"/>
    <s v="danielcampe@unisabana.edu.co"/>
    <x v="7"/>
    <d v="2026-02-04T00:00:00"/>
    <x v="2"/>
    <s v="Devuelta"/>
    <m/>
    <n v="50"/>
    <n v="50"/>
    <n v="1"/>
  </r>
  <r>
    <x v="19"/>
    <s v="Mateo"/>
    <s v="Perez Daza"/>
    <s v="mateopeda@unisabana.edu.co"/>
    <x v="7"/>
    <d v="2026-02-04T00:00:00"/>
    <x v="2"/>
    <s v="Devuelta"/>
    <m/>
    <n v="50"/>
    <n v="50"/>
    <n v="1"/>
  </r>
  <r>
    <x v="20"/>
    <s v="Matias"/>
    <s v="Mondragon Osorio"/>
    <s v="matiasmoos@unisabana.edu.co"/>
    <x v="7"/>
    <d v="2026-02-04T00:00:00"/>
    <x v="2"/>
    <s v="Devuelta"/>
    <m/>
    <n v="50"/>
    <n v="50"/>
    <n v="1"/>
  </r>
  <r>
    <x v="21"/>
    <s v="Juan David"/>
    <s v="Neuta Medina"/>
    <s v="juanneme@unisabana.edu.co"/>
    <x v="7"/>
    <d v="2026-02-04T00:00:00"/>
    <x v="2"/>
    <s v="Devuelta"/>
    <m/>
    <n v="50"/>
    <n v="50"/>
    <n v="1"/>
  </r>
  <r>
    <x v="22"/>
    <s v="Laura Fernanda"/>
    <s v="Lopez Parra"/>
    <s v="lauraloppa@unisabana.edu.co"/>
    <x v="7"/>
    <d v="2026-02-04T00:00:00"/>
    <x v="2"/>
    <s v="Devuelta"/>
    <m/>
    <n v="50"/>
    <n v="50"/>
    <n v="1"/>
  </r>
  <r>
    <x v="23"/>
    <s v="Lukas"/>
    <s v="Blanco Llanes"/>
    <s v="lukasblll@unisabana.edu.co"/>
    <x v="7"/>
    <d v="2026-02-04T00:00:00"/>
    <x v="2"/>
    <s v="Devuelta"/>
    <m/>
    <n v="50"/>
    <n v="50"/>
    <n v="1"/>
  </r>
  <r>
    <x v="24"/>
    <s v="Juan Sebastian"/>
    <s v="Salas Hinojosa"/>
    <s v="juansahi@unisabana.edu.co"/>
    <x v="7"/>
    <d v="2026-02-04T00:00:00"/>
    <x v="2"/>
    <s v="Devuelta"/>
    <m/>
    <n v="50"/>
    <n v="50"/>
    <n v="1"/>
  </r>
  <r>
    <x v="25"/>
    <s v="Avril Avril"/>
    <s v="Ariza Quitian"/>
    <s v="avrilarqu@unisabana.edu.co"/>
    <x v="7"/>
    <d v="2026-02-04T00:00:00"/>
    <x v="2"/>
    <s v="Devuelta"/>
    <m/>
    <n v="50"/>
    <n v="50"/>
    <n v="1"/>
  </r>
  <r>
    <x v="26"/>
    <s v="Samuel David"/>
    <s v="Simancas Contreras"/>
    <s v="samuelsico@unisabana.edu.co"/>
    <x v="7"/>
    <d v="2026-02-04T00:00:00"/>
    <x v="2"/>
    <s v="Devuelta"/>
    <m/>
    <n v="50"/>
    <n v="50"/>
    <n v="1"/>
  </r>
  <r>
    <x v="27"/>
    <s v="Derek Sebastian"/>
    <s v="Quintero Espindola"/>
    <s v="derekques@unisabana.edu.co"/>
    <x v="7"/>
    <d v="2026-02-04T00:00:00"/>
    <x v="2"/>
    <s v="Devuelta"/>
    <m/>
    <n v="0"/>
    <n v="50"/>
    <n v="0"/>
  </r>
  <r>
    <x v="28"/>
    <s v="Maria Jose"/>
    <s v="Huertas Osorio"/>
    <s v="mariahueos@unisabana.edu.co"/>
    <x v="7"/>
    <d v="2026-02-04T00:00:00"/>
    <x v="2"/>
    <s v="Devuelta"/>
    <m/>
    <n v="50"/>
    <n v="50"/>
    <n v="1"/>
  </r>
  <r>
    <x v="29"/>
    <s v="Juan Camilo"/>
    <s v="Leyton Lancheros"/>
    <s v="juanleyla@unisabana.edu.co"/>
    <x v="7"/>
    <d v="2026-02-04T00:00:00"/>
    <x v="2"/>
    <s v="Devuelta"/>
    <m/>
    <n v="50"/>
    <n v="50"/>
    <n v="1"/>
  </r>
  <r>
    <x v="30"/>
    <s v="Samuel Mathias"/>
    <s v="Gonzalez Bernal"/>
    <s v="samuelgonbe@unisabana.edu.co"/>
    <x v="7"/>
    <d v="2026-02-04T00:00:00"/>
    <x v="2"/>
    <s v="Devuelta"/>
    <m/>
    <n v="50"/>
    <n v="50"/>
    <n v="1"/>
  </r>
  <r>
    <x v="31"/>
    <s v="Valeria"/>
    <s v="Morales"/>
    <s v="valeriamor@unisabana.edu.co"/>
    <x v="7"/>
    <d v="2026-02-04T00:00:00"/>
    <x v="2"/>
    <s v="Devuelta"/>
    <m/>
    <n v="50"/>
    <n v="50"/>
    <n v="1"/>
  </r>
  <r>
    <x v="32"/>
    <s v="Samantha"/>
    <s v="Vanegas Russi"/>
    <s v="samanthavaru@unisabana.edu.co"/>
    <x v="7"/>
    <d v="2026-02-04T00:00:00"/>
    <x v="2"/>
    <s v="Devuelta"/>
    <m/>
    <n v="50"/>
    <n v="50"/>
    <n v="1"/>
  </r>
  <r>
    <x v="33"/>
    <s v="Cristobal"/>
    <s v="Robayo Jimenez"/>
    <s v="cristobalroji@unisabana.edu.co"/>
    <x v="7"/>
    <d v="2026-02-04T00:00:00"/>
    <x v="2"/>
    <s v="Devuelta"/>
    <m/>
    <n v="0"/>
    <n v="50"/>
    <n v="0"/>
  </r>
  <r>
    <x v="34"/>
    <s v="Juan Jose"/>
    <s v="Caballero Mantilla"/>
    <s v="juancabma@unisabana.edu.co"/>
    <x v="7"/>
    <d v="2026-02-04T00:00:00"/>
    <x v="2"/>
    <s v="Devuelta"/>
    <m/>
    <n v="50"/>
    <n v="50"/>
    <n v="1"/>
  </r>
  <r>
    <x v="35"/>
    <s v="Daniel Camilo"/>
    <s v="Lopez Piraquive"/>
    <s v="danielloppi@unisabana.edu.co"/>
    <x v="7"/>
    <d v="2026-02-04T00:00:00"/>
    <x v="2"/>
    <s v="Devuelta"/>
    <m/>
    <n v="50"/>
    <n v="50"/>
    <n v="1"/>
  </r>
  <r>
    <x v="36"/>
    <s v="Gabriela"/>
    <s v="Ruiz Perez"/>
    <s v="gabrielarupe@unisabana.edu.co"/>
    <x v="7"/>
    <d v="2026-02-04T00:00:00"/>
    <x v="2"/>
    <s v="Devuelta"/>
    <m/>
    <n v="50"/>
    <n v="50"/>
    <n v="1"/>
  </r>
  <r>
    <x v="37"/>
    <s v="Juan Sebastian"/>
    <s v="Perdomo Herrera"/>
    <s v="juanperhe@unisabana.edu.co"/>
    <x v="7"/>
    <d v="2026-02-04T00:00:00"/>
    <x v="2"/>
    <s v="Devuelta"/>
    <m/>
    <n v="50"/>
    <n v="50"/>
    <n v="1"/>
  </r>
  <r>
    <x v="38"/>
    <s v="Martin Martin"/>
    <s v="Trujillo Rodriguez"/>
    <s v="martintrro@unisabana.edu.co"/>
    <x v="7"/>
    <d v="2026-02-04T00:00:00"/>
    <x v="2"/>
    <s v="Devuelta"/>
    <m/>
    <n v="50"/>
    <n v="50"/>
    <n v="1"/>
  </r>
  <r>
    <x v="39"/>
    <s v="Alan David"/>
    <s v="Rossoff Vanegas"/>
    <s v="alanrova@unisabana.edu.co"/>
    <x v="7"/>
    <d v="2026-02-04T00:00:00"/>
    <x v="2"/>
    <s v="Devuelta"/>
    <m/>
    <n v="50"/>
    <n v="50"/>
    <n v="1"/>
  </r>
  <r>
    <x v="40"/>
    <s v="Diego Alejandro"/>
    <s v="Hermida Limas"/>
    <s v="diegoherli@unisabana.edu.co"/>
    <x v="7"/>
    <d v="2026-02-04T00:00:00"/>
    <x v="2"/>
    <s v="Devuelta"/>
    <m/>
    <n v="50"/>
    <n v="50"/>
    <n v="1"/>
  </r>
  <r>
    <x v="0"/>
    <s v="Paula Andrea"/>
    <s v="Arciniegas Cardenas"/>
    <s v="paulaarcca@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Paula, excelente trabajo. Destaco la formalidad de tu entrega (encabezado y_x000a_referencias), lo cual demuestra profesionalismo y respeto por la actividad_x000a_académica. _x000a_ Puntos_x000a_     Fuertes: Tu conexión con Negocios Internacionales es precisa._x000a_     Mencionaste &quot;fluctuaciones de la moneda&quot; e &quot;indicadores_x000a_     económicos&quot;; esto es vital porque en este curso aprenderemos a_x000a_     conectar Python con fuentes de datos reales (APIs) para traer la TRM en_x000a_     tiempo real, automatizando lo que hoy quizás haces manual en Excel. El uso_x000a_     de citas (EAN, Oracle) le da solidez a tus argumentos. _x000a_ Próximos_x000a_     Pasos: Mencionaste la &quot;automatización de flujos de trabajo&quot;._x000a_     Mantén esa idea presente, porque es uno de los objetivos de la competencia_x000a_     de Autogestión: que el código trabaje por ti para que tú te dediques a la_x000a_     estrategia. Conclusión: _x000a_Tienes una visión clara de la utilidad de la herramienta. Has cumplido con_x000a_todos los criterios de excelencia. ¡Sigue con ese nivel de rigurosidad!"/>
    <n v="50"/>
    <n v="50"/>
    <n v="1"/>
  </r>
  <r>
    <x v="1"/>
    <s v="Sofia"/>
    <s v="Giraldo Pico"/>
    <s v="sofiagipi@unisabana.edu.co"/>
    <x v="8"/>
    <d v="2026-02-03T00:00:00"/>
    <x v="4"/>
    <s v="Devuelta"/>
    <s v="Rúbrica de Calificación _x000a_ Conexión_x000a_     con la Carrera (20/20 pts): Excelente. Identifica aplicaciones_x000a_     precisas en comercio exterior, análisis de exportaciones/importaciones y_x000a_     tasas de cambio. _x000a_ Profundidad_x000a_     Argumentativa (14/15 pts): Muy buena. Entiende que Python no es solo_x000a_     código, sino una estructura mental para resolver problemas complejos. _x000a_ Redacción_x000a_     y Estructura (10/10 pts): Texto fluido, profesional y bien organizado. _x000a_ Seguimiento_x000a_     de Instrucciones (5/5 pts): Cumple con la extensión y responde_x000a_     directamente a la pregunta planteada. Retroalimentación:  Calificación: 40/50  Comentarios: _x000a_Sofía, excelente ensayo. Has captado la esencia de por qué un Administrador de_x000a_Negocios Internacionales en La Sabana debe programar: la ventaja competitiva_x000a_y la toma de decisiones basada en datos. _x000a_ Puntos_x000a_     Fuertes: Destaco tu mención sobre la &quot;comunicación con equipos_x000a_     tecnológicos&quot;. En el mundo real, serás el puente entre el negocio y_x000a_     la tecnología; entender Python te da la autoridad para liderar esos_x000a_     procesos. Tu enfoque en la automatización de indicadores financieros y_x000a_     tasas de cambio es el camino correcto para tu perfil. _x000a_ Oportunidad_x000a_     de Mejora: Para obtener el puntaje perfecto en próximas entregas, te_x000a_     reto a que menciones una librería específica de Python que hayas_x000a_     investigado (como Pandas para el análisis de tablas de exportación_x000a_     o Matplotlib para graficar la inflación). Llevar el argumento de lo_x000a_     general a lo técnico demuestra una autogestión superior.  Conclusión: _x000a_Tu visión sobre la transformación digital y el comercio electrónico es muy_x000a_acertada. Estás preparando tu perfil para roles estratégicos en_x000a_multinacionales. ¡Sigue con esa mentalidad durante el desarrollo de los_x000a_laboratorios!"/>
    <n v="40"/>
    <n v="50"/>
    <n v="0.8"/>
  </r>
  <r>
    <x v="2"/>
    <s v="Valery"/>
    <s v="Linares Hernandez"/>
    <s v="valerylihe@unisabana.edu.co"/>
    <x v="8"/>
    <d v="2026-02-03T00:00:00"/>
    <x v="4"/>
    <s v="Devuelta"/>
    <m/>
    <n v="0"/>
    <n v="50"/>
    <n v="0"/>
  </r>
  <r>
    <x v="3"/>
    <s v="Nicolas"/>
    <s v="Torres Calderon"/>
    <s v="nicolastorca@unisabana.edu.co"/>
    <x v="8"/>
    <d v="2026-02-03T00:00:00"/>
    <x v="4"/>
    <s v="Devuelta"/>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50/50  Comentarios: _x000a_¡Excelente! Esta es una respuesta de nivel profesional y cumple con todos los_x000a_objetivos de la actividad. _x000a_ Puntos_x000a_     Fuertes: La articulación entre la programación y la Administración de_x000a_     Negocios Internacionales es notable. Mencionas específicamente el valor de_x000a_     Pandas/NumPy, lo cual demuestra comprensión del ecosistema Python,_x000a_     y enlazas la competencia con la meta de la Universidad de La Sabana_x000a_     (&quot;toma de decisiones basada en evidencia&quot;). El desglose por_x000a_     áreas (Análisis de Datos, Finanzas Internacionales, Optimización de_x000a_     Procesos) es metodológicamente robusto. _x000a_ Cumplimiento:_x000a_     La redacción es impecable, y la estructura argumentativa es lógica y cohesiva._x000a_     El texto es convincente y técnico sin caer en generalidades.  Conclusión: _x000a_Has superado la tarea con creces. Tu enfoque en la automatización de tareas_x000a_repetitivas y el análisis de riesgo financiero son exactamente las_x000a_aplicaciones que exploraremos. Tienes una base conceptual sólida para empezar a_x000a_programar."/>
    <n v="50"/>
    <n v="50"/>
    <n v="1"/>
  </r>
  <r>
    <x v="4"/>
    <s v="Cristian"/>
    <s v="Bermudez"/>
    <s v="cristianbe@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0/50  Comentarios: _x000a_Cristian, has tocado puntos neurálgicos de la industria gastronómica moderna. _x000a_ Puntos_x000a_     Fuertes: Mencionas el &quot;análisis de residuos&quot; y el_x000a_     &quot;escalado de recetas&quot; (ingredientes exactos para grandes_x000a_     volúmenes). Estos son problemas clásicos de optimización que resolveremos_x000a_     en clase. Python es perfecto para evitar el desperdicio de materia prima_x000a_     (food cost), que es donde se pierde la rentabilidad en tu sector. _x000a_ Oportunidad_x000a_     de Mejora: La extensión del texto es muy breve respecto a lo_x000a_     solicitado (una página). Aunque las ideas son correctas, te faltó_x000a_     desarrollarlas con mayor profundidad. En la competencia de Autogestión,_x000a_     el cumplimiento riguroso de las instrucciones de entrega (longitud y_x000a_     formato) es vital. _x000a_ Consejo:_x000a_     No veas Python solo como una calculadora de fechas de caducidad; imagínalo_x000a_     como el chef ejecutivo que predice cuántos kilos de insumo comprar_x000a_     basándose en el histórico de ventas del mes pasado.  Conclusión: _x000a_Tienes la visión clara de para qué sirve. Ahora necesitamos trabajar en_x000a_la ejecución y en profundizar esos argumentos. ¡Vamos a programar esas_x000a_soluciones!"/>
    <n v="40"/>
    <n v="50"/>
    <n v="0.8"/>
  </r>
  <r>
    <x v="5"/>
    <s v="Mariana"/>
    <s v="Carmona Romero"/>
    <s v="marianacarrom@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0/50  Comentarios: _x000a_Mariana, muy buen análisis. Lograste algo clave: no solo conectar Python con el_x000a_Mercadeo y la Logística por separado, sino que añadiste la capa_x000a_&quot;Internacional&quot;, que es fundamental en su carrera. Esa visión es muy_x000a_acertada. _x000a_ Puntos_x000a_     Fuertes: Has identificado con precisión las aplicaciones más valiosas:_x000a_     optimización de rutas, análisis del consumidor y comparación de mercados_x000a_     internacionales. La idea de usar Python para automatizar reportes de_x000a_     exportación es un ejemplo perfecto del valor que buscamos. _x000a_ Oportunidades_x000a_     de Mejora: _x000a_ _x000a_  Profundidad:_x000a_      El ensayo es una excelente lista de &quot;qué&quot; se puede hacer. El_x000a_      siguiente paso en tu desarrollo es profundizar en el &quot;porqué&quot;_x000a_      esto representa un cambio fundamental. Por ejemplo, ¿cómo cambia la_x000a_      calidad de una decisión logística cuando se basa en una simulación de_x000a_      costos en Python en lugar de en una estimación manual? _x000a_  Redacción:_x000a_      Presta atención a la redacción y la ortografía (&quot;podeos&quot;,_x000a_      &quot;costros&quot;). En un entorno profesional, la comunicación escrita_x000a_      es tan importante como el análisis técnico. Estructurar el texto en_x000a_      párrafos más definidos le dará más fuerza a tus argumentos. _x000a_  Conclusión: _x000a_Tienes las ideas correctas y claras sobre la aplicación de la herramienta. El_x000a_objetivo de este curso es darte la estructura y la técnica para que esas ideas_x000a_se conviertan en código funcional. ¡Sigue con esa visión!"/>
    <n v="40"/>
    <n v="50"/>
    <n v="0.8"/>
  </r>
  <r>
    <x v="6"/>
    <s v="Mariana"/>
    <s v="Pena Rodriguez"/>
    <s v="marianapero@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Un ensayo excepcional! Tu análisis sobre la aplicación de Python en la_x000a_Gastronomía es profundo y muy creativo, demostrando que has captado_x000a_perfectamente el espíritu del curso: la programación como herramienta de_x000a_decisión y eficiencia. _x000a_ Puntos_x000a_     Fuertes (20/20 en Conexión): Destaco particularmente tres ideas_x000a_     brillantes que superan las expectativas: _x000a_ _x000a_  Costo_x000a_      de Plato (Pricing): Saber si se está ganando dinero con el menú es_x000a_      una decisión financiera crítica que requiere un script de Python. _x000a_  Ajuste_x000a_      Automático de Recetas (Escalabilidad): El uso de Python para ajustar_x000a_      automáticamente cantidades (Regla de Tres) es una aplicación directa y_x000a_      valiosísima. _x000a_  Gestión_x000a_      de Calidad (IoT / Seguridad Alimentaria): Monitorear temperaturas de_x000a_      neveras y dar alertas es una aplicación avanzada que combina Python con_x000a_      hardware (IoT), demostrando visión de futuro. _x000a_ _x000a_ Oportunidad_x000a_     de Mejora (10/10 en Redacción): El texto es claro y muy bien_x000a_     estructurado. La única penalización (1 punto) se da en la redacción,_x000a_     específicamente en el uso inconsistente de la coma en frases como:_x000a_     &quot;lo cual para un chef que sabe usar...&quot;. (Corregir estos_x000a_     pequeños detalles mejorará la calidad percibida de tus informes_x000a_     profesionales).  Conclusión: _x000a_Has superado la tarea con creces, demostrando que la mentalidad de programación_x000a_se aplica a cualquier campo. En las próximas semanas, veremos cómo traducir ese_x000a_&quot;programa para cambiar las cantidades de una receta&quot; en las_x000a_estructuras de código que estamos aprendiendo. ¡Excelente inicio de semestre!"/>
    <n v="50"/>
    <n v="50"/>
    <n v="1"/>
  </r>
  <r>
    <x v="7"/>
    <s v="Isabella"/>
    <s v="Carranza Tapiero"/>
    <s v="isabellacata@unisabana.edu.co"/>
    <x v="8"/>
    <d v="2026-02-03T00:00:00"/>
    <x v="4"/>
    <s v="Devuelta"/>
    <m/>
    <n v="0"/>
    <n v="50"/>
    <n v="0"/>
  </r>
  <r>
    <x v="8"/>
    <s v="Samuel David"/>
    <s v="Lozano Holguin"/>
    <s v="samuelloho@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3/50  Comentarios: _x000a_El ensayo es claro, conciso y va directo al punto. La idea central es correcta_x000a_y demuestra que comprendes el valor estratégico de la programación en tu_x000a_carrera. _x000a_ Puntos_x000a_     Fuertes: La frase &quot;no solo a 'mirar números'&quot; es excelente,_x000a_     captura perfectamente la diferencia entre ser un observador pasivo y un_x000a_     analista activo que genera valor. La conclusión sobre ser una_x000a_     &quot;profesional más preparada, moderna y capaz de adaptarse&quot; es muy_x000a_     acertada. _x000a_ Oportunidad_x000a_     de Mejora: El ensayo, aunque correcto, es más un resumen que un_x000a_     análisis profundo. Para alcanzar la máxima calificación, te faltó_x000a_     desarrollar un poco más cada idea. En lugar de solo listar las_x000a_     aplicaciones (&quot;optimizar rutas, controlar inventarios&quot;), podrías_x000a_     haber explicado brevemente el impacto que una de esas_x000a_     optimizaciones tendría en la rentabilidad de una empresa. El seguimiento_x000a_     de la instrucción de una página no se cumplió del todo, lo cual se ve_x000a_     reflejado en ese criterio.  Conclusión: _x000a_La base conceptual está clara y eso es lo más importante. El siguiente paso es_x000a_aprender a argumentar con mayor profundidad y detalle. El reto para el resto_x000a_del semestre será precisamente ese: convertir estas ideas generales en código_x000a_específico y funcional. ¡Buen inicio!"/>
    <n v="43"/>
    <n v="50"/>
    <n v="0.86"/>
  </r>
  <r>
    <x v="9"/>
    <s v="Sebastian"/>
    <s v="Vanoy Gutierrez"/>
    <s v="sebastianvagu@unisabana.edu.co"/>
    <x v="8"/>
    <d v="2026-02-03T00:00:00"/>
    <x v="4"/>
    <s v="Devuelta"/>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50/50  Comentarios: _x000a_¡Excelente análisis y profundidad! Este ensayo cumple con creces los criterios_x000a_de la rúbrica y demuestra un entendimiento estratégico de la importancia de la_x000a_programación para un economista moderno. _x000a_ Puntos_x000a_     Fuertes: La articulación es sobresaliente. Has logrado ir más allá de_x000a_     la simple &quot;limpieza de datos&quot; para tocar temas complejos y de_x000a_     alto valor como: _x000a_ _x000a_  Simulaciones_x000a_      de Monte Carlo. _x000a_  Optimización_x000a_      de portafolios internacionales. _x000a_  La_x000a_      idea de que Python es una &quot;extensión práctica del pensamiento_x000a_      económico y cuantitativo&quot;. _x000a_  La_x000a_      visión de la empleabilidad y la necesidad de ser un perfil híbrido_x000a_      que compita con ingenieros y analistas de datos. _x000a_ _x000a_ Autogestión_x000a_     y Rigor: La estructura es impecable, fluida y sin redundancias. Esto_x000a_     refleja una alta capacidad de síntesis y organización, que es la_x000a_     competencia clave que buscamos entrenar.  Conclusión: _x000a_Tu visión sobre la programación en Economía y Finanzas no es opcional, es el_x000a_enfoque correcto. Mantén esta perspectiva durante el semestre, ya que_x000a_implementaremos muchos de estos modelos de series de tiempo y optimización con_x000a_el rigor que has planteado. Tienes una base teórica muy sólida."/>
    <n v="50"/>
    <n v="50"/>
    <n v="1"/>
  </r>
  <r>
    <x v="10"/>
    <s v="Jose Daniel"/>
    <s v="Escobar Hurtado"/>
    <s v="joseeshu@unisabana.edu.co"/>
    <x v="8"/>
    <d v="2026-02-03T00:00:00"/>
    <x v="4"/>
    <s v="Devuelta"/>
    <s v="No está el ensayo adjunto."/>
    <n v="0"/>
    <n v="50"/>
    <n v="0"/>
  </r>
  <r>
    <x v="11"/>
    <s v="Maria Jose"/>
    <s v="Botero Galviz"/>
    <s v="mariabotga@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6/50  Comentarios: _x000a_Excelente enfoque. Has dado en el clavo sobre la realidad de la industria_x000a_gastronómica moderna: la rentabilidad está en los datos, no solo en el sabor. _x000a_ Puntos_x000a_     Fuertes: Identificaste aplicaciones críticas como la &quot;Ingeniería_x000a_     de Menú&quot; (saber qué platos son rentables y populares) y el control de_x000a_     desperdicios. Python es la herramienta perfecta para automatizar el costeo_x000a_     de recetas estándar, algo que en Excel suele romperse con facilidad. _x000a_ Oportunidad_x000a_     de Mejora: Debes cuidar la rigurosidad académica en tu_x000a_     redacción. _x000a_ _x000a_  Evita_x000a_      términos coloquiales como &quot;super importante&quot; (úsalo dos veces);_x000a_      opta por &quot;crucial&quot;, &quot;fundamental&quot; o_x000a_      &quot;determinante&quot;. _x000a_  Atención_x000a_      a la ortografía: &quot;Tradicional mente&quot; va junto (Tradicionalmente),_x000a_      &quot;atreves&quot; es del verbo atreverse (a través es lo_x000a_      correcto), y &quot;si no&quot; en ese contexto es sino. _x000a_  La_x000a_      programación requiere precisión, y la escritura académica también. _x000a_  Conclusión: _x000a_Tu visión sobre la gestión administrativa de la cocina es correcta. En este_x000a_curso, te daré las herramientas para que puedas crear scripts que calculen esos_x000a_costos de producción automáticamente. ¡A pulir esa redacción y adelante con el_x000a_código!"/>
    <n v="46"/>
    <n v="50"/>
    <n v="0.92"/>
  </r>
  <r>
    <x v="12"/>
    <s v="Maria Juliana"/>
    <s v="Mejia Quintero"/>
    <s v="mariamequ@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trabajo. Este es un ensayo sobresaliente que demuestra una_x000a_comprensión profunda y madura de cómo la tecnología puede transformar una_x000a_disciplina tradicional como la Gastronomía. _x000a_ Puntos_x000a_     Fuertes: Has ido más allá de las respuestas obvias. Tus argumentos_x000a_     sobre usar Python para reducir el desperdicio de alimentos, estandarizar_x000a_     recetas para garantizar consistencia y evaluar la rentabilidad_x000a_     de un menú son precisamente las aplicaciones de alto valor que busca la_x000a_     industria. La conexión que haces entre la programación y el desarrollo de_x000a_     habilidades como la precisión y el pensamiento lógico es brillante. _x000a_ Oportunidad_x000a_     de Mejora: Dado que has dominado el &quot;qué&quot; y el_x000a_     &quot;porqué&quot;, el siguiente paso en tu desarrollo será el_x000a_     &quot;cómo&quot;. A medida que avancemos, te retaré a que pienses qué tipo_x000a_     de script escribirías para, por ejemplo, analizar el inventario y predecir_x000a_     qué ingredientes se agotarán primero.  Conclusión: _x000a_Has articulado perfectamente la visión de un profesional gastronómico del siglo_x000a_XXI: alguien que combina la técnica culinaria con la inteligencia de datos. Tu_x000a_ensayo es la prueba de que tienes la mentalidad correcta para este curso._x000a_Ahora, vamos a darle las herramientas a esa visión."/>
    <n v="50"/>
    <n v="50"/>
    <n v="1"/>
  </r>
  <r>
    <x v="13"/>
    <s v="Alejandra"/>
    <s v="Leon Vargas"/>
    <s v="alejandraleva@unisabana.edu.co"/>
    <x v="8"/>
    <d v="2026-02-03T00:00:00"/>
    <x v="4"/>
    <s v="Devuelta"/>
    <m/>
    <n v="0"/>
    <n v="50"/>
    <n v="0"/>
  </r>
  <r>
    <x v="14"/>
    <s v="Alessandro Di Mauro"/>
    <s v="Bonilla Correa"/>
    <s v="alessandroboco@unisabana.edu.co"/>
    <x v="8"/>
    <d v="2026-02-03T00:00:00"/>
    <x v="4"/>
    <s v="Devuelta"/>
    <m/>
    <n v="0"/>
    <n v="50"/>
    <n v="0"/>
  </r>
  <r>
    <x v="15"/>
    <s v="Arianne Mariana"/>
    <s v="Amorocho Quiroga"/>
    <s v="arianneamqu@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7/50  Comentarios: _x000a_Buen trabajo. Has logrado conectar dos mundos que a veces parecen distantes: la_x000a_creatividad del Mercadeo y la precisión de la Logística. _x000a_ Puntos_x000a_     Fuertes: Tu argumento sobre pasar de la &quot;intuición&quot; a los_x000a_     &quot;datos reales&quot; es exactamente el núcleo de este curso_x000a_     (Aprendizaje Basado en Evidencias). Identificaste correctamente los_x000a_     dolores de tu carrera: inventarios, rutas y segmentación de clientes. _x000a_ Oportunidad_x000a_     de Mejora: Para futuras entregas, te invito a ser más técnico en el_x000a_     &quot;cómo&quot;. Por ejemplo, cuando mencionas &quot;analizar rutas de_x000a_     envío&quot;, en Python usaríamos librerías de optimización matemática; o_x000a_     para &quot;lo que las personas compran&quot;, usaríamos Pandas para_x000a_     limpiar esos datos. No te quedes solo en el concepto, empieza a visualizar_x000a_     la herramienta. Conclusión: _x000a_Tienes la mentalidad correcta. Ahora, en las próximas clases, vamos a traducir_x000a_esa teoría de &quot;optimizar inventarios&quot; en código real que lo haga por_x000a_ti. ¡Ánimo con el código!"/>
    <n v="47"/>
    <n v="50"/>
    <n v="0.94"/>
  </r>
  <r>
    <x v="16"/>
    <s v="Maria Juliana"/>
    <s v="Herrera Pulido"/>
    <s v="mariahepu@unisabana.edu.co"/>
    <x v="8"/>
    <d v="2026-02-03T00:00:00"/>
    <x v="4"/>
    <s v="Devuelta"/>
    <m/>
    <n v="0"/>
    <n v="50"/>
    <n v="0"/>
  </r>
  <r>
    <x v="17"/>
    <s v="Simon Gustavo"/>
    <s v="Restrepo Alvarez"/>
    <s v="simonreal@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4/50  Comentarios: _x000a_Agradezco tu esfuerzo y la claridad de tu estructura. El ensayo es coherente y_x000a_directo en su defensa de Python en la Administración de Empresas. _x000a_ Puntos_x000a_     Fuertes: Identificaste correctamente el valor de la Automatización_x000a_     de Procesos (liberar tiempo de tareas repetitivas) y la Gestión de_x000a_     Grandes Datos. La mención a la simplicidad y el código_x000a_     abierto demuestra que entendiste por qué Python es la elección ideal_x000a_     para profesionales no técnicos. _x000a_ Oportunidad_x000a_     de Mejora: La argumentación fue correcta pero le faltó una conexión_x000a_     más profunda con la carrera de Administración de Empresas, más allá_x000a_     de las generalidades. ¿Cómo automatiza Python un proceso de Recursos_x000a_     Humanos en una PYME? ¿Qué tipo de patrones busca un_x000a_     administrador en los datos de ventas para reducir el riesgo? Te invito a_x000a_     pensar en el nombre de la librería o la técnica que usarías_x000a_     (ej., Pandas para el análisis, Scripts para la_x000a_     automatización).  Conclusión: _x000a_La base conceptual es sólida y has cumplido con la instrucción principal. El_x000a_reto ahora es llevar estos conceptos a la práctica. Recuerda que en este curso_x000a_entrenamos la Autogestión y eso incluye la capacidad de argumentar con_x000a_precisión técnica."/>
    <n v="44"/>
    <n v="50"/>
    <n v="0.88"/>
  </r>
  <r>
    <x v="18"/>
    <s v="Daniel Felipe"/>
    <s v="Camacho Pedraza"/>
    <s v="danielcampe@unisabana.edu.co"/>
    <x v="8"/>
    <d v="2026-02-03T00:00:00"/>
    <x v="4"/>
    <s v="Devuelta"/>
    <m/>
    <n v="0"/>
    <n v="50"/>
    <n v="0"/>
  </r>
  <r>
    <x v="19"/>
    <s v="Mateo"/>
    <s v="Perez Daza"/>
    <s v="mateopeda@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trabajo. Tu ensayo demuestra una comprensión profunda de la ventaja_x000a_competitiva que ofrece Python en el contexto de la Economía y Finanzas_x000a_Internacionales. Cumple con la totalidad de los criterios establecidos. _x000a_ Puntos_x000a_     Fuertes: Lograste conectar la necesidad de gestionar grandes_x000a_     volúmenes de datos (DANE, FMI) con las librerías específicas que_x000a_     usaremos (NumPy y Pandas), lo cual demuestra que has investigado cómo_x000a_     funciona la herramienta. La mención de la reproducibilidad y el uso_x000a_     de modelos matemáticos/estadísticos para simular escenarios son_x000a_     argumentos de alto valor. _x000a_ Motivación_x000a_     (Meta Autogestión): Este nivel de análisis y preparación es un ejemplo_x000a_     de la Autogestión que buscamos desarrollar. Has sentado una base_x000a_     conceptual robusta. Ahora, en el curso, convertiremos estos conceptos_x000a_     (gestión de riesgos, valuación de activos) en código funcional.  Conclusión: _x000a_Un ensayo completo, riguroso y perfectamente alineado con las metas del_x000a_Departamento. ¡Mantén este nivel de compromiso en las clases prácticas!"/>
    <n v="50"/>
    <n v="50"/>
    <n v="1"/>
  </r>
  <r>
    <x v="20"/>
    <s v="Matias"/>
    <s v="Mondragon Osorio"/>
    <s v="matiasmoos@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Análisis de nivel superior, Matías. Este ensayo demuestra una comprensión_x000a_excepcional del objetivo estratégico de este curso. _x000a_ Puntos_x000a_     Fuertes: _x000a_ _x000a_  Visión_x000a_      Gerencial: Has identificado el punto clave: no se trata de ser un_x000a_      desarrollador operativo, sino de ser un gerente que sabe cómo dirigir_x000a_      y validar el trabajo técnico. Tu argumento sobre eliminar la_x000a_      &quot;asimetría de información&quot; al tratar con proveedores es una_x000a_      reflexión madura y muy valiosa en el mundo real. _x000a_  Aplicación_x000a_      Específica: Conectar el aprendizaje directamente a tu proyecto de una_x000a_      empresa de repuestos para motocicletas le da un anclaje práctico y_x000a_      demuestra una autogestión clara de tus metas profesionales. _x000a_  Lenguaje_x000a_      Preciso: Utilizas conceptos como &quot;ventaja competitiva&quot;,_x000a_      &quot;integralidad&quot; y &quot;criterio&quot; de manera muy acertada,_x000a_      demostrando que entiendes el puente entre la tecnología y la estrategia_x000a_      de negocio. _x000a_ _x000a_ Próximo_x000a_     Desafío (Más allá de la nota): Ya que tienes tan clara la visión, el_x000a_     siguiente paso es empezar a pensar en el &quot;qué&quot;. ¿Cuál sería el_x000a_     primer KPI (Indicador Clave de Rendimiento) que te gustaría automatizar o_x000a_     analizar con Python para tu empresa? ¿Rotación de inventario? ¿Segmentación_x000a_     de clientes por tipo de moto? Empecemos a materializar esa visión.  Conclusión: _x000a_Excelente trabajo. Usted no está aquí para ser un programador, está aquí para_x000a_ser un gerente que sabe cómo usar la programación como una palanca estratégica._x000a_Va por excelente camino."/>
    <n v="50"/>
    <n v="50"/>
    <n v="1"/>
  </r>
  <r>
    <x v="21"/>
    <s v="Juan David"/>
    <s v="Neuta Medina"/>
    <s v="juanneme@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38/50  Comentarios: _x000a_ Puntos_x000a_     Fuertes (Profundidad Argumentativa y Redacción): La calidad de la_x000a_     prosa es alta. Tu ensayo se centra exitosamente en el valor cognitivo de_x000a_     la programación: el desarrollo del pensamiento crítico, la abstracción_x000a_     para la creación de modelos, la resolución de problemas lógicos y_x000a_     la capacidad de adaptación (habilidades clave del economista_x000a_     moderno). La inclusión de citas de Descartes y Harari enriquece la_x000a_     reflexión. _x000a_ Área_x000a_     Crítica (Conexión con la Carrera): El ensayo es excelente en la_x000a_     filosofía del aprendizaje, pero débil en la aplicación práctica_x000a_     específica para un Economista y Financiero Internacional. El ensayo se_x000a_     queda en el &quot;para qué sirve pensar como programador&quot; y no_x000a_     aborda el &quot;para qué sirve programar con Python en mi_x000a_     carrera&quot;. _x000a_ _x000a_  Ejemplo_x000a_      de mejora: No mencionas cómo Python te ayuda a simular un modelo de_x000a_      valoración de activos (Monte Carlo), analizar series de tiempo_x000a_      financieras (Pandas, Statsmodels), optimizar portafolios de inversión o_x000a_      manipular bases de datos macroeconómicas (Objetivo clave del curso). Esta_x000a_      conexión explícita es fundamental. _x000a_  Recomendación de Autogestión (Metacognición): Excelente uso de la IA para explorar conceptos filosóficos y_x000a_de soft skills. Sin embargo, la consigna pedía apoyo a la IA para el contenido_x000a_técnico específico de tu carrera. En el futuro, usa la IA para generar_x000a_ejemplos de código o aplicaciones en Finanzas Cuantitativas, y luego usa tu_x000a_pensamiento crítico (el que la programación te ayuda a desarrollar) para_x000a_criticar y validar si la aplicación es realista."/>
    <n v="38"/>
    <n v="50"/>
    <n v="0.76"/>
  </r>
  <r>
    <x v="22"/>
    <s v="Laura Fernanda"/>
    <s v="Lopez Parra"/>
    <s v="lauraloppa@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reflexión. Es refrescante ver un enfoque tan claro sobre la_x000a_Gastronomía como una ciencia de datos y procesos, y no solo como un arte_x000a_culinario. _x000a_ Puntos_x000a_     Fuertes: Has dado en el clavo al mencionar el &quot;Food Tech&quot;_x000a_     y la visión de la gastronomía como un &quot;sistema técnico&quot;. La_x000a_     conexión que haces entre Python y el costeo de recetas o el control_x000a_     de inventarios es exactamente lo que buscamos en la competencia de_x000a_     Autogestión y eficiencia. Un chef que sabe programar sus propios modelos_x000a_     de costos tiene una ventaja competitiva enorme sobre quien depende de un_x000a_     Excel estático. _x000a_ Oportunidad_x000a_     de Mejora: Mantén esa visión interdisciplinaria. A medida que_x000a_     avancemos en el curso, te reto a pensar: ¿Cómo automatizarías ese análisis_x000a_     de menú? ¿Cómo harías que Python te avise cuando un ingrediente está por_x000a_     caducar?  Conclusión: _x000a_Tienes una visión muy madura de tu profesión. Aprovecha este curso para_x000a_construir esas herramientas de Food Tech que mencionas. ¡Gran inicio!"/>
    <n v="50"/>
    <n v="50"/>
    <n v="1"/>
  </r>
  <r>
    <x v="23"/>
    <s v="Lukas"/>
    <s v="Blanco Llanes"/>
    <s v="lukasblll@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reflexión. Has dado en el clavo con uno de los objetivos más_x000a_importantes de este curso: dejar de ser operativos para ser analíticos. _x000a_ Puntos_x000a_     Fuertes: Tu argumento sobre &quot;dirigir la atención al análisis al_x000a_     ciento por ciento y no a la operación&quot; es brillante. Ese es el_x000a_     verdadero valor de Python para un economista: automatizar la_x000a_     &quot;carpintería&quot; (limpieza de datos, reportes repetitivos) para_x000a_     dedicar el cerebro a la estrategia económica. _x000a_ Autogestión_x000a_     y Ética: Valoro mucho la transparencia al citar la herramienta de IA_x000a_     (GPT-5.2). Esto demuestra responsabilidad y honestidad académica,_x000a_     cumpliendo con las reglas de juego del curso. _x000a_ Visión:_x000a_     Tienes muy claro que la competencia no es contra la máquina, sino contra_x000a_     otros economistas que no sepan usarla.  Conclusión: _x000a_Tienes la visión estratégica clara. Ahora, el reto es técnico: vamos a aprender_x000a_a escribir esas líneas de código que mencionas para que esa &quot;ventaja_x000a_profesional&quot; sea una realidad tangible al final del semestre."/>
    <n v="50"/>
    <n v="50"/>
    <n v="1"/>
  </r>
  <r>
    <x v="24"/>
    <s v="Juan Sebastian"/>
    <s v="Salas Hinojosa"/>
    <s v="juansahi@unisabana.edu.co"/>
    <x v="8"/>
    <d v="2026-02-03T00:00:00"/>
    <x v="4"/>
    <s v="Devuelta"/>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44/50  Comentarios: _x000a_Excelente trabajo de reflexión. Se valora tu honestidad al reconocer la_x000a_perspectiva inicial (Python como &quot;lejano o innecesario&quot;) y cómo_x000a_evolucionó tu entendimiento hacia su valor a largo plazo. _x000a_ Puntos_x000a_     Fuertes: La conexión que haces entre Python y el desarrollo de una_x000a_     &quot;mentalidad más analítica y organizada&quot; es fundamental, y está_x000a_     directamente alineada con la competencia de Autogestión que_x000a_     impulsamos. También es muy acertado el argumento de que Python es el_x000a_     escalón natural cuando el análisis económico y financiero pasa de ser_x000a_     teórico a trabajar con grandes volúmenes de datos reales_x000a_     (Econometría, Modelos Financieros). _x000a_ Oportunidad_x000a_     de Mejora: Aunque la reflexión es profunda en términos de porqué,_x000a_     la argumentación podría ser más específica en el &quot;para qué&quot;_x000a_     dentro de tu carrera (Criterio 1). ¿Qué hace Python en Finanzas que Excel_x000a_     no puede? Debes mencionar roles concretos: modelos de riesgo_x000a_     (simulación de Monte Carlo), valoración de portafolios, o el uso de_x000a_     librerías como numpy para álgebra lineal.  Conclusión: _x000a_Tienes una base reflexiva sólida que te permitirá aprovechar al máximo el_x000a_curso. La utilidad de Python dejará de ser una promesa a largo plazo en las_x000a_próximas semanas y se convertirá en una herramienta inmediata. ¡Sigue con este_x000a_nivel de análisis!"/>
    <n v="44"/>
    <n v="50"/>
    <n v="0.88"/>
  </r>
  <r>
    <x v="25"/>
    <s v="Avril Avril"/>
    <s v="Ariza Quitian"/>
    <s v="avrilarqu@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2/50  Comentarios: _x000a_Valoro mucho la honestidad con la que inicias tu texto. Es completamente válido_x000a_cuestionar el pensum; esa curiosidad es el primer paso del pensamiento crítico. _x000a_ Puntos_x000a_     Fuertes: Tu estructura es clara y el argumento sobre el &quot;enfoque_x000a_     humano&quot; es vital. Tienes toda la razón: la tecnología en tu carrera_x000a_     debe servir para liberar tiempo operativo (automatizando reportes) y_x000a_     dedicarlo a la gestión de personas y servicios. _x000a_ Oportunidad_x000a_     de Mejora: El ensayo se quedó en un nivel un poco general_x000a_     (&quot;organizar datos&quot;, &quot;hacer cálculos&quot;). Para la_x000a_     próxima, te reto a aterrizar los conceptos a tu carrera específica: En Administración_x000a_     y Servicio, Python es el rey del Customer Experience (CX)._x000a_     Imagina usar Python no solo para &quot;guardar datos&quot;, sino para_x000a_     analizar automáticamente miles de comentarios de clientes y detectar_x000a_     emociones (Sentiment Analysis) para mejorar el servicio. Ahí es donde está_x000a_     tu valor agregado.  Conclusión: _x000a_Buen inicio. Quédate con esta idea: Programamos las máquinas para tener más_x000a_tiempo de ser humanos. Vamos a aprender a automatizar esa_x000a_&quot;carpintería&quot; operativa en clase."/>
    <n v="42"/>
    <n v="50"/>
    <n v="0.84"/>
  </r>
  <r>
    <x v="26"/>
    <s v="Samuel David"/>
    <s v="Simancas Contreras"/>
    <s v="samuelsico@unisabana.edu.co"/>
    <x v="8"/>
    <d v="2026-02-03T00:00:00"/>
    <x v="4"/>
    <s v="Devuelta"/>
    <m/>
    <n v="0"/>
    <n v="50"/>
    <n v="0"/>
  </r>
  <r>
    <x v="27"/>
    <s v="Derek Sebastian"/>
    <s v="Quintero Espindola"/>
    <s v="derekques@unisabana.edu.co"/>
    <x v="8"/>
    <d v="2026-02-03T00:00:00"/>
    <x v="4"/>
    <s v="Devuelta"/>
    <m/>
    <n v="0"/>
    <n v="50"/>
    <n v="0"/>
  </r>
  <r>
    <x v="28"/>
    <s v="Maria Jose"/>
    <s v="Huertas Osorio"/>
    <s v="mariahueos@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reflexión. Has tocado un punto fundamental que conecta tu carrera con_x000a_este curso: el algoritmo como receta. _x000a_ Puntos_x000a_     Fuertes: La analogía que haces entre &quot;una receta requiere pasos_x000a_     precisos y variables (tiempo/temperatura)&quot; y un algoritmo es_x000a_     brillante. Esa es exactamente la lógica de la programación estructurada._x000a_     Además, identificaste áreas críticas de negocio: estandarización de_x000a_     recetas y control de mermas/inventarios, donde Python es mucho más potente_x000a_     que Excel. _x000a_ Oportunidad_x000a_     de Mejora: Tienes un par de errores tipográficos menores_x000a_     (&quot;pasoso&quot;, &quot;se transfieres&quot;). En programación, un_x000a_     carácter mal puesto rompe el código; en la cocina, un gramo de más cambia_x000a_     el sabor. Mantén esa atención al detalle (Sanity Check) también en la_x000a_     escritura.  Conclusión: _x000a_La &quot;Ingeniería de Menú&quot; basada en datos es el futuro de la_x000a_gastronomía rentable. Con lo que aprenderemos, podrás automatizar esos costos_x000a_de recetas en segundos. ¡Buen trabajo!"/>
    <n v="50"/>
    <n v="50"/>
    <n v="1"/>
  </r>
  <r>
    <x v="29"/>
    <s v="Juan Camilo"/>
    <s v="Leyton Lancheros"/>
    <s v="juanleyla@unisabana.edu.co"/>
    <x v="8"/>
    <d v="2026-02-03T00:00:00"/>
    <x v="4"/>
    <s v="Devuelta"/>
    <m/>
    <n v="0"/>
    <n v="50"/>
    <n v="0"/>
  </r>
  <r>
    <x v="30"/>
    <s v="Samuel Mathias"/>
    <s v="Gonzalez Bernal"/>
    <s v="samuelgonbe@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ste es un ensayo sobresaliente. Demuestra un nivel de investigación y_x000a_comprensión que va más allá de lo esperado para una tarea introductoria. _x000a_ Puntos_x000a_     Fuertes: _x000a_ _x000a_  Especificidad_x000a_      Técnica: No te limitaste a generalidades. Mencionaste bibliotecas (BeautifulSoup,_x000a_      Pandas, NumPy), APIs (Yahoo Finance) y técnicas avanzadas (web scraping, simulación_x000a_      de Monte Carlo, trading algorítmico). Esto demuestra una conexión real y_x000a_      profunda con la aplicación profesional. _x000a_  Argumento_x000a_      Estratégico: Tu concepto del &quot;analista aumentado&quot; es_x000a_      brillante y captura perfectamente la filosofía de este curso. Comprendes_x000a_      que la meta no es reemplazar al humano, sino potenciar su capacidad de_x000a_      análisis y decisión. _x000a_  Redacción_x000a_      Profesional: El título es excelente y la estructura del ensayo es_x000a_      lógica y persuasiva. El lenguaje es el de un profesional que ya está_x000a_      pensando en el mercado laboral. _x000a_ _x000a_ Oportunidad_x000a_     de Mejora: _x000a_ _x000a_  En este_x000a_      caso, la única &quot;oportunidad de mejora&quot; no es una corrección,_x000a_      sino una invitación: te reto a que, a lo largo del semestre, intentes_x000a_      aplicar al menos una de estas técnicas avanzadas que mencionaste (como un_x000a_      pequeño web scraper o una simulación simple) en el proyecto final._x000a_      Has puesto el listón alto; ahora el desafío es traducirlo a código. _x000a_  Conclusión: _x000a_Has captado la visión del curso desde el día uno. Este es precisamente el_x000a_perfil de profesional que buscamos formar en la EICEA: analítico, estratégico y_x000a_tecnológicamente competente. Excelente trabajo."/>
    <n v="50"/>
    <n v="50"/>
    <n v="1"/>
  </r>
  <r>
    <x v="31"/>
    <s v="Valeria"/>
    <s v="Morales"/>
    <s v="valeriamor@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ensayo. Tu texto es maduro, bien estructurado y demuestra una_x000a_comprensión clara de la ventaja competitiva que Python representa en el_x000a_campo de Economía y Finanzas Internacionales. _x000a_ Puntos_x000a_     Fuertes (20/20 + 15/15): Respondes directamente a las necesidades del_x000a_     mercado financiero: la recopilación, organización y análisis de grandes_x000a_     cantidades de información (Big Data). El concepto de aplicar la_x000a_     programación para que los temas &quot;no se queden únicamente en la_x000a_     teoría&quot; es un reflejo directo del enfoque de nuestro curso. _x000a_ Oportunidad_x000a_     de Mejora (-1 punto por formalidad): El texto es casi impecable. Solo_x000a_     como recomendación para trabajos futuros, siempre intenta mencionar una o_x000a_     dos herramientas clave (ej. Pandas para manejo de datos o NumPy_x000a_     para cálculos matriciales) cuando hables de análisis, lo que eleva la_x000a_     profundidad técnica de tu argumento.  Conclusión: _x000a_Tu perspectiva como futura profesional en Finanzas es clara y ambiciosa. Tienes_x000a_la motivación correcta para lograr la excelencia en este curso. Sigamos_x000a_enfocados en transformar esta visión en código funcional. ¡Adelante!"/>
    <n v="50"/>
    <n v="50"/>
    <n v="1"/>
  </r>
  <r>
    <x v="32"/>
    <s v="Samantha"/>
    <s v="Vanegas Russi"/>
    <s v="samanthavaru@unisabana.edu.co"/>
    <x v="8"/>
    <d v="2026-02-03T00:00:00"/>
    <x v="4"/>
    <s v="Devuelta"/>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45/50  Comentarios: _x000a_El ensayo es claro, bien estructurado y demuestra una comprensión sólida de la_x000a_relevancia de Python en su campo. Cumple con la extensión requerida y la_x000a_redacción es fluida. _x000a_ Puntos_x000a_     Fuertes (Criterios 1 y 2): Resaltas acertadamente la necesidad de_x000a_     tomar decisiones &quot;basadas en datos&quot; y mencionas la_x000a_     automatización de &quot;tareas repetitivas&quot; en logística. Esta es la_x000a_     esencia de la Autogestión que buscamos desarrollar: eficiencia a_x000a_     través de la tecnología. _x000a_ Oportunidad_x000a_     de Mejora (Criterio 2): Al igual que tu compañero, la argumentación es_x000a_     fuerte en el &quot;qué&quot; (optimizar rutas, analizar datos), pero aún_x000a_     le falta un pequeño paso al &quot;cómo técnico&quot;. La próxima vez,_x000a_     intenta vincular tu idea con una herramienta concreta que vamos a usar._x000a_     Por ejemplo: “En lugar de solo planificar rutas, Python nos permitirá_x000a_     usar modelos de optimización para encontrar la ruta más barata en_x000a_     tiempo real”. _x000a_ Motivación:_x000a_     Tu conclusión es clave: No buscas ser ingeniero, buscas adquirir una competencia_x000a_     digital que te hará destacar como profesional en Administración y_x000a_     Logística. ¡Esa es la visión estratégica correcta para este curso! Sigue así. Estás en la ruta correcta para lograr la_x000a_Autogestión técnica y el éxito profesional."/>
    <n v="45"/>
    <n v="50"/>
    <n v="0.9"/>
  </r>
  <r>
    <x v="33"/>
    <s v="Cristobal"/>
    <s v="Robayo Jimenez"/>
    <s v="cristobalroji@unisabana.edu.co"/>
    <x v="8"/>
    <d v="2026-02-03T00:00:00"/>
    <x v="4"/>
    <s v="Devuelta"/>
    <m/>
    <n v="0"/>
    <n v="50"/>
    <n v="0"/>
  </r>
  <r>
    <x v="34"/>
    <s v="Juan Jose"/>
    <s v="Caballero Mantilla"/>
    <s v="juancabma@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7/50  Comentarios: _x000a_Excelente enfoque. Has tocado un punto crítico en la Logística Internacional:_x000a_la &quot;reducción del margen de error&quot;. _x000a_ Puntos_x000a_     Fuertes: Identificas con claridad que Python no es solo para crear_x000a_     software, sino para automatizar tareas operativas (inventarios,_x000a_     seguimiento de envíos). Esa visión de eficiencia es exactamente lo que_x000a_     buscamos en la competencia de Autogestión y en la toma de decisiones. _x000a_ Oportunidad_x000a_     de Mejora: Mencionas el &quot;análisis de costos&quot;. En las_x000a_     próximas semanas, cuando veamos variables y operaciones matemáticas, te_x000a_     reto a que pienses cómo traducirías una fórmula de costos de transporte en_x000a_     una función de Python. Pasar del concepto a la ejecución es el siguiente_x000a_     paso.  Conclusión: _x000a_Tienes clara la utilidad de la herramienta para tu perfil profesional. Ahora es_x000a_momento de perderle el miedo al código y empezar a construir esos scripts de_x000a_automatización."/>
    <n v="47"/>
    <n v="50"/>
    <n v="0.94"/>
  </r>
  <r>
    <x v="35"/>
    <s v="Daniel Camilo"/>
    <s v="Lopez Piraquive"/>
    <s v="danielloppi@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5/50  Comentarios: _x000a_Excelente análisis, Daniel. Tu ensayo demuestra una comprensión clara del valor_x000a_estratégico que tiene la programación en el campo de la Economía y las Finanzas_x000a_Internacionales. _x000a_ Puntos_x000a_     Fuertes: Has conectado de manera muy efectiva la habilidad técnica con_x000a_     el resultado profesional: una ventaja competitiva en el mercado laboral y_x000a_     una mejor remuneración. Tu redacción es impecable y la estructura del_x000a_     ensayo es lógica y coherente. _x000a_ Oportunidad_x000a_     de Mejora: El argumento es sólido, pero para alcanzar la excelencia,_x000a_     te animo a profundizar en ejemplos más concretos. Por ejemplo, en lugar de_x000a_     decir &quot;analizar el comercio internacional&quot;, podrías visualizar_x000a_     una tarea como &quot;crear un script que descargue automáticamente los_x000a_     datos de la balanza comercial y genere un pronóstico de_x000a_     exportaciones&quot;. La clave está en pasar de la idea general a la_x000a_     aplicación específica.  Conclusión: _x000a_Has identificado perfectamente el &quot;qué&quot; (analizar datos) y el_x000a_&quot;porqué&quot; (ser más competitivo). Este semestre, nuestro objetivo será_x000a_darte las herramientas para dominar el &quot;cómo&quot;. ¡Muy buen trabajo!"/>
    <n v="45"/>
    <n v="50"/>
    <n v="0.9"/>
  </r>
  <r>
    <x v="36"/>
    <s v="Gabriela"/>
    <s v="Ruiz Perez"/>
    <s v="gabrielarupe@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38/50  Comentarios: _x000a_Aprecio tu esfuerzo por encontrar la utilidad de Python en una carrera poco_x000a_tradicional para la programación. Partes de una premisa acertada: la_x000a_Gastronomía es un negocio, y todo negocio se beneficia de la eficiencia. _x000a_ Puntos_x000a_     Fuertes (18/20 en Conexión): Logras identificar áreas clave como costos,_x000a_     inventarios y preferencias de clientes. Estos son problemas_x000a_     de optimización y datos perfectos para Python. _x000a_ Oportunidad_x000a_     de Mejora (10/15 en Profundidad): La argumentación es correcta, pero_x000a_     se queda en la superficie. Para la próxima entrega, debes explicar cómo_x000a_     Python mejora esto. Por ejemplo: ¿Cómo podría Python predecir la demanda_x000a_     de un plato (reduciendo desperdicio de inventario)? ¿O cómo optimizaría la_x000a_     rotación del personal en la cocina según el flujo de pedidos? Se espera_x000a_     una justificación más profunda sobre el rol de la data y la automatización_x000a_     en el sector. _x000a_ Redacción_x000a_     (7/10): Hay errores menores de ortografía (ej. &quot;Phyton&quot; por_x000a_     &quot;Python&quot;) y fallas en la cohesión de las frases que restan_x000a_     claridad. Es su responsabilidad revisar el texto.  Conclusión: _x000a_El ensayo demuestra el potencial de aplicación, lo cual es positivo. Sin_x000a_embargo, para cumplir con el estándar de rigurosidad del curso, necesitas_x000a_elevar el nivel de la justificación (el porqué técnico) y asegurar la_x000a_pulcritud en la redacción. ¡Utiliza esta experiencia para mejorar en la próxima_x000a_entrega!"/>
    <n v="38"/>
    <n v="50"/>
    <n v="0.76"/>
  </r>
  <r>
    <x v="37"/>
    <s v="Juan Sebastian"/>
    <s v="Perdomo Herrera"/>
    <s v="juanperhe@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8/50  Comentarios: _x000a_Excelente trabajo. Tu ensayo demuestra una profunda comprensión de cómo el_x000a_pensamiento algorítmico trasciende los límites disciplinares. Aunque tu carrera_x000a_no es de Economía o Administración, lograste integrar el valor de Python a la_x000a_perfección en un campo altamente creativo. _x000a_ Puntos_x000a_     Fuertes: La conexión entre el pensamiento lógico (necesario para_x000a_     ajustar recetas y optimizar tiempos) y el manejo de datos para la reducción_x000a_     de desperdicios y el control de costos es un argumento de gran_x000a_     valor económico y logístico, aplicable a cualquier emprendimiento_x000a_     culinario. Muestras visión al tocar el tema de la innovación y la_x000a_     gastronomía molecular. _x000a_ Oportunidad_x000a_     de Mejora: Para futuros trabajos, te sugiero nombrar una librería o_x000a_     una técnica específica. Por ejemplo, en &quot;análisis de ventas&quot;,_x000a_     podrías mencionar la necesidad de usar Pandas para analizar_x000a_     tendencias de consumo. Darle un toque técnico al argumento lo hace_x000a_     irrefutable.  Conclusión: _x000a_Este tipo de pensamiento es el que buscamos en el curso: usar la programación_x000a_como una herramienta para optimizar cualquier proceso. Tu enfoque en la gestión_x000a_y la rentabilidad es impecable. ¡Felicidades por la calidad del análisis!"/>
    <n v="48"/>
    <n v="50"/>
    <n v="0.96"/>
  </r>
  <r>
    <x v="38"/>
    <s v="Martin Martin"/>
    <s v="Trujillo Rodriguez"/>
    <s v="martintrro@unisabana.edu.co"/>
    <x v="8"/>
    <d v="2026-02-03T00:00:00"/>
    <x v="4"/>
    <s v="Devuelta"/>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41/50  Comentarios: _x000a_Aprecio el esfuerzo por conectar la programación con un campo tan creativo como_x000a_la gastronomía. Tu perspectiva es interesante y apunta a áreas clave de_x000a_optimización en la industria alimenticia. _x000a_ Puntos_x000a_     Fuertes: Identificaste correctamente la automatización de procesos_x000a_     (pedidos a cocina sin comanda) y la eficiencia del servicio (ejemplo_x000a_     McDonald’s). El argumento de la carta virtual es válido y se_x000a_     conecta con el front-end de un software. _x000a_ Oportunidad_x000a_     de Mejora: La argumentación se queda en la capa de la automatización_x000a_     de servicio, pero no profundiza en el valor analítico que Python_x000a_     ofrece. Para alcanzar la excelencia, debes pensar en: _x000a_ _x000a_  Inventario_x000a_      y Pérdidas: ¿Cómo usaría Python para predecir la demanda de_x000a_      ingredientes y minimizar el desperdicio (costo)? _x000a_  Calidad_x000a_      y Datos: ¿Cómo usaría Python para analizar la temperatura de cocción_x000a_      histórica y asegurar la consistencia del sabor? _x000a_  Análisis_x000a_      Sensorial: ¿Cómo procesaría encuestas de satisfacción o datos de_x000a_      ventas para optimizar el menú? _x000a_ Tu ensayo tiene un gran componente de Gestión de_x000a_Servicios. Te reto a integrar el componente de Gestión de Datos en_x000a_la próxima entrega.  Conclusión: _x000a_Buen inicio. Reconoces la necesidad de la tecnología. Ahora, vamos a programar_x000a_para que el código te dé la ventaja competitiva en la cocina y en la_x000a_administración del negocio."/>
    <n v="41"/>
    <n v="50"/>
    <n v="0.82"/>
  </r>
  <r>
    <x v="39"/>
    <s v="Alan David"/>
    <s v="Rossoff Vanegas"/>
    <s v="alanrova@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4/50  Comentarios: _x000a_Excelente enfoque. Tu ensayo demuestra una comprensión clara del valor_x000a_estratégico de Python, especialmente en el ámbito de las Finanzas_x000a_Internacionales y la Econometría. _x000a_ Puntos_x000a_     Fuertes: La mención explícita de temas avanzados como series de_x000a_     tiempo, modelos ARIMA/VAR y el trabajo con índices bursátiles (SYP500,_x000a_     COLCAP) muestra que has investigado la aplicación directa y de alto_x000a_     valor de Python en tu énfasis. Es un argumento fuerte y técnico. _x000a_ Oportunidad_x000a_     de Mejora: La redacción es fluida, pero faltó un desarrollo más_x000a_     profundo en la sección de &quot;análisis de mercados financieros&quot;._x000a_     ¿Qué librerías (ej. yfinance, Pandas) harían posible_x000a_     descargar, limpiar y analizar las tasas de cambio o los precios de las_x000a_     acciones? La próxima vez, intenta vincular el problema real (el modelo)_x000a_     con la herramienta técnica (el módulo/librería de Python). Asegúrate_x000a_     también de revisar la ortografía para un 50/50.  Conclusión: _x000a_Tu visión sobre la relevancia de Python en Finanzas Internacionales es muy_x000a_acertada y se alinea perfectamente con los objetivos del Departamento de_x000a_Economía. El futuro analista financiero ya no puede depender solo de R o Stata;_x000a_la flexibilidad de Python es clave para la innovación. ¡Continúa con este nivel_x000a_de profundidad!"/>
    <n v="44"/>
    <n v="50"/>
    <n v="0.88"/>
  </r>
  <r>
    <x v="40"/>
    <s v="Diego Alejandro"/>
    <s v="Hermida Limas"/>
    <s v="diegoherli@unisabana.edu.co"/>
    <x v="8"/>
    <d v="2026-02-03T00:00:00"/>
    <x v="4"/>
    <s v="Devuelta"/>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trabajo. Este ensayo es un ejemplo claro de cómo conectar la teoría_x000a_académica con la aplicación práctica y estratégica en el entorno empresarial_x000a_actual. _x000a_ Puntos_x000a_     Fuertes: _x000a_ _x000a_  Argumento_x000a_      Estratégico: No solo enumeras tareas, sino que argumentas el valor de_x000a_      la automatización y la optimización como una ventaja_x000a_      competitiva, lo cual es un nivel de análisis superior. _x000a_  Estructura_x000a_      y Claridad: La redacción es profesional, el ensayo está perfectamente_x000a_      estructurado y los argumentos fluyen de manera lógica y convincente. _x000a_  Integridad_x000a_      Académica: La inclusión de referencias, y en particular la cita_x000a_      explícita a la IA como herramienta de apoyo, demuestra una excelente_x000a_      comprensión del uso responsable de la tecnología y una notable honestidad_x000a_      intelectual. _x000a_ _x000a_ Próximo_x000a_     Desafío Intelectual: _x000a_ _x000a_  Has_x000a_      identificado brillantemente el &quot;qué&quot; y el &quot;porqué&quot;._x000a_      El siguiente paso en tu desarrollo será pensar en el &quot;con qué&quot;._x000a_      Cuando hablas de &quot;previsión de la demanda&quot;, empieza a_x000a_      preguntarte: ¿qué datos necesitaría (ventas históricas, estacionalidad,_x000a_      datos macroeconómicos)? ¿Qué librería de Python podría usar (como Prophet_x000a_      o Scikit-learn)? _x000a_  Conclusión: _x000a_Has establecido un estándar muy alto para el curso. Estoy seguro de que_x000a_transformarás esta visión estratégica en código funcional a lo largo del_x000a_semestre. ¡Felicidades!"/>
    <n v="50"/>
    <n v="50"/>
    <n v="1"/>
  </r>
  <r>
    <x v="0"/>
    <s v="Paula Andrea"/>
    <s v="Arciniegas Cardenas"/>
    <s v="paulaarcca@unisabana.edu.co"/>
    <x v="9"/>
    <d v="2026-01-28T00:00:00"/>
    <x v="2"/>
    <s v="Devuelta"/>
    <m/>
    <n v="50"/>
    <n v="50"/>
    <n v="1"/>
  </r>
  <r>
    <x v="1"/>
    <s v="Sofia"/>
    <s v="Giraldo Pico"/>
    <s v="sofiagipi@unisabana.edu.co"/>
    <x v="9"/>
    <d v="2026-01-28T00:00:00"/>
    <x v="2"/>
    <s v="Devuelta"/>
    <m/>
    <n v="50"/>
    <n v="50"/>
    <n v="1"/>
  </r>
  <r>
    <x v="2"/>
    <s v="Valery"/>
    <s v="Linares Hernandez"/>
    <s v="valerylihe@unisabana.edu.co"/>
    <x v="9"/>
    <d v="2026-01-28T00:00:00"/>
    <x v="2"/>
    <s v="Devuelta"/>
    <m/>
    <n v="50"/>
    <n v="50"/>
    <n v="1"/>
  </r>
  <r>
    <x v="3"/>
    <s v="Nicolas"/>
    <s v="Torres Calderon"/>
    <s v="nicolastorca@unisabana.edu.co"/>
    <x v="9"/>
    <d v="2026-01-28T00:00:00"/>
    <x v="2"/>
    <s v="Devuelta"/>
    <m/>
    <n v="50"/>
    <n v="50"/>
    <n v="1"/>
  </r>
  <r>
    <x v="4"/>
    <s v="Cristian"/>
    <s v="Bermudez"/>
    <s v="cristianbe@unisabana.edu.co"/>
    <x v="9"/>
    <d v="2026-01-28T00:00:00"/>
    <x v="2"/>
    <s v="Devuelta"/>
    <m/>
    <n v="50"/>
    <n v="50"/>
    <n v="1"/>
  </r>
  <r>
    <x v="5"/>
    <s v="Mariana"/>
    <s v="Carmona Romero"/>
    <s v="marianacarrom@unisabana.edu.co"/>
    <x v="9"/>
    <d v="2026-01-28T00:00:00"/>
    <x v="2"/>
    <s v="Devuelta"/>
    <m/>
    <n v="50"/>
    <n v="50"/>
    <n v="1"/>
  </r>
  <r>
    <x v="6"/>
    <s v="Mariana"/>
    <s v="Pena Rodriguez"/>
    <s v="marianapero@unisabana.edu.co"/>
    <x v="9"/>
    <d v="2026-01-28T00:00:00"/>
    <x v="2"/>
    <s v="Devuelta"/>
    <m/>
    <n v="50"/>
    <n v="50"/>
    <n v="1"/>
  </r>
  <r>
    <x v="7"/>
    <s v="Isabella"/>
    <s v="Carranza Tapiero"/>
    <s v="isabellacata@unisabana.edu.co"/>
    <x v="9"/>
    <d v="2026-01-28T00:00:00"/>
    <x v="2"/>
    <s v="Devuelta"/>
    <m/>
    <n v="50"/>
    <n v="50"/>
    <n v="1"/>
  </r>
  <r>
    <x v="8"/>
    <s v="Samuel David"/>
    <s v="Lozano Holguin"/>
    <s v="samuelloho@unisabana.edu.co"/>
    <x v="9"/>
    <d v="2026-01-28T00:00:00"/>
    <x v="2"/>
    <s v="Devuelta"/>
    <m/>
    <n v="50"/>
    <n v="50"/>
    <n v="1"/>
  </r>
  <r>
    <x v="9"/>
    <s v="Sebastian"/>
    <s v="Vanoy Gutierrez"/>
    <s v="sebastianvagu@unisabana.edu.co"/>
    <x v="9"/>
    <d v="2026-01-28T00:00:00"/>
    <x v="2"/>
    <s v="Devuelta"/>
    <m/>
    <n v="50"/>
    <n v="50"/>
    <n v="1"/>
  </r>
  <r>
    <x v="10"/>
    <s v="Jose Daniel"/>
    <s v="Escobar Hurtado"/>
    <s v="joseeshu@unisabana.edu.co"/>
    <x v="9"/>
    <d v="2026-01-28T00:00:00"/>
    <x v="2"/>
    <s v="Devuelta"/>
    <m/>
    <n v="50"/>
    <n v="50"/>
    <n v="1"/>
  </r>
  <r>
    <x v="11"/>
    <s v="Maria Jose"/>
    <s v="Botero Galviz"/>
    <s v="mariabotga@unisabana.edu.co"/>
    <x v="9"/>
    <d v="2026-01-28T00:00:00"/>
    <x v="2"/>
    <s v="Devuelta"/>
    <m/>
    <n v="50"/>
    <n v="50"/>
    <n v="1"/>
  </r>
  <r>
    <x v="12"/>
    <s v="Maria Juliana"/>
    <s v="Mejia Quintero"/>
    <s v="mariamequ@unisabana.edu.co"/>
    <x v="9"/>
    <d v="2026-01-28T00:00:00"/>
    <x v="2"/>
    <s v="Devuelta"/>
    <m/>
    <n v="50"/>
    <n v="50"/>
    <n v="1"/>
  </r>
  <r>
    <x v="13"/>
    <s v="Alejandra"/>
    <s v="Leon Vargas"/>
    <s v="alejandraleva@unisabana.edu.co"/>
    <x v="9"/>
    <d v="2026-01-28T00:00:00"/>
    <x v="2"/>
    <s v="Devuelta"/>
    <m/>
    <n v="50"/>
    <n v="50"/>
    <n v="1"/>
  </r>
  <r>
    <x v="14"/>
    <s v="Alessandro Di Mauro"/>
    <s v="Bonilla Correa"/>
    <s v="alessandroboco@unisabana.edu.co"/>
    <x v="9"/>
    <d v="2026-01-28T00:00:00"/>
    <x v="2"/>
    <s v="Devuelta"/>
    <m/>
    <n v="50"/>
    <n v="50"/>
    <n v="1"/>
  </r>
  <r>
    <x v="15"/>
    <s v="Arianne Mariana"/>
    <s v="Amorocho Quiroga"/>
    <s v="arianneamqu@unisabana.edu.co"/>
    <x v="9"/>
    <d v="2026-01-28T00:00:00"/>
    <x v="2"/>
    <s v="Devuelta"/>
    <m/>
    <n v="50"/>
    <n v="50"/>
    <n v="1"/>
  </r>
  <r>
    <x v="16"/>
    <s v="Maria Juliana"/>
    <s v="Herrera Pulido"/>
    <s v="mariahepu@unisabana.edu.co"/>
    <x v="9"/>
    <d v="2026-01-28T00:00:00"/>
    <x v="2"/>
    <s v="Devuelta"/>
    <m/>
    <n v="50"/>
    <n v="50"/>
    <n v="1"/>
  </r>
  <r>
    <x v="17"/>
    <s v="Simon Gustavo"/>
    <s v="Restrepo Alvarez"/>
    <s v="simonreal@unisabana.edu.co"/>
    <x v="9"/>
    <d v="2026-01-28T00:00:00"/>
    <x v="2"/>
    <s v="Devuelta"/>
    <m/>
    <n v="50"/>
    <n v="50"/>
    <n v="1"/>
  </r>
  <r>
    <x v="18"/>
    <s v="Daniel Felipe"/>
    <s v="Camacho Pedraza"/>
    <s v="danielcampe@unisabana.edu.co"/>
    <x v="9"/>
    <d v="2026-01-28T00:00:00"/>
    <x v="2"/>
    <s v="Devuelta"/>
    <m/>
    <n v="50"/>
    <n v="50"/>
    <n v="1"/>
  </r>
  <r>
    <x v="19"/>
    <s v="Mateo"/>
    <s v="Perez Daza"/>
    <s v="mateopeda@unisabana.edu.co"/>
    <x v="9"/>
    <d v="2026-01-28T00:00:00"/>
    <x v="2"/>
    <s v="Devuelta"/>
    <m/>
    <n v="50"/>
    <n v="50"/>
    <n v="1"/>
  </r>
  <r>
    <x v="20"/>
    <s v="Matias"/>
    <s v="Mondragon Osorio"/>
    <s v="matiasmoos@unisabana.edu.co"/>
    <x v="9"/>
    <d v="2026-01-28T00:00:00"/>
    <x v="2"/>
    <s v="Devuelta"/>
    <m/>
    <n v="50"/>
    <n v="50"/>
    <n v="1"/>
  </r>
  <r>
    <x v="21"/>
    <s v="Juan David"/>
    <s v="Neuta Medina"/>
    <s v="juanneme@unisabana.edu.co"/>
    <x v="9"/>
    <d v="2026-01-28T00:00:00"/>
    <x v="2"/>
    <s v="Devuelta"/>
    <m/>
    <n v="50"/>
    <n v="50"/>
    <n v="1"/>
  </r>
  <r>
    <x v="22"/>
    <s v="Laura Fernanda"/>
    <s v="Lopez Parra"/>
    <s v="lauraloppa@unisabana.edu.co"/>
    <x v="9"/>
    <d v="2026-01-28T00:00:00"/>
    <x v="2"/>
    <s v="Devuelta"/>
    <m/>
    <n v="50"/>
    <n v="50"/>
    <n v="1"/>
  </r>
  <r>
    <x v="23"/>
    <s v="Lukas"/>
    <s v="Blanco Llanes"/>
    <s v="lukasblll@unisabana.edu.co"/>
    <x v="9"/>
    <d v="2026-01-28T00:00:00"/>
    <x v="2"/>
    <s v="Devuelta"/>
    <m/>
    <n v="50"/>
    <n v="50"/>
    <n v="1"/>
  </r>
  <r>
    <x v="24"/>
    <s v="Juan Sebastian"/>
    <s v="Salas Hinojosa"/>
    <s v="juansahi@unisabana.edu.co"/>
    <x v="9"/>
    <d v="2026-01-28T00:00:00"/>
    <x v="2"/>
    <s v="Devuelta"/>
    <m/>
    <n v="50"/>
    <n v="50"/>
    <n v="1"/>
  </r>
  <r>
    <x v="25"/>
    <s v="Avril Avril"/>
    <s v="Ariza Quitian"/>
    <s v="avrilarqu@unisabana.edu.co"/>
    <x v="9"/>
    <d v="2026-01-28T00:00:00"/>
    <x v="2"/>
    <s v="Devuelta"/>
    <m/>
    <n v="50"/>
    <n v="50"/>
    <n v="1"/>
  </r>
  <r>
    <x v="26"/>
    <s v="Samuel David"/>
    <s v="Simancas Contreras"/>
    <s v="samuelsico@unisabana.edu.co"/>
    <x v="9"/>
    <d v="2026-01-28T00:00:00"/>
    <x v="2"/>
    <s v="Devuelta"/>
    <m/>
    <n v="50"/>
    <n v="50"/>
    <n v="1"/>
  </r>
  <r>
    <x v="27"/>
    <s v="Derek Sebastian"/>
    <s v="Quintero Espindola"/>
    <s v="derekques@unisabana.edu.co"/>
    <x v="9"/>
    <d v="2026-01-28T00:00:00"/>
    <x v="2"/>
    <s v="Devuelta"/>
    <m/>
    <n v="50"/>
    <n v="50"/>
    <n v="1"/>
  </r>
  <r>
    <x v="28"/>
    <s v="Maria Jose"/>
    <s v="Huertas Osorio"/>
    <s v="mariahueos@unisabana.edu.co"/>
    <x v="9"/>
    <d v="2026-01-28T00:00:00"/>
    <x v="2"/>
    <s v="Devuelta"/>
    <m/>
    <n v="50"/>
    <n v="50"/>
    <n v="1"/>
  </r>
  <r>
    <x v="29"/>
    <s v="Juan Camilo"/>
    <s v="Leyton Lancheros"/>
    <s v="juanleyla@unisabana.edu.co"/>
    <x v="9"/>
    <d v="2026-01-28T00:00:00"/>
    <x v="2"/>
    <s v="Devuelta"/>
    <m/>
    <n v="50"/>
    <n v="50"/>
    <n v="1"/>
  </r>
  <r>
    <x v="30"/>
    <s v="Samuel Mathias"/>
    <s v="Gonzalez Bernal"/>
    <s v="samuelgonbe@unisabana.edu.co"/>
    <x v="9"/>
    <d v="2026-01-28T00:00:00"/>
    <x v="2"/>
    <s v="Devuelta"/>
    <m/>
    <n v="50"/>
    <n v="50"/>
    <n v="1"/>
  </r>
  <r>
    <x v="31"/>
    <s v="Valeria"/>
    <s v="Morales"/>
    <s v="valeriamor@unisabana.edu.co"/>
    <x v="9"/>
    <d v="2026-01-28T00:00:00"/>
    <x v="2"/>
    <s v="Devuelta"/>
    <m/>
    <n v="50"/>
    <n v="50"/>
    <n v="1"/>
  </r>
  <r>
    <x v="32"/>
    <s v="Samantha"/>
    <s v="Vanegas Russi"/>
    <s v="samanthavaru@unisabana.edu.co"/>
    <x v="9"/>
    <d v="2026-01-28T00:00:00"/>
    <x v="2"/>
    <s v="Devuelta"/>
    <m/>
    <n v="50"/>
    <n v="50"/>
    <n v="1"/>
  </r>
  <r>
    <x v="33"/>
    <s v="Cristobal"/>
    <s v="Robayo Jimenez"/>
    <s v="cristobalroji@unisabana.edu.co"/>
    <x v="9"/>
    <d v="2026-01-28T00:00:00"/>
    <x v="2"/>
    <s v="Devuelta"/>
    <m/>
    <n v="50"/>
    <n v="50"/>
    <n v="1"/>
  </r>
  <r>
    <x v="34"/>
    <s v="Juan Jose"/>
    <s v="Caballero Mantilla"/>
    <s v="juancabma@unisabana.edu.co"/>
    <x v="9"/>
    <d v="2026-01-28T00:00:00"/>
    <x v="2"/>
    <s v="Devuelta"/>
    <m/>
    <n v="50"/>
    <n v="50"/>
    <n v="1"/>
  </r>
  <r>
    <x v="35"/>
    <s v="Daniel Camilo"/>
    <s v="Lopez Piraquive"/>
    <s v="danielloppi@unisabana.edu.co"/>
    <x v="9"/>
    <d v="2026-01-28T00:00:00"/>
    <x v="2"/>
    <s v="Devuelta"/>
    <m/>
    <n v="50"/>
    <n v="50"/>
    <n v="1"/>
  </r>
  <r>
    <x v="36"/>
    <s v="Gabriela"/>
    <s v="Ruiz Perez"/>
    <s v="gabrielarupe@unisabana.edu.co"/>
    <x v="9"/>
    <d v="2026-01-28T00:00:00"/>
    <x v="2"/>
    <s v="Devuelta"/>
    <m/>
    <n v="50"/>
    <n v="50"/>
    <n v="1"/>
  </r>
  <r>
    <x v="37"/>
    <s v="Juan Sebastian"/>
    <s v="Perdomo Herrera"/>
    <s v="juanperhe@unisabana.edu.co"/>
    <x v="9"/>
    <d v="2026-01-28T00:00:00"/>
    <x v="2"/>
    <s v="Devuelta"/>
    <m/>
    <n v="50"/>
    <n v="50"/>
    <n v="1"/>
  </r>
  <r>
    <x v="38"/>
    <s v="Martin Martin"/>
    <s v="Trujillo Rodriguez"/>
    <s v="martintrro@unisabana.edu.co"/>
    <x v="9"/>
    <d v="2026-01-28T00:00:00"/>
    <x v="2"/>
    <s v="Devuelta"/>
    <m/>
    <n v="50"/>
    <n v="50"/>
    <n v="1"/>
  </r>
  <r>
    <x v="39"/>
    <s v="Alan David"/>
    <s v="Rossoff Vanegas"/>
    <s v="alanrova@unisabana.edu.co"/>
    <x v="9"/>
    <d v="2026-01-28T00:00:00"/>
    <x v="2"/>
    <s v="Devuelta"/>
    <m/>
    <n v="50"/>
    <n v="50"/>
    <n v="1"/>
  </r>
  <r>
    <x v="40"/>
    <s v="Diego Alejandro"/>
    <s v="Hermida Limas"/>
    <s v="diegoherli@unisabana.edu.co"/>
    <x v="9"/>
    <d v="2026-01-28T00:00:00"/>
    <x v="2"/>
    <s v="Devuelta"/>
    <m/>
    <n v="50"/>
    <n v="5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5">
  <r>
    <x v="0"/>
    <s v="Paula Andrea"/>
    <s v="Arciniegas Cardenas"/>
    <s v="paulaarcca@unisabana.edu.co"/>
    <x v="0"/>
    <d v="2026-04-15T00:00:00"/>
    <x v="0"/>
    <s v="Entregado"/>
    <s v="🚀 Retroalimentación de la Entrega: Parcial Final Corte 2 (50%)Integrantes: Valeria Morales Giraldo, Paula Arciniegas, Isabella Carranza Calificación Final: 4.5 / 5.0 ¡Hola, equipo! He revisado detalladamente su examen parcial. Han logrado integrar de forma muy interesante la limpieza de datos con Pandas y la persistencia en bases de datos relacionales (SQLite). El flujo del programa es lógico y cumple con el objetivo principal de transformar datos &quot;sucios&quot; en información estructurada. Puntos a destacar (Lo excelente):Limpieza y Normalización (Pandas): El manejo que le dieron a los DataFrames fue muy acertado. La separación de las columnas compuestas (cliente_info, empresa_ciudad, producto_info) usando .str.split(expand=True) garantizó la Primera Forma Normal (1NF). Además, la eliminación de la columna redundante edad (3NF) demuestra que entienden los principios de normalización.Migración a SQLite: El uso de df.to_sql() para cargar los DataFrames directamente como tablas en la base de datos es la forma más eficiente de migrar información. La creación manual de las tablas antes de insertar los datos para asegurar los tipos de datos es una excelente práctica.Arquitectura y CRUD (SQL): La creación de la tabla ventas con las Llaves Foráneas (FK) correctas y la ejecución de las operaciones CRUD (INSERT, UPDATE, DELETE) demuestra un buen dominio de SQL. El uso de pd.read_sql() para ejecutar el JOIN y mostrar el resultado como un DataFrame es una forma muy profesional de presentar reportes.Oportunidades de Mejora (Rigor Técnico y Autogestión):Bono de Arquitectura: El enunciado era claro en que para obtener el bono de +1.0 unidad, el proyecto debía estar &quot;modularizado en varios archivos .py (Ej: limpieza.py, base_datos.py, main.py)&quot;. Ustedes entregaron un único archivo .ipynb. Aunque usaron POO (lo cual es excelente), no cumplieron con el requisito de modularización en archivos separados, por lo que no se otorga el bono.Limpieza Incompleta (Sanity Check): En la limpieza de la tabla productos, olvidaron limpiar el signo $ de la columna precio y convertirla a numérico (float o int). Si intentan hacer operaciones matemáticas con esa columna en SQLite, el sistema fallará porque los datos siguen siendo texto ($5000).Manejo de Nulos (NaN): En la tabla productos, la columna stock tenía valores nulos. Su código los rellenó con 0, lo cual es válido, pero olvidaron manejar los nulos en la columna precio (si los hubiera) o en otras columnas críticas antes de exportar.Motivación: Tienen una base técnica y lógica sumamente sólida. Han demostrado que saben cómo estructurar un proyecto de Inteligencia de Negocios desde la extracción de datos hasta la generación de reportes. Para el Corte 3, donde le daremos una Interfaz Gráfica (GUI) a todo este motor lógico, presten especial atención a los detalles de limpieza de datos (como el signo $) y sigan las instrucciones de entrega al pie de la letra. ¡Están haciendo un gran trabajo como futuras CTOs! 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2NF y 3NF.1.51.0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y archivos .py.+ 1.0+ 0.0TOTAL5.04.5 Diego Mauricio Zuluaga RodríguezProfesor - Departamento de EconomíaUniversidad de La Sabana"/>
    <n v="45"/>
    <n v="50"/>
    <n v="0.9"/>
  </r>
  <r>
    <x v="1"/>
    <s v="Sofia"/>
    <s v="Giraldo Pico"/>
    <s v="sofiagipi@unisabana.edu.co"/>
    <x v="0"/>
    <d v="2026-04-15T00:00:00"/>
    <x v="0"/>
    <s v="Entregado"/>
    <s v="☕ Retroalimentación de la_x000a_Entrega: Parcial Final Corte 2  Integrantes: Sofia Giraldo Pico, Valery Linares_x000a_Hernandez.  Calificación Final: 30/50 (Equivalente a 3.0)  Comentarios del Profesor: Hola, equipo. He revisado su proyecto y quiero destacar que,_x000a_desde una perspectiva de ingeniería de software, han entregado una de las_x000a_soluciones más avanzadas y profesionales del curso. La modularización del_x000a_proyecto en archivos .py (datos_sucios.py, limpieza.py, base_datos.py) y el uso_x000a_de Programación Orientada a Objetos para encapsular la lógica de limpieza y las_x000a_operaciones CRUD es una arquitectura de nivel industrial. La clase OrquestadorLimpieza y las clases de MigracionCafeteria_x000a_y OperacionesVentas demuestran un dominio excepcional de los principios de_x000a_diseño de software, separando las responsabilidades de cada componente del_x000a_sistema. La función _reemplazar_tabla_con_llave_primaria para solucionar la_x000a_limitación de to_sql con las Llaves Primarias es una solución brillante y muy_x000a_ingeniosa. Sin embargo, debo ser estricto con las reglas de autogestión_x000a_y cronograma del curso. El parcial fue entregado con más de 2 horas de_x000a_retraso. Como se estableció en el contrato pedagógico y en el enunciado del_x000a_examen, la puntualidad es un requisito innegociable, especialmente en una_x000a_evaluación de esta magnitud. Por este motivo, la calificación máxima posible se_x000a_reduce a 30/50 (3.0), y el bono de arquitectura no puede ser aplicado. Es una lástima que un trabajo técnico tan sobresaliente se_x000a_vea afectado por la gestión del tiempo. Espero que esto sirva como un_x000a_aprendizaje valioso para el Corte 3 y para su futuro profesional, donde cumplir_x000a_con las fechas de entrega es tan importante como la calidad del código. A pesar_x000a_de la penalización, quiero que sepan que su capacidad técnica es de primer_x000a_nivel.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de CSV sucios y exportación de limpios. _x000a_  _x000a_  _x000a_  0.5 _x000a_  _x000a_  _x000a_  0.5 _x000a_  _x000a_ _x000a_ _x000a_  _x000a_  Limpieza y Normalización _x000a_  _x000a_  _x000a_  Manejo de nulos, estandarización y aplicación de 1NF, 2NF,_x000a_  3NF con Pandas. _x000a_  _x000a_  _x000a_  1.5 _x000a_  _x000a_  _x000a_  1.5 _x000a_  _x000a_ _x000a_ _x000a_  _x000a_  Migración a SQLite _x000a_  _x000a_  _x000a_  Creación del archivo .db y carga exitosa de DataFrames. _x000a_  _x000a_  _x000a_  1.0 _x000a_  _x000a_  _x000a_  1.0 _x000a_  _x000a_ _x000a_ _x000a_  _x000a_  Arquitectura y CRUD (SQL) _x000a_  _x000a_  _x000a_  Tabla ventas con PK/FK. Ejecución de INSERT, SELECT_x000a_  (JOIN), UPDATE y DELETE. _x000a_  _x000a_  _x000a_  1.5 _x000a_  _x000a_  _x000a_  1.5 _x000a_  _x000a_ _x000a_ _x000a_  _x000a_  Autogestión y GitHub _x000a_  _x000a_  _x000a_  Repositorio completo, README.md detallado y código_x000a_  documentado. _x000a_  _x000a_  _x000a_  0.5 _x000a_  _x000a_  _x000a_  0.5 _x000a_  _x000a_ _x000a_ _x000a_  _x000a_  Subtotal Técnico _x000a_  _x000a_  _x000a_  _x000a_  5.0 _x000a_  _x000a_  _x000a_  5.0 _x000a_  _x000a_ _x000a_ _x000a_  _x000a_  Penalización por Retraso _x000a_  _x000a_  _x000a_  Entrega extemporánea (2 horas tarde). Calificación máxima_x000a_  se reduce a 3.0. _x000a_  _x000a_  _x000a_  -2.0 _x000a_  _x000a_  _x000a_  -2.0 _x000a_  _x000a_ _x000a_ _x000a_  _x000a_  TOTAL _x000a_  _x000a_  _x000a_  _x000a_  5.0 _x000a_  _x000a_  _x000a_  3.0 _x000a_  _x000a_  Diego Mauricio Zuluaga Rodríguez Profesor - Departamento de Economía Universidad de La Sabana"/>
    <n v="30"/>
    <n v="50"/>
    <n v="0.6"/>
  </r>
  <r>
    <x v="2"/>
    <s v="Valery"/>
    <s v="Linares Hernandez"/>
    <s v="valerylihe@unisabana.edu.co"/>
    <x v="0"/>
    <d v="2026-04-15T00:00:00"/>
    <x v="0"/>
    <s v="Entregado"/>
    <s v="☕ Retroalimentación de la_x000a_Entrega: Parcial Final Corte 2  Integrantes: Sofia Giraldo Pico, Valery Linares_x000a_Hernandez.  Calificación Final: 30/50 (Equivalente a 3.0)  Comentarios del Profesor: Hola, equipo. He revisado su proyecto y quiero destacar que,_x000a_desde una perspectiva de ingeniería de software, han entregado una de las_x000a_soluciones más avanzadas y profesionales del curso. La modularización del_x000a_proyecto en archivos .py (datos_sucios.py, limpieza.py, base_datos.py) y el uso_x000a_de Programación Orientada a Objetos para encapsular la lógica de limpieza y las_x000a_operaciones CRUD es una arquitectura de nivel industrial. La clase OrquestadorLimpieza y las clases de MigracionCafeteria_x000a_y OperacionesVentas demuestran un dominio excepcional de los principios de_x000a_diseño de software, separando las responsabilidades de cada componente del_x000a_sistema. La función _reemplazar_tabla_con_llave_primaria para solucionar la_x000a_limitación de to_sql con las Llaves Primarias es una solución brillante y muy_x000a_ingeniosa. Sin embargo, debo ser estricto con las reglas de autogestión_x000a_y cronograma del curso. El parcial fue entregado con más de 2 horas de_x000a_retraso. Como se estableció en el contrato pedagógico y en el enunciado del_x000a_examen, la puntualidad es un requisito innegociable, especialmente en una_x000a_evaluación de esta magnitud. Por este motivo, la calificación máxima posible se_x000a_reduce a 30/50 (3.0), y el bono de arquitectura no puede ser aplicado. Es una lástima que un trabajo técnico tan sobresaliente se_x000a_vea afectado por la gestión del tiempo. Espero que esto sirva como un_x000a_aprendizaje valioso para el Corte 3 y para su futuro profesional, donde cumplir_x000a_con las fechas de entrega es tan importante como la calidad del código. A pesar_x000a_de la penalización, quiero que sepan que su capacidad técnica es de primer_x000a_nivel.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de CSV sucios y exportación de limpios. _x000a_  _x000a_  _x000a_  0.5 _x000a_  _x000a_  _x000a_  0.5 _x000a_  _x000a_ _x000a_ _x000a_  _x000a_  Limpieza y Normalización _x000a_  _x000a_  _x000a_  Manejo de nulos, estandarización y aplicación de 1NF, 2NF,_x000a_  3NF con Pandas. _x000a_  _x000a_  _x000a_  1.5 _x000a_  _x000a_  _x000a_  1.5 _x000a_  _x000a_ _x000a_ _x000a_  _x000a_  Migración a SQLite _x000a_  _x000a_  _x000a_  Creación del archivo .db y carga exitosa de DataFrames. _x000a_  _x000a_  _x000a_  1.0 _x000a_  _x000a_  _x000a_  1.0 _x000a_  _x000a_ _x000a_ _x000a_  _x000a_  Arquitectura y CRUD (SQL) _x000a_  _x000a_  _x000a_  Tabla ventas con PK/FK. Ejecución de INSERT, SELECT_x000a_  (JOIN), UPDATE y DELETE. _x000a_  _x000a_  _x000a_  1.5 _x000a_  _x000a_  _x000a_  1.5 _x000a_  _x000a_ _x000a_ _x000a_  _x000a_  Autogestión y GitHub _x000a_  _x000a_  _x000a_  Repositorio completo, README.md detallado y código_x000a_  documentado. _x000a_  _x000a_  _x000a_  0.5 _x000a_  _x000a_  _x000a_  0.5 _x000a_  _x000a_ _x000a_ _x000a_  _x000a_  Subtotal Técnico _x000a_  _x000a_  _x000a_  _x000a_  5.0 _x000a_  _x000a_  _x000a_  5.0 _x000a_  _x000a_ _x000a_ _x000a_  _x000a_  Penalización por Retraso _x000a_  _x000a_  _x000a_  Entrega extemporánea (2 horas tarde). Calificación máxima_x000a_  se reduce a 3.0. _x000a_  _x000a_  _x000a_  -2.0 _x000a_  _x000a_  _x000a_  -2.0 _x000a_  _x000a_ _x000a_ _x000a_  _x000a_  TOTAL _x000a_  _x000a_  _x000a_  _x000a_  5.0 _x000a_  _x000a_  _x000a_  3.0 _x000a_  _x000a_  Diego Mauricio Zuluaga Rodríguez Profesor - Departamento de Economía Universidad de La Sabana"/>
    <n v="30"/>
    <n v="50"/>
    <n v="0.6"/>
  </r>
  <r>
    <x v="3"/>
    <s v="Nicolas"/>
    <s v="Torres Calderon"/>
    <s v="nicolastorca@unisabana.edu.co"/>
    <x v="0"/>
    <d v="2026-04-15T00:00:00"/>
    <x v="0"/>
    <s v="Entregado"/>
    <s v="☕ Retroalimentación del Parcial Final - Corte 2: Inteligencia de Negocios  Integrantes: Nicolas Torres Calderon, Juan Camilo Leyton Lancheros, Cristian Bermudez.  Calificación Final: 4.6 / 5.0  ¡Hola, equipo! Espero que se encuentren muy bien. He revisado detalladamente la entrega de su parcial y quiero comenzar felicitándolos por la excelencia técnica demostrada en el procesamiento de los datos. Su dominio de la librería Pandas y la estructuración de la base de datos relacional es de un nivel muy alto, lo cual es fundamental para su formación en la EICEA. En la Fase de Limpieza y Normalización, realizaron un trabajo impecable. Aplicaron correctamente la Primera Forma Normal (1NF) al separar las columnas compuestas y, lo más importante, demostraron entender la Tercera Forma Normal (3NF) al eliminar la columna &quot;edad&quot;, reconociendo que es un dato redundante que se deriva de la fecha de nacimiento. El manejo de valores nulos con &quot;No Registra&quot; y la estandarización de textos con .str.title() le dan un acabado profesional a los datasets. En la Fase de Arquitectura SQL, la creación de la tabla &quot;ventas&quot; fue ejecutada con precisión. Incluyeron correctamente las Llaves Primarias y Foráneas, y no olvidaron activar el PRAGMA foreign_keys = ON, un paso crítico que garantiza que la base de datos realmente proteja la integridad de la información. Las operaciones CRUD (Crear, Leer, Actualizar, Eliminar) funcionan perfectamente, y el reporte con INNER JOIN permite visualizar la información de forma coherente. Sin embargo, como les mencioné desde el inicio del semestre, la Autogestión y el seguimiento estricto de instrucciones son competencias tan importantes como la programación misma. En este punto la calificación debe ser muy estricta para prepararlos para el mundo profesional: Incumplimiento en el formato de entrega: Las instrucciones eran claras al solicitar que la entrega se realizara mediante un vínculo de un repositorio público en GitHub. Subir los archivos directamente a Teams dificulta la auditoría de versiones y el flujo de trabajo colaborativo que estamos practicando. Por esta razón, el puntaje en el criterio de &quot;Autogestión y GitHub&quot; se ha visto penalizado significativamente. Sobre el Bono de Arquitectura: El bono de +1.0 unidad extra exigía dos requisitos obligatorios: modularizar el proyecto en varios archivos .py y utilizar Programación Orientada a Objetos (POO) para encapsular la lógica. Aunque su código en el Notebook es excelente, es un script procedimental y no implementa Clases ni Objetos, por lo cual no es posible otorgar este beneficio adicional. A pesar de estas observaciones sobre el cumplimiento de las reglas de entrega, el contenido técnico de su examen es sobresaliente. Tienen una lógica de programación muy sólida. Si logran combinar ese talento técnico con una atención rigurosa a los detalles administrativos y de despliegue (como el uso de GitHub), serán profesionales imparables. ¡Mucho ánimo para el inicio del Corte 3, donde daremos el salto a las interfaces gráficas y Power BI!  Rúbrica de Calificación Criterio de Evaluación Requisito Técnico Puntaje Máximo Puntaje Obtenido 1. Carga y Exportación Generación de CSV sucios y exportación de limpios. 0.5 0.5 2. Limpieza y Normalización Manejo de nulos, estandarización y aplicación de 1NF, 2NF, 3NF con Pandas. 1.5 1.5 3. Migración a SQLite Creación del archivo .db y carga exitosa de DataFrames con to_sql(). 1.0 1.0 4. Arquitectura y CRUD (SQL) Tabla ventas con PK/FK. Ejecución de INSERT, SELECT (JOIN), UPDATE y DELETE. 1.5 1.5 5. Autogestión y GitHub Repositorio individual en GitHub y README. (No se entregó link de GitHub). 0.5 0.1 Bono de Arquitectura Modularización con POO y archivos .py. (No se aplicó POO ni .py). +1.0 0.0 TOTAL FINAL 5.0 4.6   Diego Mauricio Zuluaga Rodríguez Profesor - Departamento de Economía Universidad de La Sabana"/>
    <n v="46"/>
    <n v="50"/>
    <n v="0.92"/>
  </r>
  <r>
    <x v="4"/>
    <s v="Cristian"/>
    <s v="Bermudez"/>
    <s v="cristianbe@unisabana.edu.co"/>
    <x v="0"/>
    <d v="2026-04-15T00:00:00"/>
    <x v="0"/>
    <s v="Entregado"/>
    <s v="⚠️ Seguimiento: Ausencia de entrega Segundo Examen Parcial - Programación y Decisiones Hola Cristian, espero que te encuentres muy bien. Al_x000a_ revisar la entrega en Teams, noté con preocupación que no registraste el _x000a_vínculo de tu Segundo Examen Parcial el pasado miércoles 15 de abril. Como sabes, este examen representa el 50% de la nota del Corte 2. En nuestro camino hacia la excelencia y la autogestión, el cumplimiento de los cronogramas es un pilar fundamental de tu formación como profesional. Si_x000a_ tuviste algún inconveniente de fuerza mayor o un problema de salud que _x000a_te impidió realizar la entrega o asistir a la sesión, te recuerdo que, _x000a_según el reglamento de la Universidad, debes tramitar la excusa oficial_x000a_ con tu Dirección de Programa en los tiempos establecidos. Una vez _x000a_validada por la Jefatura, podremos revisar tu caso particular. De_x000a_ lo contrario, la plataforma registrará la calificación correspondiente _x000a_según lo estipulado en nuestro contrato pedagógico inicial. No bajes los brazos. El Corte 3_x000a_ inicia este miércoles y es la oportunidad para cerrar el semestre con _x000a_éxito, integrando todo lo aprendido en una solución real con Interfaz _x000a_Gráfica y Power BI. Quedo atento a tus noticias. Atentamente,Diego Mauricio Zuluaga Rodríguez Profesor - Departamento de Economía Universidad de La Sabana"/>
    <n v="0"/>
    <n v="50"/>
    <n v="0"/>
  </r>
  <r>
    <x v="5"/>
    <s v="Mariana"/>
    <s v="Carmona Romero"/>
    <s v="marianacarrom@unisabana.edu.co"/>
    <x v="0"/>
    <d v="2026-04-15T00:00:00"/>
    <x v="0"/>
    <s v="Entregado"/>
    <s v="🏋️‍♀️ Retroalimentación_x000a_de la Entrega: Parcial Final Corte 2  Integrantes: María Juliana Herrera Pulido, Mariana_x000a_Carmona Romero.  Calificación Final: 40/50 (Equivalente a 4.0)  ¡Hola, equipo! He revisado su examen parcial y quiero_x000a_felicitarlas por el esfuerzo y la creatividad al adaptar el problema a un nuevo_x000a_contexto de negocio (Gimnasio FitLife). La arquitectura general del proyecto es_x000a_sólida y demuestra que comprenden la integración entre Pandas, POO y SQLite. En la fase de Limpieza y Normalización, aplicaron_x000a_correctamente la Primera Forma Normal (1NF) al separar las columnas compuestas_x000a_y manejaron bien los valores nulos. La migración a SQLite con to_sql() y la_x000a_creación de la tabla de suscripciones con sus Llaves Foráneas (FK) también fue_x000a_exitosa. La implementación de la clase GestionGym para encapsular las_x000a_operaciones CRUD es una excelente práctica de POO y les permitió organizar el_x000a_código de forma profesional. La consulta con JOIN para el reporte de_x000a_suscripciones es compleja y la resolvieron muy bien, uniendo las tres tablas_x000a_para generar un informe de valor. Sin embargo, debo ser estricto con los requerimientos de Autogestión_x000a_del parcial. El enunciado exigía explícitamente trabajar con los datasets de la_x000a_&quot;Cafetería U. Sabana&quot; para poder auditar el proceso de limpieza de_x000a_forma estandarizada. Al crear sus propios datos, se saltaron una parte_x000a_fundamental de la evaluación que era manejar las inconsistencias específicas de_x000a_los archivos proporcionados. Adicionalmente, el bono de arquitectura requería_x000a_la entrega en archivos .py separados, lo cual no se cumplió. Tienen una base técnica muy fuerte, pero en el mundo_x000a_profesional, seguir las especificaciones del cliente (en este caso, el_x000a_enunciado del parcial) es tan importante como la calidad del código. ¡Sigan_x000a_adelante, están haciendo un gran trabajo, pero no pierdan de vista la_x000a_importancia de la atención al detalle!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y exportación de archivos CSV. _x000a_  _x000a_  _x000a_  0.5 _x000a_  _x000a_  _x000a_  0.0 _x000a_  _x000a_ _x000a_ _x000a_  _x000a_  Limpieza y Normalización _x000a_  _x000a_  _x000a_  Manejo de nulos, estandarización y aplicación de 1NF, 2NF,_x000a_  3NF. _x000a_  _x000a_  _x000a_  1.5 _x000a_  _x000a_  _x000a_  1.0 _x000a_  _x000a_ _x000a_ _x000a_  _x000a_  Migración a SQLite _x000a_  _x000a_  _x000a_  Creación del archivo .db y carga de DataFrames con to_sql(). _x000a_  _x000a_  _x000a_  1.0 _x000a_  _x000a_  _x000a_  1.0 _x000a_  _x000a_ _x000a_ _x000a_  _x000a_  Arquitectura y CRUD (SQL) _x000a_  _x000a_  _x000a_  Tabla suscripciones con PK/FK. Ejecución de INSERT, SELECT_x000a_  (JOIN), UPDATE y DELETE. _x000a_  _x000a_  _x000a_  1.5 _x000a_  _x000a_  _x000a_  1.5 _x000a_  _x000a_ _x000a_ _x000a_  _x000a_  Autogestión y GitHub _x000a_  _x000a_  _x000a_  Repositorio completo, README.md y código documentado. _x000a_  _x000a_  _x000a_  0.5 _x000a_  _x000a_  _x000a_  0.5 _x000a_  _x000a_ _x000a_ _x000a_  _x000a_  Bono de Arquitectura _x000a_  _x000a_  _x000a_  Modularización con POO y archivos .py. _x000a_  _x000a_  _x000a_  +1.0 _x000a_  _x000a_  _x000a_  0.0 _x000a_  _x000a_ _x000a_ _x000a_  _x000a_  TOTAL _x000a_  _x000a_  _x000a_  _x000a_  5.0 _x000a_  _x000a_  _x000a_  4.0 _x000a_  _x000a_  Diego Mauricio Zuluaga Rodríguez Profesor - Departamento de Economía Universidad de La Sabana"/>
    <n v="40"/>
    <n v="50"/>
    <n v="0.8"/>
  </r>
  <r>
    <x v="6"/>
    <s v="Mariana"/>
    <s v="Pena Rodriguez"/>
    <s v="marianapero@unisabana.edu.co"/>
    <x v="0"/>
    <d v="2026-04-15T00:00:00"/>
    <x v="0"/>
    <s v="Entregado"/>
    <s v="🚀 Retroalimentación de la Entrega: Parcial Final Corte 2 (50%) Integrantes: Matías Mondragón Osorio, Arianne Amorocho, Mariana Peña Rodriguez.Calificación Final: 5.0 / 5.0(+0.5 de Bono por Arquitectura POO)¡Hola, equipo! He revisado detalladamente su examen parcial y quiero felicitarlos por el excelente nivel técnico que han alcanzado. Han logrado integrar de manera impecable la limpieza de datos con Pandas, la persistencia en bases de datos relacionales (SQLite) y la Programación Orientada a Objetos.Puntos a destacar (Lo excelente):Limpieza y Normalización (Pandas): El manejo que le dieron a los DataFrames fue muy profesional. La separación de las columnas compuestas (cliente_info, empresa_ciudad, producto_info) usando .str.split(expand=True) garantizó la Primera Forma Normal (1NF). Además, el manejo de nulos con .fillna() y la estandarización de textos (.str.title(), .str.capitalize()) demuestra que entienden que &quot;basura entra, basura sale&quot;. Prepararon los datos perfectamente para la base de datos.Migración a SQLite: El uso de df.to_sql() para cargar los DataFrames directamente como tablas en la base de datos es la forma más eficiente de migrar información. Además, no olvidaron el comando crítico PRAGMA foreign_keys = ON;, lo cual asegura la integridad referencial de su sistema.Bono de Arquitectura (POO): La creación de la clase GestionCafeteria para encapsular las operaciones CRUD es brillante. En lugar de tener funciones sueltas, crearon un objeto que administra la base de datos. Esto les otorga un bono de +0.5 unidad, ya que demuestra un pensamiento arquitectónico avanzado. Faltó el manejo de modularidad con diferentes archivos para lograr el bono completo.Uso de Pandas para Reportes: Me pareció un toque muy innovador (y válido) que en el método ver_reporte_ventas utilizaran pd.read_sql(query, c) para ejecutar el JOIN y mostrar el resultado como un DataFrame formateado en lugar de usar el clásico fetchall() y un ciclo for. Esto demuestra que entienden cómo Pandas y SQL pueden trabajar juntos.Oportunidad de Mejora (Sanity Check):En la limpieza de la tabla productos, olvidaron limpiar el signo $ de la columna precio y convertirla a numérico (float o int). Aunque en este ejercicio específico no les generó un error visible porque SQLite es flexible con los tipos de datos (Tipado Dinámico), en un motor estricto como PostgreSQL o SQL Server, intentar multiplicar un texto ($25000) por una cantidad habría causado un colapso del sistema. Recuerden siempre hacer el casting de los datos financieros.Motivación:Tienen una base técnica y lógica sumamente sólida. Han demostrado que no solo saben escribir código, sino que entienden cómo estructurar un proyecto de Inteligencia de Negocios desde la extracción de datos &quot;sucios&quot; hasta la generación de reportes estructurados. Si mantienen esta disciplina, rigurosidad y atención al detalle, están más que preparados para el Corte 3, donde le daremos una Interfaz Gráfica (GUI) a todo este motor lógico que acaban de construir. ¡Felicitaciones por este gran resultado!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en los DataFrames.1.51.5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para encapsular la lógica de Pandas y SQL.+ 1.0+ 0.5TOTAL5.05.0Diego Mauricio Zuluaga RodríguezProfesor - Departamento de EconomíaUniversidad de La Sabana"/>
    <n v="50"/>
    <n v="50"/>
    <n v="1"/>
  </r>
  <r>
    <x v="7"/>
    <s v="Isabella"/>
    <s v="Carranza Tapiero"/>
    <s v="isabellacata@unisabana.edu.co"/>
    <x v="0"/>
    <d v="2026-04-15T00:00:00"/>
    <x v="0"/>
    <s v="Entregado"/>
    <s v="🚀 Retroalimentación de la_x000a_Entrega: Parcial Final Corte 2 (50%) Integrantes: Valeria Morales Giraldo, Paula_x000a_Arciniegas, Isabella Carranza  Calificación Final: 4.5 / 5.0  ¡Hola, equipo! He revisado detalladamente su examen parcial._x000a_Han logrado integrar de forma muy interesante la limpieza de datos con Pandas y_x000a_la persistencia en bases de datos relacionales (SQLite). El flujo del programa_x000a_es lógico y cumple con el objetivo principal de transformar datos_x000a_&quot;sucios&quot; en información estructurada.  Puntos a destacar (Lo excelente): _x000a_ Limpieza_x000a_     y Normalización (Pandas): El manejo que le dieron a los_x000a_     DataFrames fue muy acertado. La separación de las columnas compuestas_x000a_     (cliente_info, empresa_ciudad, producto_info)_x000a_     usando .str.split(expand=True) garantizó la Primera Forma Normal_x000a_     (1NF). Además, la eliminación de la columna_x000a_     redundante edad (3NF) demuestra que entienden los principios de_x000a_     normalización. _x000a_ Migración_x000a_     a SQLite: El uso de df.to_sql() para cargar los_x000a_     DataFrames directamente como tablas en la base de datos es la forma más_x000a_     eficiente de migrar información. La creación manual de las tablas antes de_x000a_     insertar los datos para asegurar los tipos de datos es una excelente_x000a_     práctica. _x000a_ Arquitectura_x000a_     y CRUD (SQL): La creación de la tabla ventas con las_x000a_     Llaves Foráneas (FK) correctas y la ejecución de las operaciones CRUD_x000a_     (INSERT, UPDATE, DELETE) demuestra un buen dominio de SQL. El uso_x000a_     de pd.read_sql() para ejecutar el JOIN y mostrar el_x000a_     resultado como un DataFrame es una forma muy profesional de presentar_x000a_     reportes. Oportunidades de Mejora (Rigor Técnico y Autogestión): _x000a_ Bono_x000a_     de Arquitectura: El enunciado era claro en que para obtener el_x000a_     bono de +1.0 unidad, el proyecto debía estar &quot;modularizado en varios_x000a_     archivos .py (Ej: limpieza.py, base_datos.py, main.py)&quot;._x000a_     Ustedes entregaron un único archivo .ipynb. Aunque usaron POO (lo_x000a_     cual es excelente), no cumplieron con el requisito de modularización en_x000a_     archivos separados, por lo que no se otorga el bono. _x000a_ Limpieza_x000a_     Incompleta (Sanity Check): En la limpieza de la_x000a_     tabla productos, olvidaron limpiar el signo $ de la_x000a_     columna precio y convertirla a numérico (float o int)._x000a_     Si intentan hacer operaciones matemáticas con esa columna en SQLite, el_x000a_     sistema fallará porque los datos siguen siendo texto ($5000). _x000a_ Manejo_x000a_     de Nulos (NaN): En la tabla productos, la_x000a_     columna stock tenía valores nulos. Su código los rellenó con 0,_x000a_     lo cual es válido, pero olvidaron manejar los nulos en la_x000a_     columna precio (si los hubiera) o en otras columnas críticas_x000a_     antes de exportar. Motivación:  Tienen una base técnica y lógica sumamente sólida. Han_x000a_demostrado que saben cómo estructurar un proyecto de Inteligencia de Negocios_x000a_desde la extracción de datos hasta la generación de reportes. Para el Corte 3,_x000a_donde le daremos una Interfaz Gráfica (GUI) a todo este motor lógico, presten_x000a_especial atención a los detalles de limpieza de datos (como el signo $) y_x000a_sigan las instrucciones de entrega al pie de la letra. ¡Están haciendo un gran_x000a_trabajo como futuras CTOs!  Rúbrica de Calificación _x000a_ _x000a_  _x000a_  Criterio de Evaluación _x000a_  _x000a_  _x000a_  Descripción Técnica _x000a_  _x000a_  _x000a_  Puntaje Máximo _x000a_  _x000a_  _x000a_  Puntaje Obtenido _x000a_  _x000a_ _x000a_ _x000a_  _x000a_  1. Carga y Exportación _x000a_  _x000a_  _x000a_  Generación correcta de los 3 CSV sucios y exportación de_x000a_  los 3 CSV limpios. _x000a_  _x000a_  _x000a_  0.5 _x000a_  _x000a_  _x000a_  0.5 _x000a_  _x000a_ _x000a_ _x000a_  _x000a_  2. Limpieza y Normalización (Pandas) _x000a_  _x000a_  _x000a_  Manejo de nulos, estandarización de textos y aplicación_x000a_  correcta de 1NF, 2NF y 3NF. _x000a_  _x000a_  _x000a_  1.5 _x000a_  _x000a_  _x000a_  1.0 _x000a_  _x000a_ _x000a_ _x000a_  _x000a_  3. Migración a SQLite _x000a_  _x000a_  _x000a_  Creación del archivo .db y carga exitosa de los_x000a_  3 DataFrames limpios como tablas SQL. _x000a_  _x000a_  _x000a_  1.0 _x000a_  _x000a_  _x000a_  1.0 _x000a_  _x000a_ _x000a_ _x000a_  _x000a_  4. Arquitectura y CRUD (SQL) _x000a_  _x000a_  _x000a_  Creación de la tabla ventas con PK/FK válidas._x000a_  Ejecución exitosa de INSERT, SELECT (con JOIN), UPDATE y DELETE. _x000a_  _x000a_  _x000a_  1.5 _x000a_  _x000a_  _x000a_  1.5 _x000a_  _x000a_ _x000a_ _x000a_  _x000a_  5. Autogestión y GitHub _x000a_  _x000a_  _x000a_  Repositorio individual_x000a_  completo, README.md detallado y código documentado. _x000a_  _x000a_  _x000a_  0.5 _x000a_  _x000a_  _x000a_  0.5 _x000a_  _x000a_ _x000a_ _x000a_  _x000a_  🌟 BONO DE ARQUITECTURA _x000a_  _x000a_  _x000a_  Modularización con POO y archivos .py. _x000a_  _x000a_  _x000a_  + 1.0 _x000a_  _x000a_  _x000a_  + 0.0 _x000a_  _x000a_ _x000a_ _x000a_  _x000a_  TOTAL _x000a_  _x000a_  _x000a_  _x000a_  5.0 _x000a_  _x000a_  _x000a_  4.5 _x000a_  _x000a_  Diego Mauricio Zuluaga Rodríguez Profesor - Departamento de Economía Universidad de La Sabana"/>
    <n v="45"/>
    <n v="50"/>
    <n v="0.9"/>
  </r>
  <r>
    <x v="8"/>
    <s v="Samuel David"/>
    <s v="Lozano Holguin"/>
    <s v="samuelloho@unisabana.edu.co"/>
    <x v="0"/>
    <d v="2026-04-15T00:00:00"/>
    <x v="0"/>
    <s v="Entregado"/>
    <s v="☕ Retroalimentación Parcial Corte_x000a_2: Fase de Analítica — Cafetería U. Sabana  Integrantes: Sebastian Vanoy Gutierrez, Samuel David_x000a_Lozano Holguin, Samuel Mathias Gonzalez Bernal.  Calificación Final: 5.0 / 5.0 (Nota obtenida: 5.0 +_x000a_1.0 de Bono = 6.0. Se registra 5.0 según reglamento).  ¡Hola, equipo! Es un gusto saludarlos. He revisado_x000a_minuciosamente su entrega y debo decir que han superado con creces las_x000a_expectativas de este examen parcial. Han demostrado no solo un dominio técnico_x000a_de las herramientas, sino una capacidad de arquitectura de software que es_x000a_propia de profesionales en la industria tecnológica. Su proceso de Limpieza y Normalización con Pandas fue_x000a_impecable. Aplicaron la 1NF separando las columnas compuestas con precisión y,_x000a_lo más importante, identificaron correctamente la redundancia de la 3NF al_x000a_eliminar la columna 'edad', entendiendo que es un dato que depende_x000a_transitivamente de la fecha de nacimiento. El manejo de nulos y la_x000a_estandarización de textos con .str.title() garantizan que la base de datos sea_x000a_confiable para cualquier análisis posterior. En la fase de Arquitectura SQL, quiero destacar una_x000a_práctica de altísimo nivel que implementaron: la definición de esquemas_x000a_explícitos antes de la migración. Muchos estudiantes cometen el error de dejar_x000a_que Pandas cree las tablas automáticamente, lo cual suele omitir las llaves_x000a_primarias (PK). Ustedes se tomaron el trabajo de declarar los esquemas en el_x000a_diccionario _ESQUEMAS, asegurando que las llaves foráneas (FK) en la tabla ventas_x000a_tuvieran una referencia sólida. Esto es ingeniería de datos real. Sobre el Bono de Arquitectura (+1.0), su_x000a_implementación es sobresaliente. Modularizar el proyecto en archivos .py_x000a_independientes (limpieza.py, base_datos.py, generar_datos.py) y orquestarlos_x000a_mediante un main.py es la forma correcta de construir software escalable. El_x000a_uso de Programación Orientada a Objetos para encapsular la lógica de limpieza y_x000a_el uso de Type Hinting (ej. ruta_db: str) en sus métodos demuestra una_x000a_sofisticación técnica admirable. Sigan con ese nivel de rigurosidad y autogestión. Han pasado_x000a_de ser estudiantes que escriben código a ser arquitectos que diseñan_x000a_soluciones. Esta base les permitirá afrontar el Corte 3 y el desarrollo de_x000a_interfaces gráficas con una ventaja competitiva inmensa. ¡Felicitaciones por_x000a_este resultado extraordinario!  📊 RÚBRICA DE EVALUACIÓN _x000a_ _x000a_  _x000a_  Criterio _x000a_  _x000a_  _x000a_  Descripción Técnica _x000a_  _x000a_  _x000a_  Puntaje Máximo _x000a_  _x000a_  _x000a_  Puntaje Obtenido _x000a_  _x000a_ _x000a_ _x000a_  _x000a_  1. Carga y Exportación _x000a_  _x000a_  _x000a_  Generación de CSV sucios y exportación de 3 CSV limpios_x000a_  correctamente. _x000a_  _x000a_  _x000a_  0.5 _x000a_  _x000a_  _x000a_  0.5 _x000a_  _x000a_ _x000a_ _x000a_  _x000a_  2. Limpieza y Normalización _x000a_  _x000a_  _x000a_  Aplicación de 1NF, 2NF y 3NF. Manejo de nulos y tipos de_x000a_  datos en Pandas. _x000a_  _x000a_  _x000a_  1.5 _x000a_  _x000a_  _x000a_  1.5 _x000a_  _x000a_ _x000a_ _x000a_  _x000a_  3. Migración a SQLite _x000a_  _x000a_  _x000a_  Creación de .db y carga de tablas con esquemas explícitos_x000a_  (PK declaradas). _x000a_  _x000a_  _x000a_  1.0 _x000a_  _x000a_  _x000a_  1.0 _x000a_  _x000a_ _x000a_ _x000a_  _x000a_  4. Arquitectura y CRUD _x000a_  _x000a_  _x000a_  Tabla ventas con 3 FK. Ejecución exitosa de INSERT, JOIN,_x000a_  UPDATE y DELETE. _x000a_  _x000a_  _x000a_  1.5 _x000a_  _x000a_  _x000a_  1.5 _x000a_  _x000a_ _x000a_ _x000a_  _x000a_  5. Autogestión y GitHub _x000a_  _x000a_  _x000a_  Repositorio impecable, README profesional y código_x000a_  documentado. _x000a_  _x000a_  _x000a_  0.5 _x000a_  _x000a_  _x000a_  0.5 _x000a_  _x000a_ _x000a_ _x000a_  _x000a_  🌟 BONO POO _x000a_  _x000a_  _x000a_  Modularización en archivos .py y uso avanzado de Clases y_x000a_  Objetos. _x000a_  _x000a_  _x000a_  +1.0 _x000a_  _x000a_  _x000a_  +1.0 _x000a_  _x000a_ _x000a_ _x000a_  _x000a_  TOTAL FINAL _x000a_  _x000a_  _x000a_  _x000a_  5.0 _x000a_  _x000a_  _x000a_  5.0 (+1.0) _x000a_  _x000a_  Diego Mauricio Zuluaga Rodríguez Profesor - Departamento de Economía Universidad de La Sabana"/>
    <n v="50"/>
    <n v="50"/>
    <n v="1"/>
  </r>
  <r>
    <x v="9"/>
    <s v="Sebastian"/>
    <s v="Vanoy Gutierrez"/>
    <s v="sebastianvagu@unisabana.edu.co"/>
    <x v="0"/>
    <d v="2026-04-15T00:00:00"/>
    <x v="0"/>
    <s v="Entregado"/>
    <s v="☕ Retroalimentación Parcial Corte_x000a_2: Fase de Analítica — Cafetería U. Sabana  Integrantes: Sebastian Vanoy Gutierrez, Samuel David_x000a_Lozano Holguin, Samuel Mathias Gonzalez Bernal.  Calificación Final: 5.0 / 5.0 (Nota obtenida: 5.0 +_x000a_1.0 de Bono = 6.0. Se registra 5.0 según reglamento).  ¡Hola, equipo! Es un gusto saludarlos. He revisado_x000a_minuciosamente su entrega y debo decir que han superado con creces las_x000a_expectativas de este examen parcial. Han demostrado no solo un dominio técnico_x000a_de las herramientas, sino una capacidad de arquitectura de software que es_x000a_propia de profesionales en la industria tecnológica. Su proceso de Limpieza y Normalización con Pandas fue_x000a_impecable. Aplicaron la 1NF separando las columnas compuestas con precisión y,_x000a_lo más importante, identificaron correctamente la redundancia de la 3NF al_x000a_eliminar la columna 'edad', entendiendo que es un dato que depende_x000a_transitivamente de la fecha de nacimiento. El manejo de nulos y la_x000a_estandarización de textos con .str.title() garantizan que la base de datos sea_x000a_confiable para cualquier análisis posterior. En la fase de Arquitectura SQL, quiero destacar una_x000a_práctica de altísimo nivel que implementaron: la definición de esquemas_x000a_explícitos antes de la migración. Muchos estudiantes cometen el error de dejar_x000a_que Pandas cree las tablas automáticamente, lo cual suele omitir las llaves_x000a_primarias (PK). Ustedes se tomaron el trabajo de declarar los esquemas en el_x000a_diccionario _ESQUEMAS, asegurando que las llaves foráneas (FK) en la tabla ventas_x000a_tuvieran una referencia sólida. Esto es ingeniería de datos real. Sobre el Bono de Arquitectura (+1.0), su_x000a_implementación es sobresaliente. Modularizar el proyecto en archivos .py_x000a_independientes (limpieza.py, base_datos.py, generar_datos.py) y orquestarlos_x000a_mediante un main.py es la forma correcta de construir software escalable. El_x000a_uso de Programación Orientada a Objetos para encapsular la lógica de limpieza y_x000a_el uso de Type Hinting (ej. ruta_db: str) en sus métodos demuestra una_x000a_sofisticación técnica admirable. Sigan con ese nivel de rigurosidad y autogestión. Han pasado_x000a_de ser estudiantes que escriben código a ser arquitectos que diseñan_x000a_soluciones. Esta base les permitirá afrontar el Corte 3 y el desarrollo de_x000a_interfaces gráficas con una ventaja competitiva inmensa. ¡Felicitaciones por_x000a_este resultado extraordinario!  📊 RÚBRICA DE EVALUACIÓN _x000a_ _x000a_  _x000a_  Criterio _x000a_  _x000a_  _x000a_  Descripción Técnica _x000a_  _x000a_  _x000a_  Puntaje Máximo _x000a_  _x000a_  _x000a_  Puntaje Obtenido _x000a_  _x000a_ _x000a_ _x000a_  _x000a_  1. Carga y Exportación _x000a_  _x000a_  _x000a_  Generación de CSV sucios y exportación de 3 CSV limpios_x000a_  correctamente. _x000a_  _x000a_  _x000a_  0.5 _x000a_  _x000a_  _x000a_  0.5 _x000a_  _x000a_ _x000a_ _x000a_  _x000a_  2. Limpieza y Normalización _x000a_  _x000a_  _x000a_  Aplicación de 1NF, 2NF y 3NF. Manejo de nulos y tipos de_x000a_  datos en Pandas. _x000a_  _x000a_  _x000a_  1.5 _x000a_  _x000a_  _x000a_  1.5 _x000a_  _x000a_ _x000a_ _x000a_  _x000a_  3. Migración a SQLite _x000a_  _x000a_  _x000a_  Creación de .db y carga de tablas con esquemas explícitos_x000a_  (PK declaradas). _x000a_  _x000a_  _x000a_  1.0 _x000a_  _x000a_  _x000a_  1.0 _x000a_  _x000a_ _x000a_ _x000a_  _x000a_  4. Arquitectura y CRUD _x000a_  _x000a_  _x000a_  Tabla ventas con 3 FK. Ejecución exitosa de INSERT, JOIN,_x000a_  UPDATE y DELETE. _x000a_  _x000a_  _x000a_  1.5 _x000a_  _x000a_  _x000a_  1.5 _x000a_  _x000a_ _x000a_ _x000a_  _x000a_  5. Autogestión y GitHub _x000a_  _x000a_  _x000a_  Repositorio impecable, README profesional y código_x000a_  documentado. _x000a_  _x000a_  _x000a_  0.5 _x000a_  _x000a_  _x000a_  0.5 _x000a_  _x000a_ _x000a_ _x000a_  _x000a_  🌟 BONO POO _x000a_  _x000a_  _x000a_  Modularización en archivos .py y uso avanzado de Clases y_x000a_  Objetos. _x000a_  _x000a_  _x000a_  +1.0 _x000a_  _x000a_  _x000a_  +1.0 _x000a_  _x000a_ _x000a_ _x000a_  _x000a_  TOTAL FINAL _x000a_  _x000a_  _x000a_  _x000a_  5.0 _x000a_  _x000a_  _x000a_  5.0 (+1.0) _x000a_  _x000a_  Diego Mauricio Zuluaga Rodríguez Profesor - Departamento de Economía Universidad de La Sabana"/>
    <n v="50"/>
    <n v="50"/>
    <n v="1"/>
  </r>
  <r>
    <x v="10"/>
    <s v="Jose Daniel"/>
    <s v="Escobar Hurtado"/>
    <s v="joseeshu@unisabana.edu.co"/>
    <x v="0"/>
    <d v="2026-04-15T00:00:00"/>
    <x v="0"/>
    <s v="Entregado"/>
    <s v="🚀 Retroalimentación de la_x000a_Entrega: Parcial Final Corte 2  Integrantes: Jose Daniel Escobar Hurtado, Juan David_x000a_Neuta Medina, Laura Fernanda Lopez Parra.  Calificación Final: 45/50 (Equivalente a 4.5)  ¡Hola, equipo! He revisado su examen parcial y quiero_x000a_felicitarlos por el gran esfuerzo y el buen nivel técnico que han demostrado._x000a_Lograron completar el flujo completo de un proyecto de inteligencia de_x000a_negocios, desde la extracción de datos sucios hasta su consolidación en una_x000a_base de datos relacional. En la fase de Limpieza y Normalización con Pandas,_x000a_hicieron un trabajo sólido. Destaco la correcta aplicación de la Primera Forma_x000a_Normal (1NF) al separar las columnas compuestas y el manejo de los valores_x000a_nulos (NaN) con estrategias lógicas como fillna(). La estandarización de los_x000a_textos y la conversión de tipos de datos también fueron ejecutadas_x000a_correctamente. En la fase de Migración y Arquitectura SQL, la_x000a_creación de las tablas y la carga de datos desde los DataFrames limpios fue_x000a_impecable. La estructura de la tabla ventas con sus Llaves Foráneas (FK) es_x000a_correcta y la implementación de las operaciones CRUD (Create, Read, Update,_x000a_Delete) demuestra que comprenden cómo interactuar con una base de datos desde_x000a_Python. Oportunidades de Mejora (Revisión Estricta): _x000a_ Bono_x000a_     de Arquitectura: Aunque el código es funcional, no aplicaron al bono_x000a_     de modularización con POO y archivos .py. La solución se entregó en un_x000a_     solo archivo .ipynb con código secuencial, que si bien es válido, no_x000a_     cumple con el requisito de encapsulamiento avanzado que se pedía para_x000a_     obtener la unidad adicional. _x000a_ Robustez_x000a_     y Manejo de Errores: El código no incluye bloques try-except. Esto_x000a_     significa que si un usuario ingresara un texto en lugar de un número, o si_x000a_     hubiera un error de conexión a la base de datos, el programa colapsaría_x000a_     abruptamente. En un entorno profesional, la gestión de excepciones es_x000a_     fundamental. Motivación: _x000a_Tienen una base técnica muy fuerte y un gran potencial. Este parcial era_x000a_exigente y lograron superarlo con éxito. Para el Corte 3, nuestro enfoque_x000a_estará en las interfaces gráficas (GUI) y la visualización. Les pido que_x000a_presten especial atención a la implementación de try-except para que sus_x000a_aplicaciones no solo sean funcionales, sino también robustas y a prueba de_x000a_errores. ¡Sigan trabajando con el mismo compromiso!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de CSV sucios y exportación de limpios. _x000a_  _x000a_  _x000a_  0.5 _x000a_  _x000a_  _x000a_  0.5 _x000a_  _x000a_ _x000a_ _x000a_  _x000a_  Limpieza y Normalización _x000a_  _x000a_  _x000a_  Manejo de nulos, estandarización y aplicación de 1NF, 2NF,_x000a_  3NF con Pandas. _x000a_  _x000a_  _x000a_  1.5 _x000a_  _x000a_  _x000a_  1.5 _x000a_  _x000a_ _x000a_ _x000a_  _x000a_  Migración a SQLite _x000a_  _x000a_  _x000a_  Creación del archivo .db y carga exitosa de DataFrames con_x000a_  to_sql(). _x000a_  _x000a_  _x000a_  1.0 _x000a_  _x000a_  _x000a_  1.0 _x000a_  _x000a_ _x000a_ _x000a_  _x000a_  Arquitectura y CRUD (SQL) _x000a_  _x000a_  _x000a_  Tabla ventas con PK/FK. Ejecución de INSERT, SELECT_x000a_  (JOIN), UPDATE y DELETE. _x000a_  _x000a_  _x000a_  1.5 _x000a_  _x000a_  _x000a_  1.5 _x000a_  _x000a_ _x000a_ _x000a_  _x000a_  Autogestión y GitHub _x000a_  _x000a_  _x000a_  Repositorio completo, README.md y código documentado. _x000a_  _x000a_  _x000a_  0.5 _x000a_  _x000a_  _x000a_  0.0 _x000a_  _x000a_ _x000a_ _x000a_  _x000a_  Bono de Arquitectura _x000a_  _x000a_  _x000a_  No aplica (No se implementó POO ni archivos .py). _x000a_  _x000a_  _x000a_  +1.0 _x000a_  _x000a_  _x000a_  0.0 _x000a_  _x000a_ _x000a_ _x000a_  _x000a_  TOTAL _x000a_  _x000a_  _x000a_  _x000a_  5.0 _x000a_  _x000a_  _x000a_  4.5 _x000a_  _x000a_  Diego Mauricio Zuluaga Rodríguez Profesor - Departamento de Economía Universidad de La Sabana"/>
    <n v="45"/>
    <n v="50"/>
    <n v="0.9"/>
  </r>
  <r>
    <x v="11"/>
    <s v="Maria Jose"/>
    <s v="Botero Galviz"/>
    <s v="mariabotga@unisabana.edu.co"/>
    <x v="0"/>
    <d v="2026-04-15T00:00:00"/>
    <x v="0"/>
    <s v="Entregado"/>
    <s v="🚀 Retroalimentación de la_x000a_Entrega: Parcial Final Corte 2 (50%)  Integrantes: Maria Juliana Mejia Quintero, Maria Jose_x000a_Botero Galviz.  Calificación Final: 50/50 (Equivalente a 5.0)  ¡Hola, equipo! He revisado detalladamente su examen parcial_x000a_y quiero felicitarlas por el excelente nivel técnico que han demostrado. Han_x000a_logrado integrar de manera impecable la limpieza de datos con Pandas y la_x000a_persistencia en bases de datos relacionales (SQLite), cumpliendo a cabalidad_x000a_con los requerimientos de la prueba.  Puntos a destacar (Lo excelente): _x000a_ Limpieza_x000a_     y Normalización (Pandas): El manejo que le dieron a los DataFrames fue_x000a_     muy profesional. La separación de las columnas compuestas (cliente_info, contacto_info)_x000a_     usando .str.split(expand=True) garantizó la Primera Forma Normal (1NF)._x000a_     Además, la eliminación de las columnas derivadas (ganancia y edad)_x000a_     demuestra que entienden perfectamente la Tercera Forma Normal (3NF). La_x000a_     función limpiar_precio() es una solución muy elegante y robusta para_x000a_     estandarizar los valores monetarios. _x000a_ Migración_x000a_     a SQLite: El enfoque que utilizaron para crear las tablas con PRIMARY_x000a_     KEY explícita mediante SQL puro antes de usar df.to_sql(...,_x000a_     if_exists='append') es una práctica avanzada que garantiza que la_x000a_     estructura de la base de datos sea exactamente la que ustedes diseñaron,_x000a_     evitando que Pandas infiera tipos de datos incorrectos. _x000a_ Arquitectura_x000a_     SQL y CRUD: La creación de la tabla ventas con sus respectivas Llaves_x000a_     Foráneas (FK) y la activación de PRAGMA foreign_keys = ON asegura la_x000a_     integridad referencial del sistema. Las operaciones CRUD se ejecutaron sin_x000a_     problemas, y el uso de pd.read_sql() para mostrar los resultados del INNER_x000a_     JOIN como un DataFrame formateado es un excelente toque de presentación_x000a_     (UX). Oportunidad de Mejora (Bono de Arquitectura): _x000a_ El_x000a_     parcial ofrecía un bono de +1.0 unidad si el proyecto se entregaba_x000a_     modularizado en varios archivos .py (Ej: limpieza.py, base_datos.py, main.py)_x000a_     utilizando Programación Orientada a Objetos (POO). Su entrega se realizó_x000a_     en un único archivo .ipynb y no utilizó POO para encapsular la lógica. Por_x000a_     lo tanto, no se otorga el bono adicional. Sin embargo, la ejecución_x000a_     técnica de lo solicitado en el archivo .ipynb es perfecta, por lo que_x000a_     obtienen la nota máxima base (5.0).  Motivación: Tienen una base técnica y lógica sumamente sólida. Han_x000a_demostrado que entienden cómo estructurar un proyecto de Inteligencia de_x000a_Negocios desde la extracción de datos &quot;sucios&quot; hasta la generación de_x000a_reportes estructurados en SQL. Si mantienen esta disciplina y atención al_x000a_detalle, están más que preparadas para el Corte 3, donde le daremos una_x000a_Interfaz Gráfica (GUI) a todo este motor lógico. ¡Felicitaciones por este gran_x000a_resultado!  Rúbrica de Calificación _x000a_ _x000a_  _x000a_  Criterio de Evaluación _x000a_  _x000a_  _x000a_  Descripción Técnica _x000a_  _x000a_  _x000a_  Puntaje Máximo _x000a_  _x000a_  _x000a_  Puntaje Obtenido _x000a_  _x000a_ _x000a_ _x000a_  _x000a_  1. Carga y Exportación _x000a_  _x000a_  _x000a_  Generación correcta de los 3 CSV sucios y exportación de_x000a_  los 3 CSV limpios. _x000a_  _x000a_  _x000a_  0.5 _x000a_  _x000a_  _x000a_  0.5 _x000a_  _x000a_ _x000a_ _x000a_  _x000a_  2. Limpieza y Normalización (Pandas) _x000a_  _x000a_  _x000a_  Manejo de nulos, estandarización de textos y aplicación_x000a_  correcta de 1NF, 2NF y 3NF en los DataFrames. _x000a_  _x000a_  _x000a_  1.5 _x000a_  _x000a_  _x000a_  1.5 _x000a_  _x000a_ _x000a_ _x000a_  _x000a_  3. Migración a SQLite _x000a_  _x000a_  _x000a_  Creación del archivo .db y carga exitosa de los 3_x000a_  DataFrames limpios como tablas SQL. _x000a_  _x000a_  _x000a_  1.0 _x000a_  _x000a_  _x000a_  1.0 _x000a_  _x000a_ _x000a_ _x000a_  _x000a_  4. Arquitectura y CRUD (SQL) _x000a_  _x000a_  _x000a_  Creación de la tabla ventas con PK/FK válidas. Ejecución_x000a_  exitosa de INSERT, SELECT (con JOIN), UPDATE y DELETE. _x000a_  _x000a_  _x000a_  1.5 _x000a_  _x000a_  _x000a_  1.5 _x000a_  _x000a_ _x000a_ _x000a_  _x000a_  5. Autogestión y GitHub _x000a_  _x000a_  _x000a_  Repositorio individual completo, README.md detallado y_x000a_  código documentado. _x000a_  _x000a_  _x000a_  0.5 _x000a_  _x000a_  _x000a_  0.5 _x000a_  _x000a_ _x000a_ _x000a_  _x000a_  🌟 BONO DE ARQUITECTURA _x000a_  _x000a_  _x000a_  Modularización con POO y archivos .py (No aplicado). _x000a_  _x000a_  _x000a_  + 1.0 _x000a_  _x000a_  _x000a_  0.0 _x000a_  _x000a_ _x000a_ _x000a_  _x000a_  TOTAL _x000a_  _x000a_  _x000a_  _x000a_  5.0 _x000a_  _x000a_  _x000a_  5.0 _x000a_  _x000a_   Diego Mauricio Zuluaga Rodríguez Profesor - Departamento de Economía Universidad de La Sabana"/>
    <n v="50"/>
    <n v="50"/>
    <n v="1"/>
  </r>
  <r>
    <x v="12"/>
    <s v="Maria Juliana"/>
    <s v="Mejia Quintero"/>
    <s v="mariamequ@unisabana.edu.co"/>
    <x v="0"/>
    <d v="2026-04-15T00:00:00"/>
    <x v="0"/>
    <s v="Entregado"/>
    <s v="🚀 Retroalimentación de la_x000a_Entrega: Parcial Final Corte 2 (50%)  Integrantes: Maria Juliana Mejia Quintero, Maria Jose_x000a_Botero Galviz.  Calificación Final: 50/50 (Equivalente a 5.0)  ¡Hola, equipo! He revisado detalladamente su examen parcial_x000a_y quiero felicitarlas por el excelente nivel técnico que han demostrado. Han_x000a_logrado integrar de manera impecable la limpieza de datos con Pandas y la_x000a_persistencia en bases de datos relacionales (SQLite), cumpliendo a cabalidad_x000a_con los requerimientos de la prueba.  Puntos a destacar (Lo excelente): _x000a_ Limpieza_x000a_     y Normalización (Pandas): El manejo que le dieron a los DataFrames fue_x000a_     muy profesional. La separación de las columnas compuestas (cliente_info, contacto_info)_x000a_     usando .str.split(expand=True) garantizó la Primera Forma Normal (1NF)._x000a_     Además, la eliminación de las columnas derivadas (ganancia y edad)_x000a_     demuestra que entienden perfectamente la Tercera Forma Normal (3NF). La_x000a_     función limpiar_precio() es una solución muy elegante y robusta para_x000a_     estandarizar los valores monetarios. _x000a_ Migración_x000a_     a SQLite: El enfoque que utilizaron para crear las tablas con PRIMARY_x000a_     KEY explícita mediante SQL puro antes de usar df.to_sql(...,_x000a_     if_exists='append') es una práctica avanzada que garantiza que la_x000a_     estructura de la base de datos sea exactamente la que ustedes diseñaron,_x000a_     evitando que Pandas infiera tipos de datos incorrectos. _x000a_ Arquitectura_x000a_     SQL y CRUD: La creación de la tabla ventas con sus respectivas Llaves_x000a_     Foráneas (FK) y la activación de PRAGMA foreign_keys = ON asegura la_x000a_     integridad referencial del sistema. Las operaciones CRUD se ejecutaron sin_x000a_     problemas, y el uso de pd.read_sql() para mostrar los resultados del INNER_x000a_     JOIN como un DataFrame formateado es un excelente toque de presentación_x000a_     (UX). Oportunidad de Mejora (Bono de Arquitectura): _x000a_ El_x000a_     parcial ofrecía un bono de +1.0 unidad si el proyecto se entregaba_x000a_     modularizado en varios archivos .py (Ej: limpieza.py, base_datos.py, main.py)_x000a_     utilizando Programación Orientada a Objetos (POO). Su entrega se realizó_x000a_     en un único archivo .ipynb y no utilizó POO para encapsular la lógica. Por_x000a_     lo tanto, no se otorga el bono adicional. Sin embargo, la ejecución_x000a_     técnica de lo solicitado en el archivo .ipynb es perfecta, por lo que_x000a_     obtienen la nota máxima base (5.0).  Motivación: Tienen una base técnica y lógica sumamente sólida. Han_x000a_demostrado que entienden cómo estructurar un proyecto de Inteligencia de_x000a_Negocios desde la extracción de datos &quot;sucios&quot; hasta la generación de_x000a_reportes estructurados en SQL. Si mantienen esta disciplina y atención al_x000a_detalle, están más que preparadas para el Corte 3, donde le daremos una_x000a_Interfaz Gráfica (GUI) a todo este motor lógico. ¡Felicitaciones por este gran_x000a_resultado!  Rúbrica de Calificación _x000a_ _x000a_  _x000a_  Criterio de Evaluación _x000a_  _x000a_  _x000a_  Descripción Técnica _x000a_  _x000a_  _x000a_  Puntaje Máximo _x000a_  _x000a_  _x000a_  Puntaje Obtenido _x000a_  _x000a_ _x000a_ _x000a_  _x000a_  1. Carga y Exportación _x000a_  _x000a_  _x000a_  Generación correcta de los 3 CSV sucios y exportación de_x000a_  los 3 CSV limpios. _x000a_  _x000a_  _x000a_  0.5 _x000a_  _x000a_  _x000a_  0.5 _x000a_  _x000a_ _x000a_ _x000a_  _x000a_  2. Limpieza y Normalización (Pandas) _x000a_  _x000a_  _x000a_  Manejo de nulos, estandarización de textos y aplicación_x000a_  correcta de 1NF, 2NF y 3NF en los DataFrames. _x000a_  _x000a_  _x000a_  1.5 _x000a_  _x000a_  _x000a_  1.5 _x000a_  _x000a_ _x000a_ _x000a_  _x000a_  3. Migración a SQLite _x000a_  _x000a_  _x000a_  Creación del archivo .db y carga exitosa de los 3_x000a_  DataFrames limpios como tablas SQL. _x000a_  _x000a_  _x000a_  1.0 _x000a_  _x000a_  _x000a_  1.0 _x000a_  _x000a_ _x000a_ _x000a_  _x000a_  4. Arquitectura y CRUD (SQL) _x000a_  _x000a_  _x000a_  Creación de la tabla ventas con PK/FK válidas. Ejecución_x000a_  exitosa de INSERT, SELECT (con JOIN), UPDATE y DELETE. _x000a_  _x000a_  _x000a_  1.5 _x000a_  _x000a_  _x000a_  1.5 _x000a_  _x000a_ _x000a_ _x000a_  _x000a_  5. Autogestión y GitHub _x000a_  _x000a_  _x000a_  Repositorio individual completo, README.md detallado y_x000a_  código documentado. _x000a_  _x000a_  _x000a_  0.5 _x000a_  _x000a_  _x000a_  0.5 _x000a_  _x000a_ _x000a_ _x000a_  _x000a_  🌟 BONO DE ARQUITECTURA _x000a_  _x000a_  _x000a_  Modularización con POO y archivos .py (No aplicado). _x000a_  _x000a_  _x000a_  + 1.0 _x000a_  _x000a_  _x000a_  0.0 _x000a_  _x000a_ _x000a_ _x000a_  _x000a_  TOTAL _x000a_  _x000a_  _x000a_  _x000a_  5.0 _x000a_  _x000a_  _x000a_  5.0 _x000a_  _x000a_   Diego Mauricio Zuluaga Rodríguez Profesor - Departamento de Economía Universidad de La Sabana"/>
    <n v="50"/>
    <n v="50"/>
    <n v="1"/>
  </r>
  <r>
    <x v="13"/>
    <s v="Alejandra"/>
    <s v="Leon Vargas"/>
    <s v="alejandraleva@unisabana.edu.co"/>
    <x v="0"/>
    <d v="2026-04-15T00:00:00"/>
    <x v="0"/>
    <s v="Entregado"/>
    <s v="☕ Retroalimentación Parcial Final_x000a_Corte 2: Inteligencia de Negocios  Estudiante: Alejandra León Vargas  Calificación Final: 10/50 (Equivalente a 1.0)  Hola, Alejandra. He revisado con detenimiento tu repositorio_x000a_en GitHub y el contenido de tu entrega para este parcial final del segundo_x000a_corte. Debo comenzar destacando que tu archivo README es excelente._x000a_Está muy bien estructurado, explica con claridad los conceptos de normalización_x000a_(1NF y 3NF) y demuestra que tienes una comprensión teórica muy sólida de lo que_x000a_es un proceso ETL y una arquitectura relacional. La presencia de los archivos_x000a_CSV (sucios y limpios) y la base de datos .db sugiere que realizaste el_x000a_trabajo. Sin embargo, Alejandra, en este curso de Programación y_x000a_Decisiones, el objeto principal de evaluación es el código fuente. Al no_x000a_haber cargado el archivo .ipynb (Jupyter Notebook) o los archivos .py_x000a_solicitados, no tengo ninguna evidencia técnica de tu lógica de programación,_x000a_del uso de la librería Pandas o de la implementación de los comandos SQL. En el mundo del desarrollo de software y la analítica de_x000a_datos, los resultados (los archivos finales) no tienen validez académica sin el_x000a_script que los genera, ya que el código es lo que garantiza la transparencia,_x000a_la autoría y la reproducibilidad del análisis. Como se indicó en las reglas de_x000a_autogestión y en el enunciado, el archivo con el código es el entregable_x000a_mandatorio para validar los puntos de la rúbrica. Debido a la ausencia total del código fuente, la_x000a_calificación debe ser estricta y se sitúa en el mínimo de 10 puntos, otorgados_x000a_principalmente por la excelente documentación en el README y la correcta_x000a_gestión del repositorio en GitHub, que demuestran tu capacidad de organización. Te motivo a que esta experiencia te sirva de aprendizaje_x000a_para el tercer corte. Tienes la teoría clara y sabes documentar procesos de_x000a_forma profesional; ahora solo falta asegurar que el &quot;motor&quot; de tu_x000a_trabajo (el código) siempre esté presente en tus entregas. No bajes la guardia,_x000a_pues en el Corte 3 entraremos a la fase de interfaces gráficas y Power BI,_x000a_donde tu habilidad para documentar será un gran activo.  Rúbrica de Calificación _x000a_ _x000a_  _x000a_  Criterio de Evaluación _x000a_  _x000a_  _x000a_  Requisito Técnico _x000a_  _x000a_  _x000a_  Puntaje Máximo _x000a_  _x000a_  _x000a_  Puntaje Obtenido _x000a_  _x000a_ _x000a_ _x000a_  _x000a_  1. Carga y Exportación _x000a_  _x000a_  _x000a_  Generación de CSV sucios y exportación de limpios (Sin_x000a_  código). _x000a_  _x000a_  _x000a_  0.5 _x000a_  _x000a_  _x000a_  0.1 _x000a_  _x000a_ _x000a_ _x000a_  _x000a_  2. Limpieza y Normalización _x000a_  _x000a_  _x000a_  Manejo de nulos, 1NF, 2NF, 3NF en Pandas (Sin código). _x000a_  _x000a_  _x000a_  1.5 _x000a_  _x000a_  _x000a_  0.2 _x000a_  _x000a_ _x000a_ _x000a_  _x000a_  3. Migración a SQLite _x000a_  _x000a_  _x000a_  Creación de .db y carga con to_sql() (Sin código). _x000a_  _x000a_  _x000a_  1.0 _x000a_  _x000a_  _x000a_  0.2 _x000a_  _x000a_ _x000a_ _x000a_  _x000a_  4. Arquitectura y CRUD (SQL) _x000a_  _x000a_  _x000a_  Tabla ventas con PK/FK y operaciones CRUD (Sin código). _x000a_  _x000a_  _x000a_  1.5 _x000a_  _x000a_  _x000a_  0.2 _x000a_  _x000a_ _x000a_ _x000a_  _x000a_  5. Autogestión y GitHub _x000a_  _x000a_  _x000a_  Repositorio, README detallado y archivos de salida_x000a_  presentes. _x000a_  _x000a_  _x000a_  0.5 _x000a_  _x000a_  _x000a_  0.3 _x000a_  _x000a_ _x000a_ _x000a_  _x000a_  Bono de Arquitectura _x000a_  _x000a_  _x000a_  Modularización con POO y archivos .py (No aplica). _x000a_  _x000a_  _x000a_  +1.0 _x000a_  _x000a_  _x000a_  0.0 _x000a_  _x000a_ _x000a_ _x000a_  _x000a_  TOTAL _x000a_  _x000a_  _x000a_  _x000a_  5.0 _x000a_  _x000a_  _x000a_  1.0 (10/50) _x000a_  _x000a_  Diego Mauricio Zuluaga Rodríguez Profesor - Departamento de Economía Universidad de La Sabana"/>
    <n v="40"/>
    <n v="50"/>
    <n v="0.2"/>
  </r>
  <r>
    <x v="14"/>
    <s v="Alessandro Di Mauro"/>
    <s v="Bonilla Correa"/>
    <s v="alessandroboco@unisabana.edu.co"/>
    <x v="0"/>
    <d v="2026-04-15T00:00:00"/>
    <x v="0"/>
    <s v="Entregado"/>
    <s v="🚀 Retroalimentación de la_x000a_Entrega: Parcial Final Corte 2 (50%)  Integrantes: Alessandro Di Mauro Bonilla Correa,_x000a_Gabriela Ruiz Pérez, María José Huertas Osorio.  Calificación Final: 4.2 / 5.0 (Incluye +0.5 de_x000a_Bono Parcial por POO)  ¡Hola, equipo! He revisado detalladamente su examen parcial._x000a_A nivel de lógica de programación y sintaxis, el código que escribieron es muy_x000a_bueno y demuestra que entienden cómo funcionan las herramientas. Sin embargo,_x000a_la evaluación de hoy es estricta porque simula un entorno profesional real, y_x000a_en ese aspecto hubo fallas críticas de seguimiento de instrucciones y_x000a_autogestión. En primer lugar, el aspecto más preocupante de su entrega es_x000a_que cambiaron por completo el contexto del negocio y los datos de prueba. El_x000a_examen exigía explícitamente trabajar con los datos de la &quot;Cafetería U._x000a_Sabana&quot; proporcionados en la celda del enunciado. Ustedes decidieron_x000a_ignorar esos datos y crear su propio ecosistema (&quot;EduTech&quot;) con un_x000a_dataset minúsculo. En la vida real, si un cliente los contrata para limpiar la_x000a_base de datos de su cafetería y ustedes le entregan el sistema de un colegio,_x000a_el proyecto es rechazado. Además, al cambiar los datos, evadieron los retos_x000a_técnicos reales del examen, como la limpieza de los signos $ en los precios, lo_x000a_cual penaliza su nota en los criterios de Carga y Limpieza. En segundo lugar, respecto a la arquitectura SQL, su código_x000a_es funcional y el uso de JOIN es correcto. No obstante, la rúbrica exigía_x000a_explícitamente un mínimo de 5 registros en las operaciones CREATE para poder_x000a_auditar el sistema. Ustedes solo insertaron 3 inscripciones, lo que representa_x000a_otra penalización por no seguir los requerimientos mínimos del cliente. Finalmente, hablemos del Bono de Arquitectura. Implementaron_x000a_la clase PlataformaEduTech para encapsular la lógica, lo cual es un excelente_x000a_esfuerzo y demuestra dominio de la Programación Orientada a Objetos. Sin_x000a_embargo, la instrucción para obtener el bono completo (+1.0) exigía que el_x000a_proyecto estuviera modularizado en varios archivos .py (ej. limpieza.py, main.py)._x000a_Al entregar un único archivo .ipynb, solo se les otorga la mitad del bono_x000a_(+0.5). Como motivación, quiero que sepan que su capacidad técnica_x000a_para escribir código en Pandas y SQL es innegable. El código corre sin errores_x000a_y la lógica relacional es perfecta. El reto para ustedes ahora es alinear esa_x000a_excelente capacidad técnica con el rigor corporativo: leer los requerimientos_x000a_del cliente, respetar los datos proporcionados y cumplir con las reglas de_x000a_negocio al pie de la letra. ¡Tienen todo el potencial para ser grandes líderes_x000a_tecnológicos si ajustan este enfoque!  _x000a_ _x000a_  _x000a_  Criterio de Evaluación _x000a_  _x000a_  _x000a_  Descripción Técnica _x000a_  _x000a_  _x000a_  Puntaje Máximo _x000a_  _x000a_  _x000a_  Puntaje Obtenido _x000a_  _x000a_ _x000a_ _x000a_  _x000a_  1. Carga y Exportación _x000a_  _x000a_  _x000a_  Penalización severa: No utilizaron los datasets_x000a_  proporcionados en el examen, alterando el contexto del negocio. _x000a_  _x000a_  _x000a_  0.5 _x000a_  _x000a_  _x000a_  0.0 _x000a_  _x000a_ _x000a_ _x000a_  _x000a_  2. Limpieza y Normalización _x000a_  _x000a_  _x000a_  Lógica correcta (1NF, nulos), pero aplicada a un dataset_x000a_  propio que evadió los retos de limpieza exigidos (ej. signos de moneda). _x000a_  _x000a_  _x000a_  1.5 _x000a_  _x000a_  _x000a_  1.0 _x000a_  _x000a_ _x000a_ _x000a_  _x000a_  3. Migración a SQLite _x000a_  _x000a_  _x000a_  Creación correcta del archivo .db y carga exitosa de los_x000a_  DataFrames limpios como tablas SQL. _x000a_  _x000a_  _x000a_  1.0 _x000a_  _x000a_  _x000a_  1.0 _x000a_  _x000a_ _x000a_ _x000a_  _x000a_  4. Arquitectura y CRUD (SQL) _x000a_  _x000a_  _x000a_  PK/FK válidas y operaciones exitosas. Penalización por_x000a_  insertar solo 3 registros en lugar de los 5 exigidos. _x000a_  _x000a_  _x000a_  1.5 _x000a_  _x000a_  _x000a_  1.2 _x000a_  _x000a_ _x000a_ _x000a_  _x000a_  5. Autogestión y GitHub _x000a_  _x000a_  _x000a_  Repositorio funcional, pero fallas críticas en el_x000a_  seguimiento de instrucciones del cliente. _x000a_  _x000a_  _x000a_  0.5 _x000a_  _x000a_  _x000a_  0.3 _x000a_  _x000a_ _x000a_ _x000a_  _x000a_  🌟 BONO DE ARQUITECTURA _x000a_  _x000a_  _x000a_  Uso de POO (+0.5), pero no se modularizó en archivos .py_x000a_  como se exigía para el bono completo (+0.0). _x000a_  _x000a_  _x000a_  + 1.0 _x000a_  _x000a_  _x000a_  + 0.5 _x000a_  _x000a_ _x000a_ _x000a_  _x000a_  TOTAL _x000a_  _x000a_  _x000a_  _x000a_  5.0 _x000a_  _x000a_  _x000a_  4.0 _x000a_  _x000a_   Diego Mauricio Zuluaga Rodríguez Profesor - Departamento de Economía Universidad de La Sabana"/>
    <n v="40"/>
    <n v="50"/>
    <n v="0.8"/>
  </r>
  <r>
    <x v="15"/>
    <s v="Arianne Mariana"/>
    <s v="Amorocho Quiroga"/>
    <s v="arianneamqu@unisabana.edu.co"/>
    <x v="0"/>
    <d v="2026-04-15T00:00:00"/>
    <x v="0"/>
    <s v="Entregado"/>
    <s v="🚀 Retroalimentación de la Entrega: Parcial Final Corte 2 (50%) Integrantes: Matías Mondragón Osorio, Arianne Amorocho, Mariana Peña Rodriguez.Calificación Final: 5.0 / 5.0(+0.5 de Bono por Arquitectura POO)¡Hola, equipo! He revisado detalladamente su examen parcial y quiero felicitarlos por el excelente nivel técnico que han alcanzado. Han logrado integrar de manera impecable la limpieza de datos con Pandas, la persistencia en bases de datos relacionales (SQLite) y la Programación Orientada a Objetos.Puntos a destacar (Lo excelente):Limpieza y Normalización (Pandas): El manejo que le dieron a los DataFrames fue muy profesional. La separación de las columnas compuestas (cliente_info, empresa_ciudad, producto_info) usando .str.split(expand=True) garantizó la Primera Forma Normal (1NF). Además, el manejo de nulos con .fillna() y la estandarización de textos (.str.title(), .str.capitalize()) demuestra que entienden que &quot;basura entra, basura sale&quot;. Prepararon los datos perfectamente para la base de datos.Migración a SQLite: El uso de df.to_sql() para cargar los DataFrames directamente como tablas en la base de datos es la forma más eficiente de migrar información. Además, no olvidaron el comando crítico PRAGMA foreign_keys = ON;, lo cual asegura la integridad referencial de su sistema.Bono de Arquitectura (POO): La creación de la clase GestionCafeteria para encapsular las operaciones CRUD es brillante. En lugar de tener funciones sueltas, crearon un objeto que administra la base de datos. Esto les otorga un bono de +0.5 unidad, ya que demuestra un pensamiento arquitectónico avanzado. Faltó el manejo de modularidad con diferentes archivos para lograr el bono completo.Uso de Pandas para Reportes: Me pareció un toque muy innovador (y válido) que en el método ver_reporte_ventas utilizaran pd.read_sql(query, c) para ejecutar el JOIN y mostrar el resultado como un DataFrame formateado en lugar de usar el clásico fetchall() y un ciclo for. Esto demuestra que entienden cómo Pandas y SQL pueden trabajar juntos.Oportunidad de Mejora (Sanity Check):En la limpieza de la tabla productos, olvidaron limpiar el signo $ de la columna precio y convertirla a numérico (float o int). Aunque en este ejercicio específico no les generó un error visible porque SQLite es flexible con los tipos de datos (Tipado Dinámico), en un motor estricto como PostgreSQL o SQL Server, intentar multiplicar un texto ($25000) por una cantidad habría causado un colapso del sistema. Recuerden siempre hacer el casting de los datos financieros.Motivación:Tienen una base técnica y lógica sumamente sólida. Han demostrado que no solo saben escribir código, sino que entienden cómo estructurar un proyecto de Inteligencia de Negocios desde la extracción de datos &quot;sucios&quot; hasta la generación de reportes estructurados. Si mantienen esta disciplina, rigurosidad y atención al detalle, están más que preparados para el Corte 3, donde le daremos una Interfaz Gráfica (GUI) a todo este motor lógico que acaban de construir. ¡Felicitaciones por este gran resultado!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en los DataFrames.1.51.5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para encapsular la lógica de Pandas y SQL.+ 1.0+ 0.5TOTAL5.05.0Diego Mauricio Zuluaga RodríguezProfesor - Departamento de EconomíaUniversidad de La Sabana"/>
    <n v="50"/>
    <n v="50"/>
    <n v="1"/>
  </r>
  <r>
    <x v="16"/>
    <s v="Maria Juliana"/>
    <s v="Herrera Pulido"/>
    <s v="mariahepu@unisabana.edu.co"/>
    <x v="0"/>
    <d v="2026-04-15T00:00:00"/>
    <x v="0"/>
    <s v="Entregado"/>
    <s v="🏋️‍♀️ Retroalimentación_x000a_de la Entrega: Parcial Final Corte 2  Integrantes: María Juliana Herrera Pulido, Mariana_x000a_Carmona Romero.  Calificación Final: 40/50 (Equivalente a 4.0)  ¡Hola, equipo! He revisado su examen parcial y quiero_x000a_felicitarlas por el esfuerzo y la creatividad al adaptar el problema a un nuevo_x000a_contexto de negocio (Gimnasio FitLife). La arquitectura general del proyecto es_x000a_sólida y demuestra que comprenden la integración entre Pandas, POO y SQLite. En la fase de Limpieza y Normalización, aplicaron_x000a_correctamente la Primera Forma Normal (1NF) al separar las columnas compuestas_x000a_y manejaron bien los valores nulos. La migración a SQLite con to_sql() y la_x000a_creación de la tabla de suscripciones con sus Llaves Foráneas (FK) también fue_x000a_exitosa. La implementación de la clase GestionGym para encapsular las_x000a_operaciones CRUD es una excelente práctica de POO y les permitió organizar el_x000a_código de forma profesional. La consulta con JOIN para el reporte de_x000a_suscripciones es compleja y la resolvieron muy bien, uniendo las tres tablas_x000a_para generar un informe de valor. Sin embargo, debo ser estricto con los requerimientos de Autogestión_x000a_del parcial. El enunciado exigía explícitamente trabajar con los datasets de la_x000a_&quot;Cafetería U. Sabana&quot; para poder auditar el proceso de limpieza de_x000a_forma estandarizada. Al crear sus propios datos, se saltaron una parte_x000a_fundamental de la evaluación que era manejar las inconsistencias específicas de_x000a_los archivos proporcionados. Adicionalmente, el bono de arquitectura requería_x000a_la entrega en archivos .py separados, lo cual no se cumplió. Tienen una base técnica muy fuerte, pero en el mundo_x000a_profesional, seguir las especificaciones del cliente (en este caso, el_x000a_enunciado del parcial) es tan importante como la calidad del código. ¡Sigan_x000a_adelante, están haciendo un gran trabajo, pero no pierdan de vista la_x000a_importancia de la atención al detalle!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y exportación de archivos CSV. _x000a_  _x000a_  _x000a_  0.5 _x000a_  _x000a_  _x000a_  0.0 _x000a_  _x000a_ _x000a_ _x000a_  _x000a_  Limpieza y Normalización _x000a_  _x000a_  _x000a_  Manejo de nulos, estandarización y aplicación de 1NF, 2NF,_x000a_  3NF. _x000a_  _x000a_  _x000a_  1.5 _x000a_  _x000a_  _x000a_  1.0 _x000a_  _x000a_ _x000a_ _x000a_  _x000a_  Migración a SQLite _x000a_  _x000a_  _x000a_  Creación del archivo .db y carga de DataFrames con to_sql(). _x000a_  _x000a_  _x000a_  1.0 _x000a_  _x000a_  _x000a_  1.0 _x000a_  _x000a_ _x000a_ _x000a_  _x000a_  Arquitectura y CRUD (SQL) _x000a_  _x000a_  _x000a_  Tabla suscripciones con PK/FK. Ejecución de INSERT, SELECT_x000a_  (JOIN), UPDATE y DELETE. _x000a_  _x000a_  _x000a_  1.5 _x000a_  _x000a_  _x000a_  1.5 _x000a_  _x000a_ _x000a_ _x000a_  _x000a_  Autogestión y GitHub _x000a_  _x000a_  _x000a_  Repositorio completo, README.md y código documentado. _x000a_  _x000a_  _x000a_  0.5 _x000a_  _x000a_  _x000a_  0.5 _x000a_  _x000a_ _x000a_ _x000a_  _x000a_  Bono de Arquitectura _x000a_  _x000a_  _x000a_  Modularización con POO y archivos .py. _x000a_  _x000a_  _x000a_  +1.0 _x000a_  _x000a_  _x000a_  0.0 _x000a_  _x000a_ _x000a_ _x000a_  _x000a_  TOTAL _x000a_  _x000a_  _x000a_  _x000a_  5.0 _x000a_  _x000a_  _x000a_  4.0 _x000a_  _x000a_  Diego Mauricio Zuluaga Rodríguez Profesor - Departamento de Economía Universidad de La Sabana"/>
    <n v="40"/>
    <n v="50"/>
    <n v="0.8"/>
  </r>
  <r>
    <x v="17"/>
    <s v="Simon Gustavo"/>
    <s v="Restrepo Alvarez"/>
    <s v="simonreal@unisabana.edu.co"/>
    <x v="0"/>
    <d v="2026-04-15T00:00:00"/>
    <x v="0"/>
    <s v="Entregado"/>
    <s v="☕ Retroalimentación de la_x000a_Entrega: Parcial Final Corte 2 - Inteligencia de Negocios  Integrantes: Mateo Perez Daza, Diego Alejandro_x000a_Hermida Limas, Simon Gustavo Restrepo Alvarez.  Calificación Final: 47/50 (Equivalente a 4.7)  ¡Hola, equipo! Espero que se encuentren muy bien. He_x000a_terminado de revisar minuciosamente su examen parcial. Quiero empezar_x000a_felicitándolos por el excelente nivel de organización y la claridad que_x000a_muestran en su repositorio de GitHub. El archivo README es impecable y guía al_x000a_lector paso a paso por su proceso mental, lo cual es una habilidad de_x000a_autogestión de altísimo valor. En la fase de Pandas y Normalización, hicieron un_x000a_trabajo excepcional. Aplicaron correctamente la 1NF al separar las columnas_x000a_compuestas y, lo más importante, demostraron madurez analítica al aplicar la_x000a_3NF eliminando la columna edad, entendiendo que es un dato redundante que se_x000a_deriva de la fecha de nacimiento. Sus archivos CSV limpios están perfectamente_x000a_estructurados para un análisis posterior. Sin embargo, aplicando la rigurosidad técnica que exige este_x000a_nivel de arquitectura, debo señalar un punto crítico en la Fase de_x000a_Arquitectura SQL. El enunciado del parcial exigía explícitamente que la_x000a_tabla ventas incluyera las columnas total_venta y fecha_venta. Al revisar tanto_x000a_su script database.py como su Notebook, noté que omitieron estas dos columnas_x000a_en el CREATE TABLE. Una base de datos financiera sin el registro del monto_x000a_total ni la fecha de la transacción pierde gran parte de su utilidad para la_x000a_toma de decisiones. En cuanto al Bono de Arquitectura (+1.0), les otorgo 0.7_x000a_unidades. Valoré positivamente la modularización en archivos .py (limpieza,_x000a_database, modelos), lo cual es un gran avance. No obstante, para obtener el_x000a_bono completo, la Programación Orientada a Objetos (POO) debía encapsular_x000a_lógica de negocio (métodos) y no solo actuar como contenedores de datos._x000a_Además, el script main.py solo insertó 3 registros en lugar de los 5 exigidos_x000a_por la &quot;Regla de Oro&quot; del enunciado. Sigan adelante con esa energía. Tienen una capacidad técnica_x000a_muy alta y un sentido de orden envidiable. Pulir esos detalles de cumplimiento_x000a_de requerimientos específicos es lo único que les falta para alcanzar la_x000a_perfección en sus entregas. ¡Buen trabajo, ingenieros!  Rúbrica de Calificación _x000a_ _x000a_  _x000a_  Criterio de Evaluación _x000a_  _x000a_  _x000a_  Requisito Técnico _x000a_  _x000a_  _x000a_  Puntaje Máximo _x000a_  _x000a_  _x000a_  Puntaje Obtenido _x000a_  _x000a_ _x000a_ _x000a_  _x000a_  1. Carga y Exportación _x000a_  _x000a_  _x000a_  Generación de CSV sucios y exportación de limpios. _x000a_  _x000a_  _x000a_  5.0 _x000a_  _x000a_  _x000a_  5.0 _x000a_  _x000a_ _x000a_ _x000a_  _x000a_  2. Limpieza y Normalización _x000a_  _x000a_  _x000a_  Pandas: 1NF, 2NF, 3NF, nulos y estandarización. _x000a_  _x000a_  _x000a_  15.0 _x000a_  _x000a_  _x000a_  15.0 _x000a_  _x000a_ _x000a_ _x000a_  _x000a_  3. Migración a SQLite _x000a_  _x000a_  _x000a_  Creación de BD y carga exitosa con to_sql(). _x000a_  _x000a_  _x000a_  10.0 _x000a_  _x000a_  _x000a_  10.0 _x000a_  _x000a_ _x000a_ _x000a_  _x000a_  4. Arquitectura y CRUD (SQL) _x000a_  _x000a_  _x000a_  Tabla ventas incompleta (faltaron 2 columnas) y registros_x000a_  insuficientes en script. _x000a_  _x000a_  _x000a_  15.0 _x000a_  _x000a_  _x000a_  7.0 _x000a_  _x000a_ _x000a_ _x000a_  _x000a_  5. Autogestión y GitHub _x000a_  _x000a_  _x000a_  Repositorio impecable, README detallado y código_x000a_  documentado. _x000a_  _x000a_  _x000a_  5.0 _x000a_  _x000a_  _x000a_  5.0 _x000a_  _x000a_ _x000a_ _x000a_  _x000a_  🌟 BONO DE ARQUITECTURA _x000a_  _x000a_  _x000a_  Modularización lograda, pero POO básica e incompleta en_x000a_  registros. _x000a_  _x000a_  _x000a_  +10.0 _x000a_  _x000a_  _x000a_  +5.0 _x000a_  _x000a_ _x000a_ _x000a_  _x000a_  TOTAL _x000a_  _x000a_  _x000a_  _x000a_  50.0 _x000a_  _x000a_  _x000a_  47.0 _x000a_  _x000a_  Diego Mauricio Zuluaga Rodríguez Profesor - Departamento de Economía Universidad de La Sabana"/>
    <n v="47"/>
    <n v="50"/>
    <n v="0.94"/>
  </r>
  <r>
    <x v="18"/>
    <s v="Daniel Felipe"/>
    <s v="Camacho Pedraza"/>
    <s v="danielcampe@unisabana.edu.co"/>
    <x v="0"/>
    <d v="2026-04-15T00:00:00"/>
    <x v="0"/>
    <s v="Entregado"/>
    <s v="☕ Retroalimentación de la_x000a_Entrega: Parcial Final Corte 2  Integrantes: Samuel David Simancas Contreras, Juan_x000a_Sebastian Perdomo Herrera, Daniel Felipe Camacho Pedraza.  Calificación Final: 20.5/50 (Equivalente a 2.05)  Hola, equipo. Espero que se encuentren muy bien. He revisado_x000a_detalladamente su entrega para el examen parcial del segundo corte. Valoro el_x000a_esfuerzo inicial, pero debo ser muy estricto con la evaluación, ya que en el_x000a_mundo del desarrollo de software y la analítica, un producto incompleto no_x000a_puede ser desplegado a producción. En la fase de Limpieza y Normalización con Pandas hicieron_x000a_un trabajo excelente. Lograron aplicar correctamente la Primera Forma Normal_x000a_(1NF) separando las columnas compuestas mediante .str.split(), eliminaron la_x000a_redundancia de la edad (3NF) y estandarizaron los textos y precios de manera_x000a_impecable. Tienen una base analítica muy sólida y demostraron dominio de la_x000a_librería. Sin embargo, el parcial requería la integración completa del_x000a_sistema. Las Fases 3 y 4 (Migración a SQLite y Operaciones CRUD) brillan por su_x000a_ausencia en el código de su Jupyter Notebook. Aunque incluyeron el esquema SQL_x000a_y un diagrama muy bien estructurado en el archivo README, un Arquitecto de_x000a_Software (CTO) debe entregar código ejecutable. No hay conexión a la base de_x000a_datos con sqlite3, no hay migración de los DataFrames con .to_sql(), ni_x000a_ejecución de las consultas CRUD o el JOIN exigido en la rúbrica. Adicionalmente, hubo fallas críticas de autogestión en la_x000a_entrega de su repositorio de GitHub. Faltaron archivos esenciales mencionados_x000a_en la rúbrica, específicamente productos_sucios.csv, proveedores_limpios.csv y_x000a_el archivo .db de la base de datos. En el entorno laboral, olvidar subir_x000a_archivos clave a un repositorio rompe el flujo de trabajo de todo el equipo y_x000a_genera caídas en el sistema. Respecto al bono de arquitectura, no es posible otorgar los_x000a_puntos adicionales. El requerimiento estricto para este incentivo era_x000a_modularizar el proyecto utilizando Programación Orientada a Objetos (POO) y_x000a_separar la lógica en múltiples archivos .py, lo cual no fue implementado en su_x000a_entrega. Sé que tienen un gran potencial técnico porque la lógica que_x000a_aplicaron en la limpieza de datos fue perfecta. Los invito a que para el Corte_x000a_3 mejoren drásticamente la gestión del tiempo, la revisión de los requisitos de_x000a_entrega (Sanity Check) y la integración de sus desarrollos. ¡No se desanimen,_x000a_aprendan de esta experiencia y prepárense con toda la energía y disciplina para_x000a_la recta final del semestre!  Rúbrica de Calificación (Escalada a 50 puntos) _x000a_ _x000a_  _x000a_  Criterio de Evaluación _x000a_  _x000a_  _x000a_  Requisito Técnico _x000a_  _x000a_  _x000a_  Puntaje Máximo _x000a_  _x000a_  _x000a_  Puntaje Obtenido _x000a_  _x000a_ _x000a_ _x000a_  _x000a_  1. Carga y Exportación _x000a_  _x000a_  _x000a_  Generación de CSV sucios y exportación de limpios. (Penalización_x000a_  por archivos faltantes en el repositorio). _x000a_  _x000a_  _x000a_  5.0 _x000a_  _x000a_  _x000a_  2.5 _x000a_  _x000a_ _x000a_ _x000a_  _x000a_  2. Limpieza y Normalización _x000a_  _x000a_  _x000a_  Manejo de nulos, estandarización y aplicación de 1NF, 2NF,_x000a_  3NF con Pandas. _x000a_  _x000a_  _x000a_  15.0 _x000a_  _x000a_  _x000a_  15.0 _x000a_  _x000a_ _x000a_ _x000a_  _x000a_  3. Migración a SQLite _x000a_  _x000a_  _x000a_  Creación del archivo .db y carga exitosa de DataFrames con_x000a_  to_sql(). (No implementado en el código). _x000a_  _x000a_  _x000a_  10.0 _x000a_  _x000a_  _x000a_  0.0 _x000a_  _x000a_ _x000a_ _x000a_  _x000a_  4. Arquitectura y CRUD (SQL) _x000a_  _x000a_  _x000a_  Tabla ventas con PK/FK. Ejecución de INSERT, SELECT_x000a_  (JOIN), UPDATE y DELETE. (No implementado en el código). _x000a_  _x000a_  _x000a_  15.0 _x000a_  _x000a_  _x000a_  0.0 _x000a_  _x000a_ _x000a_ _x000a_  _x000a_  5. Autogestión y GitHub _x000a_  _x000a_  _x000a_  Repositorio completo, README.md detallado y código_x000a_  documentado. (Buen README, pero faltaron archivos clave). _x000a_  _x000a_  _x000a_  5.0 _x000a_  _x000a_  _x000a_  3.0 _x000a_  _x000a_ _x000a_ _x000a_  _x000a_  Bono de Arquitectura _x000a_  _x000a_  _x000a_  Modularización con POO y archivos .py. _x000a_  _x000a_  _x000a_  +10.0 _x000a_  _x000a_  _x000a_  0.0 _x000a_  _x000a_ _x000a_ _x000a_  _x000a_  TOTAL _x000a_  _x000a_  _x000a_  _x000a_  50.0 _x000a_  _x000a_  _x000a_  20.5 _x000a_  _x000a_  Diego Mauricio Zuluaga Rodríguez Profesor - Departamento de Economía Universidad de La Sabana"/>
    <n v="21"/>
    <n v="50"/>
    <n v="0.42"/>
  </r>
  <r>
    <x v="19"/>
    <s v="Mateo"/>
    <s v="Perez Daza"/>
    <s v="mateopeda@unisabana.edu.co"/>
    <x v="0"/>
    <d v="2026-04-15T00:00:00"/>
    <x v="0"/>
    <s v="Entregado"/>
    <s v="☕ Retroalimentación de la_x000a_Entrega: Parcial Final Corte 2 - Inteligencia de Negocios  Integrantes: Mateo Perez Daza, Diego Alejandro_x000a_Hermida Limas, Simon Gustavo Restrepo Alvarez.  Calificación Final: 47/50 (Equivalente a 4.7)  ¡Hola, equipo! Espero que se encuentren muy bien. He_x000a_terminado de revisar minuciosamente su examen parcial. Quiero empezar_x000a_felicitándolos por el excelente nivel de organización y la claridad que_x000a_muestran en su repositorio de GitHub. El archivo README es impecable y guía al_x000a_lector paso a paso por su proceso mental, lo cual es una habilidad de_x000a_autogestión de altísimo valor. En la fase de Pandas y Normalización, hicieron un_x000a_trabajo excepcional. Aplicaron correctamente la 1NF al separar las columnas_x000a_compuestas y, lo más importante, demostraron madurez analítica al aplicar la_x000a_3NF eliminando la columna edad, entendiendo que es un dato redundante que se_x000a_deriva de la fecha de nacimiento. Sus archivos CSV limpios están perfectamente_x000a_estructurados para un análisis posterior. Sin embargo, aplicando la rigurosidad técnica que exige este_x000a_nivel de arquitectura, debo señalar un punto crítico en la Fase de_x000a_Arquitectura SQL. El enunciado del parcial exigía explícitamente que la_x000a_tabla ventas incluyera las columnas total_venta y fecha_venta. Al revisar tanto_x000a_su script database.py como su Notebook, noté que omitieron estas dos columnas_x000a_en el CREATE TABLE. Una base de datos financiera sin el registro del monto_x000a_total ni la fecha de la transacción pierde gran parte de su utilidad para la_x000a_toma de decisiones. En cuanto al Bono de Arquitectura (+1.0), les otorgo 0.7_x000a_unidades. Valoré positivamente la modularización en archivos .py (limpieza,_x000a_database, modelos), lo cual es un gran avance. No obstante, para obtener el_x000a_bono completo, la Programación Orientada a Objetos (POO) debía encapsular_x000a_lógica de negocio (métodos) y no solo actuar como contenedores de datos._x000a_Además, el script main.py solo insertó 3 registros en lugar de los 5 exigidos_x000a_por la &quot;Regla de Oro&quot; del enunciado. Sigan adelante con esa energía. Tienen una capacidad técnica_x000a_muy alta y un sentido de orden envidiable. Pulir esos detalles de cumplimiento_x000a_de requerimientos específicos es lo único que les falta para alcanzar la_x000a_perfección en sus entregas. ¡Buen trabajo, ingenieros!  Rúbrica de Calificación _x000a_ _x000a_  _x000a_  Criterio de Evaluación _x000a_  _x000a_  _x000a_  Requisito Técnico _x000a_  _x000a_  _x000a_  Puntaje Máximo _x000a_  _x000a_  _x000a_  Puntaje Obtenido _x000a_  _x000a_ _x000a_ _x000a_  _x000a_  1. Carga y Exportación _x000a_  _x000a_  _x000a_  Generación de CSV sucios y exportación de limpios. _x000a_  _x000a_  _x000a_  5.0 _x000a_  _x000a_  _x000a_  5.0 _x000a_  _x000a_ _x000a_ _x000a_  _x000a_  2. Limpieza y Normalización _x000a_  _x000a_  _x000a_  Pandas: 1NF, 2NF, 3NF, nulos y estandarización. _x000a_  _x000a_  _x000a_  15.0 _x000a_  _x000a_  _x000a_  15.0 _x000a_  _x000a_ _x000a_ _x000a_  _x000a_  3. Migración a SQLite _x000a_  _x000a_  _x000a_  Creación de BD y carga exitosa con to_sql(). _x000a_  _x000a_  _x000a_  10.0 _x000a_  _x000a_  _x000a_  10.0 _x000a_  _x000a_ _x000a_ _x000a_  _x000a_  4. Arquitectura y CRUD (SQL) _x000a_  _x000a_  _x000a_  Tabla ventas incompleta (faltaron 2 columnas) y registros_x000a_  insuficientes en script. _x000a_  _x000a_  _x000a_  15.0 _x000a_  _x000a_  _x000a_  7.0 _x000a_  _x000a_ _x000a_ _x000a_  _x000a_  5. Autogestión y GitHub _x000a_  _x000a_  _x000a_  Repositorio impecable, README detallado y código_x000a_  documentado. _x000a_  _x000a_  _x000a_  5.0 _x000a_  _x000a_  _x000a_  5.0 _x000a_  _x000a_ _x000a_ _x000a_  _x000a_  🌟 BONO DE ARQUITECTURA _x000a_  _x000a_  _x000a_  Modularización lograda, pero POO básica e incompleta en_x000a_  registros. _x000a_  _x000a_  _x000a_  +10.0 _x000a_  _x000a_  _x000a_  +5.0 _x000a_  _x000a_ _x000a_ _x000a_  _x000a_  TOTAL _x000a_  _x000a_  _x000a_  _x000a_  50.0 _x000a_  _x000a_  _x000a_  47.0 _x000a_  _x000a_  Diego Mauricio Zuluaga Rodríguez Profesor - Departamento de Economía Universidad de La Sabana"/>
    <n v="47"/>
    <n v="50"/>
    <n v="0.94"/>
  </r>
  <r>
    <x v="20"/>
    <s v="Matias"/>
    <s v="Mondragon Osorio"/>
    <s v="matiasmoos@unisabana.edu.co"/>
    <x v="0"/>
    <d v="2026-04-15T00:00:00"/>
    <x v="0"/>
    <s v="Entregado"/>
    <s v="🚀 Retroalimentación de la Entrega: Parcial Final Corte 2 (50%)  Integrantes: Matías Mondragón Osorio, Arianne Amorocho, Mariana Peña Rodriguez.  Calificación Final: 5.0 / 5.0  (+0.5 de Bono por Arquitectura POO) ¡Hola, equipo! He revisado detalladamente su examen parcial y quiero felicitarlos por el excelente nivel técnico que han alcanzado. Han logrado integrar de manera impecable la limpieza de datos con Pandas, la persistencia en bases de datos relacionales (SQLite) y la Programación Orientada a Objetos.  Puntos a destacar (Lo excelente):Limpieza y Normalización (Pandas): El manejo que le dieron a los DataFrames fue muy profesional. La separación de las columnas compuestas (cliente_info, empresa_ciudad, producto_info) usando .str.split(expand=True) garantizó la Primera Forma Normal (1NF). Además, el manejo de nulos con .fillna() y la estandarización de textos (.str.title(), .str.capitalize()) demuestra que entienden que &quot;basura entra, basura sale&quot;. Prepararon los datos perfectamente para la base de datos.Migración a SQLite: El uso de df.to_sql() para cargar los DataFrames directamente como tablas en la base de datos es la forma más eficiente de migrar información. Además, no olvidaron el comando crítico PRAGMA foreign_keys = ON;, lo cual asegura la integridad referencial de su sistema.Bono de Arquitectura (POO): La creación de la clase GestionCafeteria para encapsular las operaciones CRUD es brillante. En lugar de tener funciones sueltas, crearon un objeto que administra la base de datos. Esto les otorga un bono de +0.5 unidad, ya que demuestra un pensamiento arquitectónico avanzado. Faltó el manejo de modularidad con diferentes archivos para lograr el bono completo.Uso de Pandas para Reportes: Me pareció un toque muy innovador (y válido) que en el método ver_reporte_ventas utilizaran pd.read_sql(query, c) para ejecutar el JOIN y mostrar el resultado como un DataFrame formateado en lugar de usar el clásico fetchall() y un ciclo for. Esto demuestra que entienden cómo Pandas y SQL pueden trabajar juntos.Oportunidad de Mejora (Sanity Check):En la limpieza de la tabla productos, olvidaron limpiar el signo $ de la columna precio y convertirla a numérico (float o int). Aunque en este ejercicio específico no les generó un error visible porque SQLite es flexible con los tipos de datos (Tipado Dinámico), en un motor estricto como PostgreSQL o SQL Server, intentar multiplicar un texto ($25000) por una cantidad habría causado un colapso del sistema. Recuerden siempre hacer el casting de los datos financieros.Motivación:Tienen una base técnica y lógica sumamente sólida. Han demostrado que no solo saben escribir código, sino que entienden cómo estructurar un proyecto de Inteligencia de Negocios desde la extracción de datos &quot;sucios&quot; hasta la generación de reportes estructurados. Si mantienen esta disciplina, rigurosidad y atención al detalle, están más que preparados para el Corte 3, donde le daremos una Interfaz Gráfica (GUI) a todo este motor lógico que acaban de construir. ¡Felicitaciones por este gran resultado!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en los DataFrames.1.51.5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para encapsular la lógica de Pandas y SQL.+ 1.0+ 0.5TOTAL5.05.0 Diego Mauricio Zuluaga RodríguezProfesor - Departamento de EconomíaUniversidad de La Sabana"/>
    <n v="50"/>
    <n v="50"/>
    <n v="1"/>
  </r>
  <r>
    <x v="21"/>
    <s v="Juan David"/>
    <s v="Neuta Medina"/>
    <s v="juanneme@unisabana.edu.co"/>
    <x v="0"/>
    <d v="2026-04-15T00:00:00"/>
    <x v="0"/>
    <s v="Entregado"/>
    <s v="🚀 Retroalimentación de la_x000a_Entrega: Parcial Final Corte 2  Integrantes: Jose Daniel Escobar Hurtado, Juan David_x000a_Neuta Medina, Laura Fernanda Lopez Parra.  Calificación Final: 45/50 (Equivalente a 4.5)  ¡Hola, equipo! He revisado su examen parcial y quiero_x000a_felicitarlos por el gran esfuerzo y el buen nivel técnico que han demostrado._x000a_Lograron completar el flujo completo de un proyecto de inteligencia de_x000a_negocios, desde la extracción de datos sucios hasta su consolidación en una_x000a_base de datos relacional. En la fase de Limpieza y Normalización con Pandas,_x000a_hicieron un trabajo sólido. Destaco la correcta aplicación de la Primera Forma_x000a_Normal (1NF) al separar las columnas compuestas y el manejo de los valores_x000a_nulos (NaN) con estrategias lógicas como fillna(). La estandarización de los_x000a_textos y la conversión de tipos de datos también fueron ejecutadas_x000a_correctamente. En la fase de Migración y Arquitectura SQL, la_x000a_creación de las tablas y la carga de datos desde los DataFrames limpios fue_x000a_impecable. La estructura de la tabla ventas con sus Llaves Foráneas (FK) es_x000a_correcta y la implementación de las operaciones CRUD (Create, Read, Update,_x000a_Delete) demuestra que comprenden cómo interactuar con una base de datos desde_x000a_Python. Oportunidades de Mejora (Revisión Estricta): _x000a_ Bono_x000a_     de Arquitectura: Aunque el código es funcional, no aplicaron al bono_x000a_     de modularización con POO y archivos .py. La solución se entregó en un_x000a_     solo archivo .ipynb con código secuencial, que si bien es válido, no_x000a_     cumple con el requisito de encapsulamiento avanzado que se pedía para_x000a_     obtener la unidad adicional. _x000a_ Robustez_x000a_     y Manejo de Errores: El código no incluye bloques try-except. Esto_x000a_     significa que si un usuario ingresara un texto en lugar de un número, o si_x000a_     hubiera un error de conexión a la base de datos, el programa colapsaría_x000a_     abruptamente. En un entorno profesional, la gestión de excepciones es_x000a_     fundamental. Motivación: _x000a_Tienen una base técnica muy fuerte y un gran potencial. Este parcial era_x000a_exigente y lograron superarlo con éxito. Para el Corte 3, nuestro enfoque_x000a_estará en las interfaces gráficas (GUI) y la visualización. Les pido que_x000a_presten especial atención a la implementación de try-except para que sus_x000a_aplicaciones no solo sean funcionales, sino también robustas y a prueba de_x000a_errores. ¡Sigan trabajando con el mismo compromiso!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de CSV sucios y exportación de limpios. _x000a_  _x000a_  _x000a_  0.5 _x000a_  _x000a_  _x000a_  0.5 _x000a_  _x000a_ _x000a_ _x000a_  _x000a_  Limpieza y Normalización _x000a_  _x000a_  _x000a_  Manejo de nulos, estandarización y aplicación de 1NF, 2NF,_x000a_  3NF con Pandas. _x000a_  _x000a_  _x000a_  1.5 _x000a_  _x000a_  _x000a_  1.5 _x000a_  _x000a_ _x000a_ _x000a_  _x000a_  Migración a SQLite _x000a_  _x000a_  _x000a_  Creación del archivo .db y carga exitosa de DataFrames con_x000a_  to_sql(). _x000a_  _x000a_  _x000a_  1.0 _x000a_  _x000a_  _x000a_  1.0 _x000a_  _x000a_ _x000a_ _x000a_  _x000a_  Arquitectura y CRUD (SQL) _x000a_  _x000a_  _x000a_  Tabla ventas con PK/FK. Ejecución de INSERT, SELECT_x000a_  (JOIN), UPDATE y DELETE. _x000a_  _x000a_  _x000a_  1.5 _x000a_  _x000a_  _x000a_  1.5 _x000a_  _x000a_ _x000a_ _x000a_  _x000a_  Autogestión y GitHub _x000a_  _x000a_  _x000a_  Repositorio completo, README.md y código documentado. _x000a_  _x000a_  _x000a_  0.5 _x000a_  _x000a_  _x000a_  0.0 _x000a_  _x000a_ _x000a_ _x000a_  _x000a_  Bono de Arquitectura _x000a_  _x000a_  _x000a_  No aplica (No se implementó POO ni archivos .py). _x000a_  _x000a_  _x000a_  +1.0 _x000a_  _x000a_  _x000a_  0.0 _x000a_  _x000a_ _x000a_ _x000a_  _x000a_  TOTAL _x000a_  _x000a_  _x000a_  _x000a_  5.0 _x000a_  _x000a_  _x000a_  4.5 _x000a_  _x000a_  Diego Mauricio Zuluaga Rodríguez Profesor - Departamento de Economía Universidad de La Sabana"/>
    <n v="45"/>
    <n v="50"/>
    <n v="0.9"/>
  </r>
  <r>
    <x v="22"/>
    <s v="Laura Fernanda"/>
    <s v="Lopez Parra"/>
    <s v="lauraloppa@unisabana.edu.co"/>
    <x v="0"/>
    <d v="2026-04-15T00:00:00"/>
    <x v="0"/>
    <s v="Entregado"/>
    <s v="🚀 Retroalimentación de la_x000a_Entrega: Parcial Final Corte 2  Integrantes: Jose Daniel Escobar Hurtado, Juan David_x000a_Neuta Medina, Laura Fernanda Lopez Parra.  Calificación Final: 45/50 (Equivalente a 4.5)  ¡Hola, equipo! He revisado su examen parcial y quiero_x000a_felicitarlos por el gran esfuerzo y el buen nivel técnico que han demostrado._x000a_Lograron completar el flujo completo de un proyecto de inteligencia de_x000a_negocios, desde la extracción de datos sucios hasta su consolidación en una_x000a_base de datos relacional. En la fase de Limpieza y Normalización con Pandas,_x000a_hicieron un trabajo sólido. Destaco la correcta aplicación de la Primera Forma_x000a_Normal (1NF) al separar las columnas compuestas y el manejo de los valores_x000a_nulos (NaN) con estrategias lógicas como fillna(). La estandarización de los_x000a_textos y la conversión de tipos de datos también fueron ejecutadas_x000a_correctamente. En la fase de Migración y Arquitectura SQL, la_x000a_creación de las tablas y la carga de datos desde los DataFrames limpios fue_x000a_impecable. La estructura de la tabla ventas con sus Llaves Foráneas (FK) es_x000a_correcta y la implementación de las operaciones CRUD (Create, Read, Update,_x000a_Delete) demuestra que comprenden cómo interactuar con una base de datos desde_x000a_Python. Oportunidades de Mejora (Revisión Estricta): _x000a_ Bono_x000a_     de Arquitectura: Aunque el código es funcional, no aplicaron al bono_x000a_     de modularización con POO y archivos .py. La solución se entregó en un_x000a_     solo archivo .ipynb con código secuencial, que si bien es válido, no_x000a_     cumple con el requisito de encapsulamiento avanzado que se pedía para_x000a_     obtener la unidad adicional. _x000a_ Robustez_x000a_     y Manejo de Errores: El código no incluye bloques try-except. Esto_x000a_     significa que si un usuario ingresara un texto en lugar de un número, o si_x000a_     hubiera un error de conexión a la base de datos, el programa colapsaría_x000a_     abruptamente. En un entorno profesional, la gestión de excepciones es_x000a_     fundamental. Motivación: _x000a_Tienen una base técnica muy fuerte y un gran potencial. Este parcial era_x000a_exigente y lograron superarlo con éxito. Para el Corte 3, nuestro enfoque_x000a_estará en las interfaces gráficas (GUI) y la visualización. Les pido que_x000a_presten especial atención a la implementación de try-except para que sus_x000a_aplicaciones no solo sean funcionales, sino también robustas y a prueba de_x000a_errores. ¡Sigan trabajando con el mismo compromiso!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de CSV sucios y exportación de limpios. _x000a_  _x000a_  _x000a_  0.5 _x000a_  _x000a_  _x000a_  0.5 _x000a_  _x000a_ _x000a_ _x000a_  _x000a_  Limpieza y Normalización _x000a_  _x000a_  _x000a_  Manejo de nulos, estandarización y aplicación de 1NF, 2NF,_x000a_  3NF con Pandas. _x000a_  _x000a_  _x000a_  1.5 _x000a_  _x000a_  _x000a_  1.5 _x000a_  _x000a_ _x000a_ _x000a_  _x000a_  Migración a SQLite _x000a_  _x000a_  _x000a_  Creación del archivo .db y carga exitosa de DataFrames con_x000a_  to_sql(). _x000a_  _x000a_  _x000a_  1.0 _x000a_  _x000a_  _x000a_  1.0 _x000a_  _x000a_ _x000a_ _x000a_  _x000a_  Arquitectura y CRUD (SQL) _x000a_  _x000a_  _x000a_  Tabla ventas con PK/FK. Ejecución de INSERT, SELECT_x000a_  (JOIN), UPDATE y DELETE. _x000a_  _x000a_  _x000a_  1.5 _x000a_  _x000a_  _x000a_  1.5 _x000a_  _x000a_ _x000a_ _x000a_  _x000a_  Autogestión y GitHub _x000a_  _x000a_  _x000a_  Repositorio completo, README.md y código documentado. _x000a_  _x000a_  _x000a_  0.5 _x000a_  _x000a_  _x000a_  0.0 _x000a_  _x000a_ _x000a_ _x000a_  _x000a_  Bono de Arquitectura _x000a_  _x000a_  _x000a_  No aplica (No se implementó POO ni archivos .py). _x000a_  _x000a_  _x000a_  +1.0 _x000a_  _x000a_  _x000a_  0.0 _x000a_  _x000a_ _x000a_ _x000a_  _x000a_  TOTAL _x000a_  _x000a_  _x000a_  _x000a_  5.0 _x000a_  _x000a_  _x000a_  4.5 _x000a_  _x000a_  Diego Mauricio Zuluaga Rodríguez Profesor - Departamento de Economía Universidad de La Sabana"/>
    <n v="45"/>
    <n v="50"/>
    <n v="0.9"/>
  </r>
  <r>
    <x v="23"/>
    <s v="Lukas"/>
    <s v="Blanco Llanes"/>
    <s v="lukasblll@unisabana.edu.co"/>
    <x v="0"/>
    <d v="2026-04-15T00:00:00"/>
    <x v="0"/>
    <s v="Entregado"/>
    <s v="🚀 Retroalimentación de la_x000a_Entrega: Parcial Final Corte 2 (50%)  Estudiante: Lukas Blanco  Calificación Final: 5.0 / 5.0 (+1.0 Unidad de Bono_x000a_por Arquitectura POO y Modularización)  He revisado detalladamente tu examen parcial y quiero_x000a_felicitarte por el nivel de excelencia, rigor técnico y profesionalismo que has_x000a_demostrado en esta entrega. Has superado con creces las expectativas del curso,_x000a_construyendo un verdadero pipeline ETL (Extract, Transform, Load) digno de un_x000a_entorno de producción real. En primer lugar, la limpieza y normalización de datos con_x000a_Pandas es sobresaliente. La aplicación de la Primera Forma Normal (1NF)_x000a_mediante el split de columnas y la Tercera Forma Normal (3NF) al eliminar la_x000a_columna derivada edad fue exacta. Sin embargo, lo que realmente destaca es tu_x000a_lógica de imputación de datos nulos: generar correos electrónicos dinámicos_x000a_basados en un slug del nombre del cliente o de la empresa, garantizando_x000a_que no haya duplicados mediante un ciclo while y un set, es una solución_x000a_avanzada y brillante. Asimismo, imputar el stock faltante con la mediana_x000a_demuestra un excelente criterio estadístico. En cuanto a la migración a SQLite, la arquitectura es_x000a_impecable. No solo habilitaste las llaves foráneas (PRAGMA foreign_keys = ON;),_x000a_sino que fuiste un paso más allá al crear índices únicos (UNIQUE INDEX) y_x000a_restricciones de validación (CHECK (cantidad &amp;gt; 0)) en la tabla de ventas._x000a_Estas son prácticas de un verdadero Arquitecto de Datos que protegen la_x000a_integridad del sistema a nivel del motor de base de datos. Finalmente, el cumplimiento del bono es perfecto. La_x000a_modularización del proyecto en archivos .py (data_cleaner.py, data_generator.py,_x000a_database_manager.py, main.py) utilizando Programación Orientada a Objetos (con_x000a_el uso moderno de @dataclass) hace que tu código sea altamente escalable,_x000a_legible y fácil de mantener. Has encapsulado responsabilidades de manera_x000a_estricta y profesional. Sigue cultivando esta disciplina y atención al detalle._x000a_Tienes una base técnica sumamente sólida que te abrirá muchas puertas en el_x000a_mundo del análisis de datos y la ingeniería de software. ¡Excelente trabajo y_x000a_mucho éxito en el inicio del Corte 3!  Rúbrica de Calificación _x000a_ _x000a_  _x000a_  Criterio de Evaluación _x000a_  _x000a_  _x000a_  Descripción Técnica _x000a_  _x000a_  _x000a_  Puntaje Máximo _x000a_  _x000a_  _x000a_  Puntaje Obtenido _x000a_  _x000a_ _x000a_ _x000a_  _x000a_  1. Carga y Exportación _x000a_  _x000a_  _x000a_  Generación correcta de los 3 CSV sucios y exportación de_x000a_  los 3 CSV limpios. _x000a_  _x000a_  _x000a_  0.5 _x000a_  _x000a_  _x000a_  0.5 _x000a_  _x000a_ _x000a_ _x000a_  _x000a_  2. Limpieza y Normalización (Pandas) _x000a_  _x000a_  _x000a_  Manejo avanzado de nulos, estandarización de textos y_x000a_  aplicación estricta de 1NF y 3NF. _x000a_  _x000a_  _x000a_  1.5 _x000a_  _x000a_  _x000a_  1.5 _x000a_  _x000a_ _x000a_ _x000a_  _x000a_  3. Migración a SQLite _x000a_  _x000a_  _x000a_  Creación del archivo .db, carga exitosa de DataFrames y_x000a_  creación de índices. _x000a_  _x000a_  _x000a_  1.0 _x000a_  _x000a_  _x000a_  1.0 _x000a_  _x000a_ _x000a_ _x000a_  _x000a_  4. Arquitectura y CRUD (SQL) _x000a_  _x000a_  _x000a_  Creación de la tabla ventas con PK/FK y restricciones CHECK._x000a_  Ejecución exitosa de INSERT, SELECT (JOIN), UPDATE y DELETE. _x000a_  _x000a_  _x000a_  1.5 _x000a_  _x000a_  _x000a_  1.5 _x000a_  _x000a_ _x000a_ _x000a_  _x000a_  5. Autogestión y GitHub _x000a_  _x000a_  _x000a_  Repositorio individual impecable, README.md detallado y_x000a_  código altamente documentado. _x000a_  _x000a_  _x000a_  0.5 _x000a_  _x000a_  _x000a_  0.5 _x000a_  _x000a_ _x000a_ _x000a_  _x000a_  🌟 BONO DE ARQUITECTURA _x000a_  _x000a_  _x000a_  Modularización en múltiples archivos .py usando POO (@dataclass)_x000a_  para encapsular la lógica. _x000a_  _x000a_  _x000a_  + 1.0 _x000a_  _x000a_  _x000a_  + 1.0 _x000a_  _x000a_ _x000a_ _x000a_  _x000a_  TOTAL _x000a_  _x000a_  _x000a_  _x000a_  5.0 _x000a_  _x000a_  _x000a_  5.0 _x000a_  _x000a_   Diego Mauricio Zuluaga Rodríguez Profesor - Departamento de Economía Universidad de La Sabana"/>
    <n v="50"/>
    <n v="50"/>
    <n v="1"/>
  </r>
  <r>
    <x v="24"/>
    <s v="Juan Sebastian"/>
    <s v="Salas Hinojosa"/>
    <s v="juansahi@unisabana.edu.co"/>
    <x v="0"/>
    <d v="2026-04-15T00:00:00"/>
    <x v="0"/>
    <s v="Entregado"/>
    <s v="🚀 Retroalimentación de la_x000a_Entrega: Parcial Final Corte 2 (50%)  Estudiante: Juan Sebastian Calificación Final: 5.0 / 5.0 (+1.0 Unidad de Bono_x000a_por Arquitectura POO y Modularización)  He revisado detalladamente tu examen parcial y quiero_x000a_felicitarte por el nivel de excelencia, rigor técnico y profesionalismo que has_x000a_demostrado en esta entrega. Has superado con creces las expectativas del curso,_x000a_construyendo un verdadero pipeline ETL (Extract, Transform, Load) digno de un_x000a_entorno de producción real. En primer lugar, la limpieza y normalización de datos con_x000a_Pandas es sobresaliente. La aplicación de la Primera Forma Normal (1NF)_x000a_mediante el split de columnas y la Tercera Forma Normal (3NF) al eliminar la_x000a_columna derivada edad fue exacta. Sin embargo, lo que realmente destaca es tu_x000a_lógica de imputación de datos nulos: generar correos electrónicos dinámicos_x000a_basados en un slug del nombre del cliente o de la empresa, garantizando_x000a_que no haya duplicados mediante un ciclo while y un set, es una solución_x000a_avanzada y brillante. Asimismo, imputar el stock faltante con la mediana_x000a_demuestra un excelente criterio estadístico. En cuanto a la migración a SQLite, la arquitectura es_x000a_impecable. No solo habilitaste las llaves foráneas (PRAGMA foreign_keys = ON;),_x000a_sino que fuiste un paso más allá al crear índices únicos (UNIQUE INDEX) y_x000a_restricciones de validación (CHECK (cantidad &amp;gt; 0)) en la tabla de ventas._x000a_Estas son prácticas de un verdadero Arquitecto de Datos que protegen la_x000a_integridad del sistema a nivel del motor de base de datos. Finalmente, el cumplimiento del bono es perfecto. La_x000a_modularización del proyecto en archivos .py (data_cleaner.py, data_generator.py,_x000a_database_manager.py, main.py) utilizando Programación Orientada a Objetos (con_x000a_el uso moderno de @dataclass) hace que tu código sea altamente escalable,_x000a_legible y fácil de mantener. Has encapsulado responsabilidades de manera_x000a_estricta y profesional. Sigue cultivando esta disciplina y atención al detalle._x000a_Tienes una base técnica sumamente sólida que te abrirá muchas puertas en el_x000a_mundo del análisis de datos y la ingeniería de software. ¡Excelente trabajo y_x000a_mucho éxito en el inicio del Corte 3!  Rúbrica de Calificación _x000a_ _x000a_  _x000a_  Criterio de Evaluación _x000a_  _x000a_  _x000a_  Descripción Técnica _x000a_  _x000a_  _x000a_  Puntaje Máximo _x000a_  _x000a_  _x000a_  Puntaje Obtenido _x000a_  _x000a_ _x000a_ _x000a_  _x000a_  1. Carga y Exportación _x000a_  _x000a_  _x000a_  Generación correcta de los 3 CSV sucios y exportación de_x000a_  los 3 CSV limpios. _x000a_  _x000a_  _x000a_  0.5 _x000a_  _x000a_  _x000a_  0.5 _x000a_  _x000a_ _x000a_ _x000a_  _x000a_  2. Limpieza y Normalización (Pandas) _x000a_  _x000a_  _x000a_  Manejo avanzado de nulos, estandarización de textos y_x000a_  aplicación estricta de 1NF y 3NF. _x000a_  _x000a_  _x000a_  1.5 _x000a_  _x000a_  _x000a_  1.5 _x000a_  _x000a_ _x000a_ _x000a_  _x000a_  3. Migración a SQLite _x000a_  _x000a_  _x000a_  Creación del archivo .db, carga exitosa de DataFrames y_x000a_  creación de índices. _x000a_  _x000a_  _x000a_  1.0 _x000a_  _x000a_  _x000a_  1.0 _x000a_  _x000a_ _x000a_ _x000a_  _x000a_  4. Arquitectura y CRUD (SQL) _x000a_  _x000a_  _x000a_  Creación de la tabla ventas con PK/FK y restricciones CHECK._x000a_  Ejecución exitosa de INSERT, SELECT (JOIN), UPDATE y DELETE. _x000a_  _x000a_  _x000a_  1.5 _x000a_  _x000a_  _x000a_  1.5 _x000a_  _x000a_ _x000a_ _x000a_  _x000a_  5. Autogestión y GitHub _x000a_  _x000a_  _x000a_  Repositorio individual impecable, README.md detallado y_x000a_  código altamente documentado. _x000a_  _x000a_  _x000a_  0.5 _x000a_  _x000a_  _x000a_  0.5 _x000a_  _x000a_ _x000a_ _x000a_  _x000a_  🌟 BONO DE ARQUITECTURA _x000a_  _x000a_  _x000a_  Modularización en múltiples archivos .py usando POO (@dataclass)_x000a_  para encapsular la lógica. _x000a_  _x000a_  _x000a_  + 1.0 _x000a_  _x000a_  _x000a_  + 1.0 _x000a_  _x000a_ _x000a_ _x000a_  _x000a_  TOTAL _x000a_  _x000a_  _x000a_  _x000a_  5.0 _x000a_  _x000a_  _x000a_  5.0 _x000a_  _x000a_   Diego Mauricio Zuluaga Rodríguez Profesor - Departamento de Economía Universidad de La Sabana"/>
    <n v="50"/>
    <n v="50"/>
    <n v="1"/>
  </r>
  <r>
    <x v="25"/>
    <s v="Avril Avril"/>
    <s v="Ariza Quitian"/>
    <s v="avrilarqu@unisabana.edu.co"/>
    <x v="0"/>
    <d v="2026-04-15T00:00:00"/>
    <x v="0"/>
    <s v="Entregado"/>
    <s v="🚀 Retroalimentación de la_x000a_Entrega: Parcial Final Corte 2 (50%)  Integrantes: Avril Ariza, Samantha Vanegas.  Calificación Final: 5.0 / 5.0 (+1.0 Unidad de Bono_x000a_por Arquitectura POO y Modularidad)  ¡Hola, equipo! He revisado detalladamente su examen parcial_x000a_y quiero felicitarlas por el altísimo nivel técnico y arquitectónico que han_x000a_demostrado. Han entregado un proyecto que no solo cumple con los requisitos_x000a_académicos, sino que está estructurado con los estándares de calidad de la_x000a_industria del software.  Puntos a destacar (Lo excelente): _x000a_ Arquitectura_x000a_     Modular (Bono +1.0): La decisión de separar el proyecto en limpieza.py,_x000a_     base_datos.py y main.py es brillante. Utilizar el main.py únicamente como_x000a_     un orquestador que llama a las clases de los otros módulos hace que el_x000a_     código sea increíblemente limpio, escalable y fácil de mantener. Esto les_x000a_     otorga el bono completo de +1.0 unidad. _x000a_ POO_x000a_     Avanzada en Pandas: La creación de la clase LimpiadorBase y hacer que LimpiadorProductos,_x000a_     LimpiadorClientes y LimpiadorProveedores hereden de ella demuestra un_x000a_     dominio profundo de la Herencia (DRY - Don't Repeat Yourself)._x000a_     Encapsularon la lógica de exportación y resumen de nulos en el padre,_x000a_     dejando a los hijos solo la responsabilidad de la limpieza específica._x000a_     ¡Excelente diseño! _x000a_ Limpieza_x000a_     y Normalización Excepcional: Su manejo de Pandas fue impecable. La_x000a_     aplicación de la 1NF (separando columnas con str.split), la 3NF_x000a_     (eliminando la columna derivada edad) y el uso de expresiones regulares (regex=True)_x000a_     para limpiar los ceros decimales de los teléfonos demuestra que auditaron_x000a_     los datos a fondo. _x000a_ Migración_x000a_     a SQLite Inteligente: El método _redefinir_pk() en la clase GestorCafeteria_x000a_     es una solución muy profesional. Como df.to_sql() de Pandas no permite_x000a_     definir Llaves Primarias (PK) estrictas, ustedes crearon una función que_x000a_     recrea las tablas con la sintaxis SQL correcta y migra los datos. Esto_x000a_     garantizó que la tabla ventas pudiera usar Llaves Foráneas (FK) sin_x000a_     problemas de integridad.  Motivación: Tienen una base técnica, lógica y arquitectónica_x000a_sobresaliente. Han demostrado que entienden cómo construir un proyecto de_x000a_Inteligencia de Negocios de extremo a extremo, desde la extracción de datos_x000a_&quot;sucios&quot; hasta la persistencia en bases de datos relacionales con_x000a_código modular. Si mantienen esta disciplina, rigurosidad y atención al_x000a_detalle, están más que preparadas para liderar el desarrollo de la Interfaz_x000a_Gráfica (GUI) y la conexión con Power BI en el Corte 3. ¡Felicitaciones por_x000a_este resultado excepcional!  Rúbrica de Calificación _x000a_ _x000a_  _x000a_  Criterio de Evaluación _x000a_  _x000a_  _x000a_  Descripción Técnica _x000a_  _x000a_  _x000a_  Puntaje Máximo _x000a_  _x000a_  _x000a_  Puntaje Obtenido _x000a_  _x000a_ _x000a_ _x000a_  _x000a_  1. Carga y Exportación _x000a_  _x000a_  _x000a_  Generación correcta de los 3 CSV sucios y exportación de_x000a_  los 3 CSV limpios. _x000a_  _x000a_  _x000a_  0.5 _x000a_  _x000a_  _x000a_  0.5 _x000a_  _x000a_ _x000a_ _x000a_  _x000a_  2. Limpieza y Normalización (Pandas) _x000a_  _x000a_  _x000a_  Manejo de nulos, estandarización de textos y aplicación_x000a_  correcta de 1NF y 3NF en los DataFrames. _x000a_  _x000a_  _x000a_  1.5 _x000a_  _x000a_  _x000a_  1.5 _x000a_  _x000a_ _x000a_ _x000a_  _x000a_  3. Migración a SQLite _x000a_  _x000a_  _x000a_  Creación del archivo .db y carga exitosa de los 3_x000a_  DataFrames limpios como tablas SQL con PK. _x000a_  _x000a_  _x000a_  1.0 _x000a_  _x000a_  _x000a_  1.0 _x000a_  _x000a_ _x000a_ _x000a_  _x000a_  4. Arquitectura y CRUD (SQL) _x000a_  _x000a_  _x000a_  Creación de la tabla ventas con PK/FK válidas. Ejecución_x000a_  exitosa de INSERT, SELECT (con JOIN), UPDATE y DELETE. _x000a_  _x000a_  _x000a_  1.5 _x000a_  _x000a_  _x000a_  1.5 _x000a_  _x000a_ _x000a_ _x000a_  _x000a_  5. Autogestión y GitHub _x000a_  _x000a_  _x000a_  Repositorio individual completo, README.md detallado y_x000a_  código documentado. _x000a_  _x000a_  _x000a_  0.5 _x000a_  _x000a_  _x000a_  0.5 _x000a_  _x000a_ _x000a_ _x000a_  _x000a_  🌟 BONO DE ARQUITECTURA _x000a_  _x000a_  _x000a_  Modularización con POO (.py) para encapsular la lógica de_x000a_  Pandas y SQL. _x000a_  _x000a_  _x000a_  + 1.0 _x000a_  _x000a_  _x000a_  + 1.0 _x000a_  _x000a_ _x000a_ _x000a_  _x000a_  TOTAL _x000a_  _x000a_  _x000a_  _x000a_  5.0 _x000a_  _x000a_  _x000a_  5.0 _x000a_  _x000a_  Diego Mauricio Zuluaga Rodríguez Profesor - Departamento de Economía Universidad de La Sabana"/>
    <n v="50"/>
    <n v="50"/>
    <n v="1"/>
  </r>
  <r>
    <x v="26"/>
    <s v="Samuel David"/>
    <s v="Simancas Contreras"/>
    <s v="samuelsico@unisabana.edu.co"/>
    <x v="0"/>
    <d v="2026-04-15T00:00:00"/>
    <x v="0"/>
    <s v="Entregado"/>
    <s v="☕ Retroalimentación de la_x000a_Entrega: Parcial Final Corte 2  Integrantes: Samuel David Simancas Contreras, Juan_x000a_Sebastian Perdomo Herrera, Daniel Felipe Camacho Pedraza.  Calificación Final: 0.0 / 5.0  ¡Hola, equipo! Es un gusto saludarlos. He revisado la_x000a_entrega y quiero empezar reconociendo el excelente trabajo que hicieron en la_x000a_documentación y planeación del proyecto. El archivo README que enviaron es_x000a_detallado, profesional y demuestra que entendieron a la perfección cada uno de_x000a_los requerimientos técnicos del parcial, desde la limpieza con Pandas hasta la_x000a_arquitectura SQL. Sin embargo, y aquí debo ser muy claro y estricto como lo_x000a_exige la rúbrica, el parcial tenía como requisito fundamental la entrega de un repositorio_x000a_público en GitHub que contuviera todos los archivos funcionales (.ipynb, el_x000a_archivo de base de datos .db, los CSVs, etc.). Lamentablemente, esta parte_x000a_crucial de la entrega no se realizó. Al no tener acceso al repositorio, no puedo auditar el_x000a_código fuente que ejecutaron, verificar la lógica de Pandas, la estructura de_x000a_la base de datos .db, ni las operaciones CRUD. En un entorno profesional, un_x000a_proyecto que no se entrega en el formato y plataforma solicitados es un_x000a_proyecto que no se puede evaluar. La autogestión y el seguimiento de_x000a_instrucciones de entrega son tan importantes como la calidad del código mismo. Sé que esta calificación es dura, pero es un reflejo directo_x000a_de la importancia de la autogestión y el seguimiento de instrucciones en la_x000a_ingeniería de software. La calidad de su planeación en el README me dice que_x000a_tienen el potencial técnico, pero la ejecución de la entrega falló. Usen esto_x000a_como una lección fundamental para el Corte 3 y para su futuro profesional: un_x000a_gran trabajo solo cuenta si se entrega correctamente. Confío en que se_x000a_recuperarán en el último corte.  Rúbrica de Calificación _x000a_ _x000a_  _x000a_  Criterio _x000a_  _x000a_  _x000a_  Descripción _x000a_  _x000a_  _x000a_  Puntos Máximo _x000a_  _x000a_  _x000a_  Puntaje Obtenido _x000a_  _x000a_ _x000a_ _x000a_  _x000a_  Carga y Exportación _x000a_  _x000a_  _x000a_  Generación y exportación de archivos CSV. _x000a_  _x000a_  _x000a_  0.5 _x000a_  _x000a_  _x000a_  0.0 _x000a_  _x000a_ _x000a_ _x000a_  _x000a_  Comentario _x000a_  _x000a_  _x000a_  Aunque se adjuntaron los CSV, no se entregó el código .ipynb_x000a_  que los genera, por lo que no es posible auditar el proceso. _x000a_  _x000a_  _x000a_  _x000a_ _x000a_ _x000a_  _x000a_  Limpieza y Normalización (Pandas) _x000a_  _x000a_  _x000a_  Manejo de nulos, estandarización y aplicación de 1NF, 2NF,_x000a_  3NF. _x000a_  _x000a_  _x000a_  1.5 _x000a_  _x000a_  _x000a_  0.0 _x000a_  _x000a_ _x000a_ _x000a_  _x000a_  Comentario _x000a_  _x000a_  _x000a_  El README describe el proceso, pero sin el código_x000a_  fuente no se puede verificar la implementación en Pandas. _x000a_  _x000a_  _x000a_  _x000a_ _x000a_ _x000a_  _x000a_  Migración a SQLite _x000a_  _x000a_  _x000a_  Creación del archivo .db y carga de DataFrames. _x000a_  _x000a_  _x000a_  1.0 _x000a_  _x000a_  _x000a_  0.0 _x000a_  _x000a_ _x000a_ _x000a_  _x000a_  Comentario _x000a_  _x000a_  _x000a_  El archivo de base de datos (.db), que es una evidencia_x000a_  crítica, no fue entregado. _x000a_  _x000a_  _x000a_  _x000a_ _x000a_ _x000a_  _x000a_  Arquitectura y CRUD (SQL) _x000a_  _x000a_  _x000a_  Creación de tabla ventas con PK/FK y ejecución de CRUD. _x000a_  _x000a_  _x000a_  1.5 _x000a_  _x000a_  _x000a_  0.0 _x000a_  _x000a_ _x000a_ _x000a_  _x000a_  Comentario _x000a_  _x000a_  _x000a_  Sin el archivo .db y el código, es imposible verificar_x000a_  la arquitectura SQL y las operaciones. _x000a_  _x000a_  _x000a_  _x000a_ _x000a_ _x000a_  _x000a_  Autogestión y GitHub _x000a_  _x000a_  _x000a_  Repositorio individual completo, README.md y código_x000a_  documentado. _x000a_  _x000a_  _x000a_  0.5 _x000a_  _x000a_  _x000a_  0.0 _x000a_  _x000a_ _x000a_ _x000a_  _x000a_  Comentario _x000a_  _x000a_  _x000a_  El repositorio público, que era el entregable_x000a_  principal, no fue proporcionado. _x000a_  _x000a_  _x000a_  _x000a_ _x000a_ _x000a_  _x000a_  TOTAL _x000a_  _x000a_  _x000a_  _x000a_  5.0 _x000a_  _x000a_  _x000a_  0.0 _x000a_  _x000a_   Diego Mauricio Zuluaga Rodríguez Profesor - Departamento de Economía Universidad de La Sabana"/>
    <n v="10"/>
    <n v="50"/>
    <n v="0.2"/>
  </r>
  <r>
    <x v="27"/>
    <s v="Maria Jose"/>
    <s v="Huertas Osorio"/>
    <s v="mariahueos@unisabana.edu.co"/>
    <x v="0"/>
    <d v="2026-04-15T00:00:00"/>
    <x v="0"/>
    <s v="Entregado"/>
    <s v="🚀 Retroalimentación de la_x000a_Entrega: Parcial Final Corte 2 (50%)  Integrantes: Alessandro Di Mauro Bonilla Correa,_x000a_Gabriela Ruiz Pérez, María José Huertas Osorio.  Calificación Final: 4.2 / 5.0 (Incluye +0.5 de_x000a_Bono Parcial por POO)  ¡Hola, equipo! He revisado detalladamente su examen parcial._x000a_A nivel de lógica de programación y sintaxis, el código que escribieron es muy_x000a_bueno y demuestra que entienden cómo funcionan las herramientas. Sin embargo,_x000a_la evaluación de hoy es estricta porque simula un entorno profesional real, y_x000a_en ese aspecto hubo fallas críticas de seguimiento de instrucciones y_x000a_autogestión. En primer lugar, el aspecto más preocupante de su entrega es_x000a_que cambiaron por completo el contexto del negocio y los datos de prueba. El_x000a_examen exigía explícitamente trabajar con los datos de la &quot;Cafetería U._x000a_Sabana&quot; proporcionados en la celda del enunciado. Ustedes decidieron_x000a_ignorar esos datos y crear su propio ecosistema (&quot;EduTech&quot;) con un_x000a_dataset minúsculo. En la vida real, si un cliente los contrata para limpiar la_x000a_base de datos de su cafetería y ustedes le entregan el sistema de un colegio,_x000a_el proyecto es rechazado. Además, al cambiar los datos, evadieron los retos_x000a_técnicos reales del examen, como la limpieza de los signos $ en los precios, lo_x000a_cual penaliza su nota en los criterios de Carga y Limpieza. En segundo lugar, respecto a la arquitectura SQL, su código_x000a_es funcional y el uso de JOIN es correcto. No obstante, la rúbrica exigía_x000a_explícitamente un mínimo de 5 registros en las operaciones CREATE para poder_x000a_auditar el sistema. Ustedes solo insertaron 3 inscripciones, lo que representa_x000a_otra penalización por no seguir los requerimientos mínimos del cliente. Finalmente, hablemos del Bono de Arquitectura. Implementaron_x000a_la clase PlataformaEduTech para encapsular la lógica, lo cual es un excelente_x000a_esfuerzo y demuestra dominio de la Programación Orientada a Objetos. Sin_x000a_embargo, la instrucción para obtener el bono completo (+1.0) exigía que el_x000a_proyecto estuviera modularizado en varios archivos .py (ej. limpieza.py, main.py)._x000a_Al entregar un único archivo .ipynb, solo se les otorga la mitad del bono_x000a_(+0.5). Como motivación, quiero que sepan que su capacidad técnica_x000a_para escribir código en Pandas y SQL es innegable. El código corre sin errores_x000a_y la lógica relacional es perfecta. El reto para ustedes ahora es alinear esa_x000a_excelente capacidad técnica con el rigor corporativo: leer los requerimientos_x000a_del cliente, respetar los datos proporcionados y cumplir con las reglas de_x000a_negocio al pie de la letra. ¡Tienen todo el potencial para ser grandes líderes_x000a_tecnológicos si ajustan este enfoque!  _x000a_ _x000a_  _x000a_  Criterio de Evaluación _x000a_  _x000a_  _x000a_  Descripción Técnica _x000a_  _x000a_  _x000a_  Puntaje Máximo _x000a_  _x000a_  _x000a_  Puntaje Obtenido _x000a_  _x000a_ _x000a_ _x000a_  _x000a_  1. Carga y Exportación _x000a_  _x000a_  _x000a_  Penalización severa: No utilizaron los datasets_x000a_  proporcionados en el examen, alterando el contexto del negocio. _x000a_  _x000a_  _x000a_  0.5 _x000a_  _x000a_  _x000a_  0.0 _x000a_  _x000a_ _x000a_ _x000a_  _x000a_  2. Limpieza y Normalización _x000a_  _x000a_  _x000a_  Lógica correcta (1NF, nulos), pero aplicada a un dataset_x000a_  propio que evadió los retos de limpieza exigidos (ej. signos de moneda). _x000a_  _x000a_  _x000a_  1.5 _x000a_  _x000a_  _x000a_  1.0 _x000a_  _x000a_ _x000a_ _x000a_  _x000a_  3. Migración a SQLite _x000a_  _x000a_  _x000a_  Creación correcta del archivo .db y carga exitosa de los_x000a_  DataFrames limpios como tablas SQL. _x000a_  _x000a_  _x000a_  1.0 _x000a_  _x000a_  _x000a_  1.0 _x000a_  _x000a_ _x000a_ _x000a_  _x000a_  4. Arquitectura y CRUD (SQL) _x000a_  _x000a_  _x000a_  PK/FK válidas y operaciones exitosas. Penalización por_x000a_  insertar solo 3 registros en lugar de los 5 exigidos. _x000a_  _x000a_  _x000a_  1.5 _x000a_  _x000a_  _x000a_  1.2 _x000a_  _x000a_ _x000a_ _x000a_  _x000a_  5. Autogestión y GitHub _x000a_  _x000a_  _x000a_  Repositorio funcional, pero fallas críticas en el_x000a_  seguimiento de instrucciones del cliente. _x000a_  _x000a_  _x000a_  0.5 _x000a_  _x000a_  _x000a_  0.3 _x000a_  _x000a_ _x000a_ _x000a_  _x000a_  🌟 BONO DE ARQUITECTURA _x000a_  _x000a_  _x000a_  Uso de POO (+0.5), pero no se modularizó en archivos .py_x000a_  como se exigía para el bono completo (+0.0). _x000a_  _x000a_  _x000a_  + 1.0 _x000a_  _x000a_  _x000a_  + 0.5 _x000a_  _x000a_ _x000a_ _x000a_  _x000a_  TOTAL _x000a_  _x000a_  _x000a_  _x000a_  5.0 _x000a_  _x000a_  _x000a_  4.0 _x000a_  _x000a_   Diego Mauricio Zuluaga Rodríguez Profesor - Departamento de Economía Universidad de La Sabana"/>
    <n v="40"/>
    <n v="50"/>
    <n v="0.8"/>
  </r>
  <r>
    <x v="28"/>
    <s v="Juan Camilo"/>
    <s v="Leyton Lancheros"/>
    <s v="juanleyla@unisabana.edu.co"/>
    <x v="0"/>
    <d v="2026-04-15T00:00:00"/>
    <x v="0"/>
    <s v="Entregado"/>
    <s v="☕ Retroalimentación del Parcial_x000a_Final - Corte 2: Inteligencia de Negocios  Integrantes: Nicolas Torres Calderon, Juan Camilo_x000a_Leyton Lancheros, Cristian Bermudez.  Calificación Final: 4.6 / 5.0  ¡Hola, equipo! Espero que se encuentren muy bien. He_x000a_revisado detalladamente la entrega de su parcial y quiero comenzar_x000a_felicitándolos por la excelencia técnica demostrada en el procesamiento_x000a_de los datos. Su dominio de la librería Pandas y la estructuración de la base_x000a_de datos relacional es de un nivel muy alto, lo cual es fundamental para su_x000a_formación en la EICEA. En la Fase de Limpieza y Normalización, realizaron un_x000a_trabajo impecable. Aplicaron correctamente la Primera Forma Normal (1NF) al_x000a_separar las columnas compuestas y, lo más importante, demostraron entender la_x000a_Tercera Forma Normal (3NF) al eliminar la columna &quot;edad&quot;,_x000a_reconociendo que es un dato redundante que se deriva de la fecha de nacimiento._x000a_El manejo de valores nulos con &quot;No Registra&quot; y la estandarización de_x000a_textos con .str.title() le dan un acabado profesional a los datasets. En la Fase de Arquitectura SQL, la creación de la_x000a_tabla &quot;ventas&quot; fue ejecutada con precisión. Incluyeron correctamente_x000a_las Llaves Primarias y Foráneas, y no olvidaron activar el PRAGMA foreign_keys_x000a_= ON, un paso crítico que garantiza que la base de datos realmente proteja la_x000a_integridad de la información. Las operaciones CRUD (Crear, Leer, Actualizar,_x000a_Eliminar) funcionan perfectamente, y el reporte con INNER JOIN permite_x000a_visualizar la información de forma coherente. Sin embargo, como les mencioné desde el inicio del semestre,_x000a_la Autogestión y el seguimiento estricto de instrucciones son_x000a_competencias tan importantes como la programación misma. En este punto la_x000a_calificación debe ser muy estricta para prepararlos para el mundo profesional:  _x000a_ Incumplimiento_x000a_     en el formato de entrega: Las instrucciones eran claras al solicitar_x000a_     que la entrega se realizara mediante un vínculo de un repositorio_x000a_     público en GitHub. Subir los archivos directamente a Teams dificulta_x000a_     la auditoría de versiones y el flujo de trabajo colaborativo que estamos_x000a_     practicando. Por esta razón, el puntaje en el criterio de_x000a_     &quot;Autogestión y GitHub&quot; se ha visto penalizado significativamente. _x000a_ Sobre_x000a_     el Bono de Arquitectura: El bono de +1.0 unidad extra exigía dos_x000a_     requisitos obligatorios: modularizar el proyecto en varios archivos .py_x000a_     y utilizar Programación Orientada a Objetos (POO) para encapsular_x000a_     la lógica. Aunque su código en el Notebook es excelente, es un script_x000a_     procedimental y no implementa Clases ni Objetos, por lo cual no es posible_x000a_     otorgar este beneficio adicional. A pesar de estas observaciones sobre el cumplimiento de las_x000a_reglas de entrega, el contenido técnico de su examen es sobresaliente. Tienen_x000a_una lógica de programación muy sólida. Si logran combinar ese talento técnico_x000a_con una atención rigurosa a los detalles administrativos y de despliegue (como_x000a_el uso de GitHub), serán profesionales imparables. ¡Mucho ánimo para el inicio_x000a_del Corte 3, donde daremos el salto a las interfaces gráficas y Power BI!  Rúbrica de Calificación _x000a_ _x000a_  _x000a_  Criterio de Evaluación _x000a_  _x000a_  _x000a_  Requisito Técnico _x000a_  _x000a_  _x000a_  Puntaje Máximo _x000a_  _x000a_  _x000a_  Puntaje Obtenido _x000a_  _x000a_ _x000a_ _x000a_  _x000a_  1. Carga y Exportación _x000a_  _x000a_  _x000a_  Generación de CSV sucios y exportación de limpios. _x000a_  _x000a_  _x000a_  0.5 _x000a_  _x000a_  _x000a_  0.5 _x000a_  _x000a_ _x000a_ _x000a_  _x000a_  2. Limpieza y Normalización _x000a_  _x000a_  _x000a_  Manejo de nulos, estandarización y aplicación de 1NF, 2NF,_x000a_  3NF con Pandas. _x000a_  _x000a_  _x000a_  1.5 _x000a_  _x000a_  _x000a_  1.5 _x000a_  _x000a_ _x000a_ _x000a_  _x000a_  3. Migración a SQLite _x000a_  _x000a_  _x000a_  Creación del archivo .db y carga exitosa de DataFrames con_x000a_  to_sql(). _x000a_  _x000a_  _x000a_  1.0 _x000a_  _x000a_  _x000a_  1.0 _x000a_  _x000a_ _x000a_ _x000a_  _x000a_  4. Arquitectura y CRUD (SQL) _x000a_  _x000a_  _x000a_  Tabla ventas con PK/FK. Ejecución de INSERT, SELECT_x000a_  (JOIN), UPDATE y DELETE. _x000a_  _x000a_  _x000a_  1.5 _x000a_  _x000a_  _x000a_  1.5 _x000a_  _x000a_ _x000a_ _x000a_  _x000a_  5. Autogestión y GitHub _x000a_  _x000a_  _x000a_  Repositorio individual en GitHub y README. (No se entregó_x000a_  link de GitHub). _x000a_  _x000a_  _x000a_  0.5 _x000a_  _x000a_  _x000a_  0.1 _x000a_  _x000a_ _x000a_ _x000a_  _x000a_  Bono de Arquitectura _x000a_  _x000a_  _x000a_  Modularización con POO y archivos .py. (No se aplicó POO_x000a_  ni .py). _x000a_  _x000a_  _x000a_  +1.0 _x000a_  _x000a_  _x000a_  0.0 _x000a_  _x000a_ _x000a_ _x000a_  _x000a_  TOTAL FINAL _x000a_  _x000a_  _x000a_  _x000a_  5.0 _x000a_  _x000a_  _x000a_  4.6 _x000a_  _x000a_   Diego Mauricio Zuluaga Rodríguez Profesor - Departamento de Economía Universidad de La Sabana"/>
    <n v="46"/>
    <n v="50"/>
    <n v="0.92"/>
  </r>
  <r>
    <x v="29"/>
    <s v="Samuel Mathias"/>
    <s v="Gonzalez Bernal"/>
    <s v="samuelgonbe@unisabana.edu.co"/>
    <x v="0"/>
    <d v="2026-04-15T00:00:00"/>
    <x v="0"/>
    <s v="Entregado"/>
    <s v="☕ Retroalimentación Parcial Corte_x000a_2: Fase de Analítica — Cafetería U. Sabana  Integrantes: Sebastian Vanoy Gutierrez, Samuel David_x000a_Lozano Holguin, Samuel Mathias Gonzalez Bernal.  Calificación Final: 5.0 / 5.0 (Nota obtenida: 5.0 +_x000a_1.0 de Bono = 6.0. Se registra 5.0 según reglamento).  ¡Hola, equipo! Es un gusto saludarlos. He revisado_x000a_minuciosamente su entrega y debo decir que han superado con creces las_x000a_expectativas de este examen parcial. Han demostrado no solo un dominio técnico_x000a_de las herramientas, sino una capacidad de arquitectura de software que es_x000a_propia de profesionales en la industria tecnológica. Su proceso de Limpieza y Normalización con Pandas fue_x000a_impecable. Aplicaron la 1NF separando las columnas compuestas con precisión y,_x000a_lo más importante, identificaron correctamente la redundancia de la 3NF al_x000a_eliminar la columna 'edad', entendiendo que es un dato que depende_x000a_transitivamente de la fecha de nacimiento. El manejo de nulos y la_x000a_estandarización de textos con .str.title() garantizan que la base de datos sea_x000a_confiable para cualquier análisis posterior. En la fase de Arquitectura SQL, quiero destacar una_x000a_práctica de altísimo nivel que implementaron: la definición de esquemas_x000a_explícitos antes de la migración. Muchos estudiantes cometen el error de dejar_x000a_que Pandas cree las tablas automáticamente, lo cual suele omitir las llaves_x000a_primarias (PK). Ustedes se tomaron el trabajo de declarar los esquemas en el_x000a_diccionario _ESQUEMAS, asegurando que las llaves foráneas (FK) en la tabla ventas_x000a_tuvieran una referencia sólida. Esto es ingeniería de datos real. Sobre el Bono de Arquitectura (+1.0), su_x000a_implementación es sobresaliente. Modularizar el proyecto en archivos .py_x000a_independientes (limpieza.py, base_datos.py, generar_datos.py) y orquestarlos_x000a_mediante un main.py es la forma correcta de construir software escalable. El_x000a_uso de Programación Orientada a Objetos para encapsular la lógica de limpieza y_x000a_el uso de Type Hinting (ej. ruta_db: str) en sus métodos demuestra una_x000a_sofisticación técnica admirable. Sigan con ese nivel de rigurosidad y autogestión. Han pasado_x000a_de ser estudiantes que escriben código a ser arquitectos que diseñan_x000a_soluciones. Esta base les permitirá afrontar el Corte 3 y el desarrollo de_x000a_interfaces gráficas con una ventaja competitiva inmensa. ¡Felicitaciones por_x000a_este resultado extraordinario!  📊 RÚBRICA DE EVALUACIÓN _x000a_ _x000a_  _x000a_  Criterio _x000a_  _x000a_  _x000a_  Descripción Técnica _x000a_  _x000a_  _x000a_  Puntaje Máximo _x000a_  _x000a_  _x000a_  Puntaje Obtenido _x000a_  _x000a_ _x000a_ _x000a_  _x000a_  1. Carga y Exportación _x000a_  _x000a_  _x000a_  Generación de CSV sucios y exportación de 3 CSV limpios_x000a_  correctamente. _x000a_  _x000a_  _x000a_  0.5 _x000a_  _x000a_  _x000a_  0.5 _x000a_  _x000a_ _x000a_ _x000a_  _x000a_  2. Limpieza y Normalización _x000a_  _x000a_  _x000a_  Aplicación de 1NF, 2NF y 3NF. Manejo de nulos y tipos de_x000a_  datos en Pandas. _x000a_  _x000a_  _x000a_  1.5 _x000a_  _x000a_  _x000a_  1.5 _x000a_  _x000a_ _x000a_ _x000a_  _x000a_  3. Migración a SQLite _x000a_  _x000a_  _x000a_  Creación de .db y carga de tablas con esquemas explícitos_x000a_  (PK declaradas). _x000a_  _x000a_  _x000a_  1.0 _x000a_  _x000a_  _x000a_  1.0 _x000a_  _x000a_ _x000a_ _x000a_  _x000a_  4. Arquitectura y CRUD _x000a_  _x000a_  _x000a_  Tabla ventas con 3 FK. Ejecución exitosa de INSERT, JOIN,_x000a_  UPDATE y DELETE. _x000a_  _x000a_  _x000a_  1.5 _x000a_  _x000a_  _x000a_  1.5 _x000a_  _x000a_ _x000a_ _x000a_  _x000a_  5. Autogestión y GitHub _x000a_  _x000a_  _x000a_  Repositorio impecable, README profesional y código_x000a_  documentado. _x000a_  _x000a_  _x000a_  0.5 _x000a_  _x000a_  _x000a_  0.5 _x000a_  _x000a_ _x000a_ _x000a_  _x000a_  🌟 BONO POO _x000a_  _x000a_  _x000a_  Modularización en archivos .py y uso avanzado de Clases y_x000a_  Objetos. _x000a_  _x000a_  _x000a_  +1.0 _x000a_  _x000a_  _x000a_  +1.0 _x000a_  _x000a_ _x000a_ _x000a_  _x000a_  TOTAL FINAL _x000a_  _x000a_  _x000a_  _x000a_  5.0 _x000a_  _x000a_  _x000a_  5.0 (+1.0) _x000a_  _x000a_  Diego Mauricio Zuluaga Rodríguez Profesor - Departamento de Economía Universidad de La Sabana"/>
    <n v="50"/>
    <n v="50"/>
    <n v="1"/>
  </r>
  <r>
    <x v="30"/>
    <s v="Valeria"/>
    <s v="Morales"/>
    <s v="valeriamor@unisabana.edu.co"/>
    <x v="0"/>
    <d v="2026-04-15T00:00:00"/>
    <x v="0"/>
    <s v="Entregado"/>
    <s v="🚀 Retroalimentación de la Entrega: Parcial Final Corte 2 (50%)Integrantes: Valeria Morales Giraldo, Paula Arciniegas, Isabella CarranzaCalificación Final: 4.5 / 5.0¡Hola, equipo! He revisado detalladamente su examen parcial. Han logrado integrar de forma muy interesante la limpieza de datos con Pandas y la persistencia en bases de datos relacionales (SQLite). El flujo del programa es lógico y cumple con el objetivo principal de transformar datos &quot;sucios&quot; en información estructurada.Puntos a destacar (Lo excelente):Limpieza y Normalización (Pandas): El manejo que le dieron a los DataFrames fue muy acertado. La separación de las columnas compuestas (cliente_info, empresa_ciudad, producto_info) usando .str.split(expand=True) garantizó la Primera Forma Normal (1NF). Además, la eliminación de la columna redundante edad (3NF) demuestra que entienden los principios de normalización.Migración a SQLite: El uso de df.to_sql() para cargar los DataFrames directamente como tablas en la base de datos es la forma más eficiente de migrar información. La creación manual de las tablas antes de insertar los datos para asegurar los tipos de datos es una excelente práctica.Arquitectura y CRUD (SQL): La creación de la tabla ventas con las Llaves Foráneas (FK) correctas y la ejecución de las operaciones CRUD (INSERT, UPDATE, DELETE) demuestra un buen dominio de SQL. El uso de pd.read_sql() para ejecutar el JOIN y mostrar el resultado como un DataFrame es una forma muy profesional de presentar reportes.Oportunidades de Mejora (Rigor Técnico y Autogestión):Bono de Arquitectura: El enunciado era claro en que para obtener el bono de +1.0 unidad, el proyecto debía estar &quot;modularizado en varios archivos .py (Ej: limpieza.py, base_datos.py, main.py)&quot;. Ustedes entregaron un único archivo .ipynb. Aunque usaron POO (lo cual es excelente), no cumplieron con el requisito de modularización en archivos separados, por lo que no se otorga el bono.Limpieza Incompleta (Sanity Check): En la limpieza de la tabla productos, olvidaron limpiar el signo $ de la columna precio y convertirla a numérico (float o int). Si intentan hacer operaciones matemáticas con esa columna en SQLite, el sistema fallará porque los datos siguen siendo texto ($5000).Manejo de Nulos (NaN): En la tabla productos, la columna stock tenía valores nulos. Su código los rellenó con 0, lo cual es válido, pero olvidaron manejar los nulos en la columna precio (si los hubiera) o en otras columnas críticas antes de exportar.Motivación:Tienen una base técnica y lógica sumamente sólida. Han demostrado que saben cómo estructurar un proyecto de Inteligencia de Negocios desde la extracción de datos hasta la generación de reportes. Para el Corte 3, donde le daremos una Interfaz Gráfica (GUI) a todo este motor lógico, presten especial atención a los detalles de limpieza de datos (como el signo $) y sigan las instrucciones de entrega al pie de la letra. ¡Están haciendo un gran trabajo como futuras CTOs!Rúbrica de CalificaciónCriterio de EvaluaciónDescripción TécnicaPuntaje MáximoPuntaje Obtenido1. Carga y ExportaciónGeneración correcta de los 3 CSV sucios y exportación de los 3 CSV limpios.0.50.52. Limpieza y Normalización (Pandas)Manejo de nulos, estandarización de textos y aplicación correcta de 1NF, 2NF y 3NF.1.51.03. Migración a SQLiteCreación del archivo .db y carga exitosa de los 3 DataFrames limpios como tablas SQL.1.01.04. Arquitectura y CRUD (SQL)Creación de la tabla ventas con PK/FK válidas. Ejecución exitosa de INSERT, SELECT (con JOIN), UPDATE y DELETE.1.51.55. Autogestión y GitHubRepositorio individual completo, README.md detallado y código documentado.0.50.5🌟 BONO DE ARQUITECTURAModularización con POO y archivos .py.+ 1.0+ 0.0TOTAL5.04.5Diego Mauricio Zuluaga RodríguezProfesor - Departamento de EconomíaUniversidad de La Sabana"/>
    <n v="45"/>
    <n v="50"/>
    <n v="0.9"/>
  </r>
  <r>
    <x v="31"/>
    <s v="Samantha"/>
    <s v="Vanegas Russi"/>
    <s v="samanthavaru@unisabana.edu.co"/>
    <x v="0"/>
    <d v="2026-04-15T00:00:00"/>
    <x v="0"/>
    <s v="Entregado"/>
    <s v="🚀 Retroalimentación de la_x000a_Entrega: Parcial Final Corte 2 (50%)  Integrantes: Avril Ariza, Samantha Vanegas.  Calificación Final: 5.0 / 5.0 (+1.0 Unidad de Bono_x000a_por Arquitectura POO y Modularidad)  ¡Hola, equipo! He revisado detalladamente su examen parcial_x000a_y quiero felicitarlas por el altísimo nivel técnico y arquitectónico que han_x000a_demostrado. Han entregado un proyecto que no solo cumple con los requisitos_x000a_académicos, sino que está estructurado con los estándares de calidad de la_x000a_industria del software.  Puntos a destacar (Lo excelente): _x000a_ Arquitectura_x000a_     Modular (Bono +1.0): La decisión de separar el proyecto en limpieza.py,_x000a_     base_datos.py y main.py es brillante. Utilizar el main.py únicamente como_x000a_     un orquestador que llama a las clases de los otros módulos hace que el_x000a_     código sea increíblemente limpio, escalable y fácil de mantener. Esto les_x000a_     otorga el bono completo de +1.0 unidad. _x000a_ POO_x000a_     Avanzada en Pandas: La creación de la clase LimpiadorBase y hacer que LimpiadorProductos,_x000a_     LimpiadorClientes y LimpiadorProveedores hereden de ella demuestra un_x000a_     dominio profundo de la Herencia (DRY - Don't Repeat Yourself)._x000a_     Encapsularon la lógica de exportación y resumen de nulos en el padre,_x000a_     dejando a los hijos solo la responsabilidad de la limpieza específica._x000a_     ¡Excelente diseño! _x000a_ Limpieza_x000a_     y Normalización Excepcional: Su manejo de Pandas fue impecable. La_x000a_     aplicación de la 1NF (separando columnas con str.split), la 3NF_x000a_     (eliminando la columna derivada edad) y el uso de expresiones regulares (regex=True)_x000a_     para limpiar los ceros decimales de los teléfonos demuestra que auditaron_x000a_     los datos a fondo. _x000a_ Migración_x000a_     a SQLite Inteligente: El método _redefinir_pk() en la clase GestorCafeteria_x000a_     es una solución muy profesional. Como df.to_sql() de Pandas no permite_x000a_     definir Llaves Primarias (PK) estrictas, ustedes crearon una función que_x000a_     recrea las tablas con la sintaxis SQL correcta y migra los datos. Esto_x000a_     garantizó que la tabla ventas pudiera usar Llaves Foráneas (FK) sin_x000a_     problemas de integridad.  Motivación: Tienen una base técnica, lógica y arquitectónica_x000a_sobresaliente. Han demostrado que entienden cómo construir un proyecto de_x000a_Inteligencia de Negocios de extremo a extremo, desde la extracción de datos_x000a_&quot;sucios&quot; hasta la persistencia en bases de datos relacionales con_x000a_código modular. Si mantienen esta disciplina, rigurosidad y atención al_x000a_detalle, están más que preparadas para liderar el desarrollo de la Interfaz_x000a_Gráfica (GUI) y la conexión con Power BI en el Corte 3. ¡Felicitaciones por_x000a_este resultado excepcional!  Rúbrica de Calificación _x000a_ _x000a_  _x000a_  Criterio de Evaluación _x000a_  _x000a_  _x000a_  Descripción Técnica _x000a_  _x000a_  _x000a_  Puntaje Máximo _x000a_  _x000a_  _x000a_  Puntaje Obtenido _x000a_  _x000a_ _x000a_ _x000a_  _x000a_  1. Carga y Exportación _x000a_  _x000a_  _x000a_  Generación correcta de los 3 CSV sucios y exportación de_x000a_  los 3 CSV limpios. _x000a_  _x000a_  _x000a_  0.5 _x000a_  _x000a_  _x000a_  0.5 _x000a_  _x000a_ _x000a_ _x000a_  _x000a_  2. Limpieza y Normalización (Pandas) _x000a_  _x000a_  _x000a_  Manejo de nulos, estandarización de textos y aplicación_x000a_  correcta de 1NF y 3NF en los DataFrames. _x000a_  _x000a_  _x000a_  1.5 _x000a_  _x000a_  _x000a_  1.5 _x000a_  _x000a_ _x000a_ _x000a_  _x000a_  3. Migración a SQLite _x000a_  _x000a_  _x000a_  Creación del archivo .db y carga exitosa de los 3_x000a_  DataFrames limpios como tablas SQL con PK. _x000a_  _x000a_  _x000a_  1.0 _x000a_  _x000a_  _x000a_  1.0 _x000a_  _x000a_ _x000a_ _x000a_  _x000a_  4. Arquitectura y CRUD (SQL) _x000a_  _x000a_  _x000a_  Creación de la tabla ventas con PK/FK válidas. Ejecución_x000a_  exitosa de INSERT, SELECT (con JOIN), UPDATE y DELETE. _x000a_  _x000a_  _x000a_  1.5 _x000a_  _x000a_  _x000a_  1.5 _x000a_  _x000a_ _x000a_ _x000a_  _x000a_  5. Autogestión y GitHub _x000a_  _x000a_  _x000a_  Repositorio individual completo, README.md detallado y_x000a_  código documentado. _x000a_  _x000a_  _x000a_  0.5 _x000a_  _x000a_  _x000a_  0.5 _x000a_  _x000a_ _x000a_ _x000a_  _x000a_  🌟 BONO DE ARQUITECTURA _x000a_  _x000a_  _x000a_  Modularización con POO (.py) para encapsular la lógica de_x000a_  Pandas y SQL. _x000a_  _x000a_  _x000a_  + 1.0 _x000a_  _x000a_  _x000a_  + 1.0 _x000a_  _x000a_ _x000a_ _x000a_  _x000a_  TOTAL _x000a_  _x000a_  _x000a_  _x000a_  5.0 _x000a_  _x000a_  _x000a_  5.0 _x000a_  _x000a_  Diego Mauricio Zuluaga Rodríguez Profesor - Departamento de Economía Universidad de La Sabana"/>
    <n v="50"/>
    <n v="50"/>
    <n v="1"/>
  </r>
  <r>
    <x v="32"/>
    <s v="Juan Jose"/>
    <s v="Caballero Mantilla"/>
    <s v="juancabma@unisabana.edu.co"/>
    <x v="0"/>
    <d v="2026-04-15T00:00:00"/>
    <x v="0"/>
    <s v="Entregado"/>
    <s v="☕ Retroalimentación de la_x000a_Entrega: Parcial Final Corte 2  Integrantes: Martin Martin Trujillo Rodriguez, Daniel_x000a_Camilo Lopez Piraquive, Juan Jose Caballero Mantilla.  Calificación Final: 43/50 (Equivalente a 4.3)  ¡Hola, equipo! Espero que se encuentren muy bien. He_x000a_revisado en detalle su examen parcial y quiero compartirles mis observaciones._x000a_Han logrado construir el flujo completo de datos, desde la extracción hasta la_x000a_base de datos, lo cual demuestra un buen entendimiento general del proceso de_x000a_Inteligencia de Negocios. En la fase de Limpieza y Normalización con Pandas,_x000a_hicieron un trabajo sobresaliente. La aplicación de la Primera Forma Normal_x000a_(1NF) al separar las columnas compuestas y la Tercera Forma Normal (3NF) al_x000a_eliminar la columna derivada edad fue exacta. Además, el manejo de nulos y la_x000a_estandarización de textos demuestran un dominio sólido de la librería. Sin embargo, aplicando la rigurosidad que exige este corte,_x000a_encontré una falla arquitectónica crítica en la fase de SQL y Operaciones_x000a_CRUD. En su código, apagaron las restricciones de llaves foráneas (cursor.execute(&quot;PRAGMA_x000a_foreign_keys = OFF;&quot;)) justo antes de hacer los INSERT y el DELETE, para_x000a_luego volver a encenderlas. En el mundo real, apagar las reglas de integridad_x000a_referencial para forzar la entrada o salida de datos destruye el propósito de_x000a_una base de datos relacional. Si un dato no cuadra, se debe corregir el dato,_x000a_no apagar la alarma de seguridad del motor SQL. Por este motivo, hay una_x000a_penalización importante en este rubro. En cuanto a la Autogestión y GitHub, noté que su_x000a_archivo README.md quedó con la plantilla sin diligenciar (Nombre Completo: [TU_x000a_NOMBRE AQUÍ]). Como futuros CTOs, la atención al detalle en la presentación de_x000a_sus repositorios es su carta de presentación al mundo profesional. Deben ser_x000a_muy cuidadosos con las entregas finales, ya que un descuido así en un entorno_x000a_laboral resta profesionalismo a todo el buen código que escribieron. Finalmente, les confirmo que no se otorgó el bono de_x000a_arquitectura (+1.0), ya que la entrega se realizó en un único archivo .ipynb y_x000a_no se modularizó en archivos .py utilizando Programación Orientada a Objetos_x000a_(POO), como lo exigía explícitamente el lineamiento del bono. Tomen esta retroalimentación como una oportunidad de mejora_x000a_directa para su vida profesional. Tienen excelentes habilidades analíticas con_x000a_Pandas; ahora el reto es mantener esa misma rigurosidad en la arquitectura y_x000a_seguridad de sus bases de datos. ¡Sigan adelante, nos vemos en el Corte 3!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de CSV sucios y exportación de limpios. _x000a_  _x000a_  _x000a_  0.5 _x000a_  _x000a_  _x000a_  0.5 _x000a_  _x000a_ _x000a_ _x000a_  _x000a_  Limpieza y Normalización _x000a_  _x000a_  _x000a_  Manejo de nulos, estandarización y aplicación de 1NF, 2NF,_x000a_  3NF con Pandas. _x000a_  _x000a_  _x000a_  1.5 _x000a_  _x000a_  _x000a_  1.5 _x000a_  _x000a_ _x000a_ _x000a_  _x000a_  Migración a SQLite _x000a_  _x000a_  _x000a_  Creación del archivo .db y carga exitosa de DataFrames con_x000a_  to_sql(). _x000a_  _x000a_  _x000a_  1.0 _x000a_  _x000a_  _x000a_  1.0 _x000a_  _x000a_ _x000a_ _x000a_  _x000a_  Arquitectura y CRUD (SQL) _x000a_  _x000a_  _x000a_  Penalización por apagar PRAGMA foreign_keys = OFF para_x000a_  forzar el CRUD. _x000a_  _x000a_  _x000a_  1.5 _x000a_  _x000a_  _x000a_  1.0 _x000a_  _x000a_ _x000a_ _x000a_  _x000a_  Autogestión y GitHub _x000a_  _x000a_  _x000a_  Penalización por plantilla incompleta ([TU NOMBRE AQUÍ])_x000a_  en el README. _x000a_  _x000a_  _x000a_  0.5 _x000a_  _x000a_  _x000a_  0.3 _x000a_  _x000a_ _x000a_ _x000a_  _x000a_  Bono de Arquitectura _x000a_  _x000a_  _x000a_  Modularización con POO y archivos .py (No aplicado). _x000a_  _x000a_  _x000a_  +1.0 _x000a_  _x000a_  _x000a_  0.0 _x000a_  _x000a_ _x000a_ _x000a_  _x000a_  TOTAL _x000a_  _x000a_  _x000a_  _x000a_  5.0 _x000a_  _x000a_  _x000a_  4.3 _x000a_  _x000a_  Diego Mauricio Zuluaga Rodríguez Profesor - Departamento de Economía Universidad de La Sabana"/>
    <n v="43"/>
    <n v="50"/>
    <n v="0.86"/>
  </r>
  <r>
    <x v="33"/>
    <s v="Daniel Camilo"/>
    <s v="Lopez Piraquive"/>
    <s v="danielloppi@unisabana.edu.co"/>
    <x v="0"/>
    <d v="2026-04-15T00:00:00"/>
    <x v="0"/>
    <s v="Entregado"/>
    <s v="☕ Retroalimentación de la_x000a_Entrega: Parcial Final Corte 2  Integrantes: Martin Martin Trujillo Rodriguez, Daniel_x000a_Camilo Lopez Piraquive, Juan Jose Caballero Mantilla.  Calificación Final: 43/50 (Equivalente a 4.3)  ¡Hola, equipo! Espero que se encuentren muy bien. He_x000a_revisado en detalle su examen parcial y quiero compartirles mis observaciones._x000a_Han logrado construir el flujo completo de datos, desde la extracción hasta la_x000a_base de datos, lo cual demuestra un buen entendimiento general del proceso de_x000a_Inteligencia de Negocios. En la fase de Limpieza y Normalización con Pandas,_x000a_hicieron un trabajo sobresaliente. La aplicación de la Primera Forma Normal_x000a_(1NF) al separar las columnas compuestas y la Tercera Forma Normal (3NF) al_x000a_eliminar la columna derivada edad fue exacta. Además, el manejo de nulos y la_x000a_estandarización de textos demuestran un dominio sólido de la librería. Sin embargo, aplicando la rigurosidad que exige este corte,_x000a_encontré una falla arquitectónica crítica en la fase de SQL y Operaciones_x000a_CRUD. En su código, apagaron las restricciones de llaves foráneas (cursor.execute(&quot;PRAGMA_x000a_foreign_keys = OFF;&quot;)) justo antes de hacer los INSERT y el DELETE, para_x000a_luego volver a encenderlas. En el mundo real, apagar las reglas de integridad_x000a_referencial para forzar la entrada o salida de datos destruye el propósito de_x000a_una base de datos relacional. Si un dato no cuadra, se debe corregir el dato,_x000a_no apagar la alarma de seguridad del motor SQL. Por este motivo, hay una_x000a_penalización importante en este rubro. En cuanto a la Autogestión y GitHub, noté que su_x000a_archivo README.md quedó con la plantilla sin diligenciar (Nombre Completo: [TU_x000a_NOMBRE AQUÍ]). Como futuros CTOs, la atención al detalle en la presentación de_x000a_sus repositorios es su carta de presentación al mundo profesional. Deben ser_x000a_muy cuidadosos con las entregas finales, ya que un descuido así en un entorno_x000a_laboral resta profesionalismo a todo el buen código que escribieron. Finalmente, les confirmo que no se otorgó el bono de_x000a_arquitectura (+1.0), ya que la entrega se realizó en un único archivo .ipynb y_x000a_no se modularizó en archivos .py utilizando Programación Orientada a Objetos_x000a_(POO), como lo exigía explícitamente el lineamiento del bono. Tomen esta retroalimentación como una oportunidad de mejora_x000a_directa para su vida profesional. Tienen excelentes habilidades analíticas con_x000a_Pandas; ahora el reto es mantener esa misma rigurosidad en la arquitectura y_x000a_seguridad de sus bases de datos. ¡Sigan adelante, nos vemos en el Corte 3!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de CSV sucios y exportación de limpios. _x000a_  _x000a_  _x000a_  0.5 _x000a_  _x000a_  _x000a_  0.5 _x000a_  _x000a_ _x000a_ _x000a_  _x000a_  Limpieza y Normalización _x000a_  _x000a_  _x000a_  Manejo de nulos, estandarización y aplicación de 1NF, 2NF,_x000a_  3NF con Pandas. _x000a_  _x000a_  _x000a_  1.5 _x000a_  _x000a_  _x000a_  1.5 _x000a_  _x000a_ _x000a_ _x000a_  _x000a_  Migración a SQLite _x000a_  _x000a_  _x000a_  Creación del archivo .db y carga exitosa de DataFrames con_x000a_  to_sql(). _x000a_  _x000a_  _x000a_  1.0 _x000a_  _x000a_  _x000a_  1.0 _x000a_  _x000a_ _x000a_ _x000a_  _x000a_  Arquitectura y CRUD (SQL) _x000a_  _x000a_  _x000a_  Penalización por apagar PRAGMA foreign_keys = OFF para_x000a_  forzar el CRUD. _x000a_  _x000a_  _x000a_  1.5 _x000a_  _x000a_  _x000a_  1.0 _x000a_  _x000a_ _x000a_ _x000a_  _x000a_  Autogestión y GitHub _x000a_  _x000a_  _x000a_  Penalización por plantilla incompleta ([TU NOMBRE AQUÍ])_x000a_  en el README. _x000a_  _x000a_  _x000a_  0.5 _x000a_  _x000a_  _x000a_  0.3 _x000a_  _x000a_ _x000a_ _x000a_  _x000a_  Bono de Arquitectura _x000a_  _x000a_  _x000a_  Modularización con POO y archivos .py (No aplicado). _x000a_  _x000a_  _x000a_  +1.0 _x000a_  _x000a_  _x000a_  0.0 _x000a_  _x000a_ _x000a_ _x000a_  _x000a_  TOTAL _x000a_  _x000a_  _x000a_  _x000a_  5.0 _x000a_  _x000a_  _x000a_  4.3 _x000a_  _x000a_  Diego Mauricio Zuluaga Rodríguez Profesor - Departamento de Economía Universidad de La Sabana"/>
    <n v="43"/>
    <n v="50"/>
    <n v="0.86"/>
  </r>
  <r>
    <x v="34"/>
    <s v="Gabriela"/>
    <s v="Ruiz Perez"/>
    <s v="gabrielarupe@unisabana.edu.co"/>
    <x v="0"/>
    <d v="2026-04-15T00:00:00"/>
    <x v="0"/>
    <s v="Entregado"/>
    <s v="🚀 Retroalimentación de la_x000a_Entrega: Parcial Final Corte 2 (50%)  Integrantes: Alessandro Di Mauro Bonilla Correa,_x000a_Gabriela Ruiz Pérez, María José Huertas Osorio.  Calificación Final: 4.2 / 5.0 (Incluye +0.5 de_x000a_Bono Parcial por POO)  ¡Hola, equipo! He revisado detalladamente su examen parcial._x000a_A nivel de lógica de programación y sintaxis, el código que escribieron es muy_x000a_bueno y demuestra que entienden cómo funcionan las herramientas. Sin embargo,_x000a_la evaluación de hoy es estricta porque simula un entorno profesional real, y_x000a_en ese aspecto hubo fallas críticas de seguimiento de instrucciones y_x000a_autogestión. En primer lugar, el aspecto más preocupante de su entrega es_x000a_que cambiaron por completo el contexto del negocio y los datos de prueba. El_x000a_examen exigía explícitamente trabajar con los datos de la &quot;Cafetería U._x000a_Sabana&quot; proporcionados en la celda del enunciado. Ustedes decidieron_x000a_ignorar esos datos y crear su propio ecosistema (&quot;EduTech&quot;) con un_x000a_dataset minúsculo. En la vida real, si un cliente los contrata para limpiar la_x000a_base de datos de su cafetería y ustedes le entregan el sistema de un colegio,_x000a_el proyecto es rechazado. Además, al cambiar los datos, evadieron los retos_x000a_técnicos reales del examen, como la limpieza de los signos $ en los precios, lo_x000a_cual penaliza su nota en los criterios de Carga y Limpieza. En segundo lugar, respecto a la arquitectura SQL, su código_x000a_es funcional y el uso de JOIN es correcto. No obstante, la rúbrica exigía_x000a_explícitamente un mínimo de 5 registros en las operaciones CREATE para poder_x000a_auditar el sistema. Ustedes solo insertaron 3 inscripciones, lo que representa_x000a_otra penalización por no seguir los requerimientos mínimos del cliente. Finalmente, hablemos del Bono de Arquitectura. Implementaron_x000a_la clase PlataformaEduTech para encapsular la lógica, lo cual es un excelente_x000a_esfuerzo y demuestra dominio de la Programación Orientada a Objetos. Sin_x000a_embargo, la instrucción para obtener el bono completo (+1.0) exigía que el_x000a_proyecto estuviera modularizado en varios archivos .py (ej. limpieza.py, main.py)._x000a_Al entregar un único archivo .ipynb, solo se les otorga la mitad del bono_x000a_(+0.5). Como motivación, quiero que sepan que su capacidad técnica_x000a_para escribir código en Pandas y SQL es innegable. El código corre sin errores_x000a_y la lógica relacional es perfecta. El reto para ustedes ahora es alinear esa_x000a_excelente capacidad técnica con el rigor corporativo: leer los requerimientos_x000a_del cliente, respetar los datos proporcionados y cumplir con las reglas de_x000a_negocio al pie de la letra. ¡Tienen todo el potencial para ser grandes líderes_x000a_tecnológicos si ajustan este enfoque!  _x000a_ _x000a_  _x000a_  Criterio de Evaluación _x000a_  _x000a_  _x000a_  Descripción Técnica _x000a_  _x000a_  _x000a_  Puntaje Máximo _x000a_  _x000a_  _x000a_  Puntaje Obtenido _x000a_  _x000a_ _x000a_ _x000a_  _x000a_  1. Carga y Exportación _x000a_  _x000a_  _x000a_  Penalización severa: No utilizaron los datasets_x000a_  proporcionados en el examen, alterando el contexto del negocio. _x000a_  _x000a_  _x000a_  0.5 _x000a_  _x000a_  _x000a_  0.0 _x000a_  _x000a_ _x000a_ _x000a_  _x000a_  2. Limpieza y Normalización _x000a_  _x000a_  _x000a_  Lógica correcta (1NF, nulos), pero aplicada a un dataset_x000a_  propio que evadió los retos de limpieza exigidos (ej. signos de moneda). _x000a_  _x000a_  _x000a_  1.5 _x000a_  _x000a_  _x000a_  1.0 _x000a_  _x000a_ _x000a_ _x000a_  _x000a_  3. Migración a SQLite _x000a_  _x000a_  _x000a_  Creación correcta del archivo .db y carga exitosa de los_x000a_  DataFrames limpios como tablas SQL. _x000a_  _x000a_  _x000a_  1.0 _x000a_  _x000a_  _x000a_  1.0 _x000a_  _x000a_ _x000a_ _x000a_  _x000a_  4. Arquitectura y CRUD (SQL) _x000a_  _x000a_  _x000a_  PK/FK válidas y operaciones exitosas. Penalización por_x000a_  insertar solo 3 registros en lugar de los 5 exigidos. _x000a_  _x000a_  _x000a_  1.5 _x000a_  _x000a_  _x000a_  1.2 _x000a_  _x000a_ _x000a_ _x000a_  _x000a_  5. Autogestión y GitHub _x000a_  _x000a_  _x000a_  Repositorio funcional, pero fallas críticas en el_x000a_  seguimiento de instrucciones del cliente. _x000a_  _x000a_  _x000a_  0.5 _x000a_  _x000a_  _x000a_  0.3 _x000a_  _x000a_ _x000a_ _x000a_  _x000a_  🌟 BONO DE ARQUITECTURA _x000a_  _x000a_  _x000a_  Uso de POO (+0.5), pero no se modularizó en archivos .py_x000a_  como se exigía para el bono completo (+0.0). _x000a_  _x000a_  _x000a_  + 1.0 _x000a_  _x000a_  _x000a_  + 0.5 _x000a_  _x000a_ _x000a_ _x000a_  _x000a_  TOTAL _x000a_  _x000a_  _x000a_  _x000a_  5.0 _x000a_  _x000a_  _x000a_  4.0 _x000a_  _x000a_   Diego Mauricio Zuluaga Rodríguez Profesor - Departamento de Economía Universidad de La Sabana"/>
    <n v="40"/>
    <n v="50"/>
    <n v="0.8"/>
  </r>
  <r>
    <x v="35"/>
    <s v="Juan Sebastian"/>
    <s v="Perdomo Herrera"/>
    <s v="juanperhe@unisabana.edu.co"/>
    <x v="0"/>
    <d v="2026-04-15T00:00:00"/>
    <x v="0"/>
    <s v="Entregado"/>
    <s v="☕ Retroalimentación del Parcial_x000a_Final - Corte 2  Integrantes: Samuel David Simancas Contreras, Juan_x000a_Sebastian Perdomo Herrera, Daniel Felipe Camacho Pedraza.  Calificación Final: 10/50 (Equivalente a 1.0 / 5.0)  Estimados estudiantes, he revisado los archivos cargados en_x000a_la plataforma. Debo ser muy directo y riguroso con esta retroalimentación, ya_x000a_que nos encontramos en una instancia de evaluación del 50% donde la competencia_x000a_principal a evaluar es la programación y la autogestión de_x000a_herramientas profesionales. Lamentablemente, el grupo ha fallado en la entrega de los_x000a_dos pilares fundamentales del parcial: el archivo de código (.ipynb o .py)_x000a_y el vínculo al repositorio de GitHub. Un README, por más bien_x000a_estructurado que esté, es una descripción del trabajo, pero no es el trabajo en_x000a_sí mismo. En un examen de programación, la evidencia innegociable es el código_x000a_fuente que sustenta la lógica de limpieza con Pandas y la arquitectura SQL. Aunque enviaron los archivos .csv y el archivo .db, no hay_x000a_forma de verificar que estos fueron generados mediante Python, lo cual invalida_x000a_los criterios de evaluación técnicos. La ausencia del repositorio de GitHub,_x000a_siendo un requisito explícito para la autogestión y el portafolio profesional,_x000a_penaliza también la nota final. La programación se demuestra con algoritmos_x000a_ejecutables, no con relatos de los mismos. Como su profesor, mi objetivo es que desarrollen la_x000a_disciplina necesaria para el mundo laboral. En una Startup, un CTO no puede_x000a_entregar una base de datos sin el código que la mantiene, ni puede ignorar los_x000a_canales de despliegue (GitHub) solicitados. Esta nota es un llamado de atención_x000a_urgente para que replanteen su método de organización y seguimiento de_x000a_instrucciones para el Corte 3. Tienen la capacidad de redactar y planear (como lo demuestra_x000a_su README), pero esa planeación debe aterrizar en código real y funcional. No_x000a_se desmotiven, pero asuman este resultado como una lección de rigor_x000a_profesional. Los espero en el Corte 3 con una actitud mucho más meticulosa y_x000a_comprometida con las entregas técnicas.  Rúbrica de Calificación (Criterio Estricto) _x000a_ _x000a_  _x000a_  Criterio _x000a_  _x000a_  _x000a_  Descripción _x000a_  _x000a_  _x000a_  Puntaje Máximo _x000a_  _x000a_  _x000a_  Puntaje Obtenido _x000a_  _x000a_ _x000a_ _x000a_  _x000a_  1. Carga y Exportación _x000a_  _x000a_  _x000a_  Generación de CSV sucios y exportación de limpios (Sin_x000a_  código de respaldo). _x000a_  _x000a_  _x000a_  0.5 _x000a_  _x000a_  _x000a_  0.1 _x000a_  _x000a_ _x000a_ _x000a_  _x000a_  2. Limpieza y Normalización _x000a_  _x000a_  _x000a_  Aplicación de 1NF, 2NF, 3NF con Pandas (Sin evidencia de_x000a_  código). _x000a_  _x000a_  _x000a_  1.5 _x000a_  _x000a_  _x000a_  0.2 _x000a_  _x000a_ _x000a_ _x000a_  _x000a_  3. Migración a SQLite _x000a_  _x000a_  _x000a_  Creación del archivo .db y carga de tablas (Se entrega_x000a_  archivo .db). _x000a_  _x000a_  _x000a_  1.0 _x000a_  _x000a_  _x000a_  0.4 _x000a_  _x000a_ _x000a_ _x000a_  _x000a_  4. Arquitectura y CRUD _x000a_  _x000a_  _x000a_  Tabla ventas con PK/FK y ejecución de CRUD (Sin evidencia_x000a_  de script SQL). _x000a_  _x000a_  _x000a_  1.5 _x000a_  _x000a_  _x000a_  0.3 _x000a_  _x000a_ _x000a_ _x000a_  _x000a_  5. Autogestión y GitHub _x000a_  _x000a_  _x000a_  Repositorio individual y archivo .ipynb (No entregados). _x000a_  _x000a_  _x000a_  0.5 _x000a_  _x000a_  _x000a_  0.0 _x000a_  _x000a_ _x000a_ _x000a_  _x000a_  Bono de Arquitectura _x000a_  _x000a_  _x000a_  Modularización con POO y archivos .py (No aplica). _x000a_  _x000a_  _x000a_  +1.0 _x000a_  _x000a_  _x000a_  0.0 _x000a_  _x000a_ _x000a_ _x000a_  _x000a_  TOTAL _x000a_  _x000a_  _x000a_  _x000a_  50.0 _x000a_  _x000a_  _x000a_  10.0 _x000a_  _x000a_  Diego Mauricio Zuluaga Rodríguez Profesor - Departamento de Economía Universidad de La Sabana"/>
    <n v="10"/>
    <n v="50"/>
    <n v="0.2"/>
  </r>
  <r>
    <x v="36"/>
    <s v="Martin Martin"/>
    <s v="Trujillo Rodriguez"/>
    <s v="martintrro@unisabana.edu.co"/>
    <x v="0"/>
    <d v="2026-04-15T00:00:00"/>
    <x v="0"/>
    <s v="Entregado"/>
    <s v="☕ Retroalimentación de la_x000a_Entrega: Parcial Final Corte 2  Integrantes: Martin Martin Trujillo Rodriguez, Daniel_x000a_Camilo Lopez Piraquive, Juan Jose Caballero Mantilla.  Calificación Final: 43/50 (Equivalente a 4.3)  ¡Hola, equipo! Espero que se encuentren muy bien. He_x000a_revisado en detalle su examen parcial y quiero compartirles mis observaciones._x000a_Han logrado construir el flujo completo de datos, desde la extracción hasta la_x000a_base de datos, lo cual demuestra un buen entendimiento general del proceso de_x000a_Inteligencia de Negocios. En la fase de Limpieza y Normalización con Pandas,_x000a_hicieron un trabajo sobresaliente. La aplicación de la Primera Forma Normal_x000a_(1NF) al separar las columnas compuestas y la Tercera Forma Normal (3NF) al_x000a_eliminar la columna derivada edad fue exacta. Además, el manejo de nulos y la_x000a_estandarización de textos demuestran un dominio sólido de la librería. Sin embargo, aplicando la rigurosidad que exige este corte,_x000a_encontré una falla arquitectónica crítica en la fase de SQL y Operaciones_x000a_CRUD. En su código, apagaron las restricciones de llaves foráneas (cursor.execute(&quot;PRAGMA_x000a_foreign_keys = OFF;&quot;)) justo antes de hacer los INSERT y el DELETE, para_x000a_luego volver a encenderlas. En el mundo real, apagar las reglas de integridad_x000a_referencial para forzar la entrada o salida de datos destruye el propósito de_x000a_una base de datos relacional. Si un dato no cuadra, se debe corregir el dato,_x000a_no apagar la alarma de seguridad del motor SQL. Por este motivo, hay una_x000a_penalización importante en este rubro. En cuanto a la Autogestión y GitHub, noté que su_x000a_archivo README.md quedó con la plantilla sin diligenciar (Nombre Completo: [TU_x000a_NOMBRE AQUÍ]). Como futuros CTOs, la atención al detalle en la presentación de_x000a_sus repositorios es su carta de presentación al mundo profesional. Deben ser_x000a_muy cuidadosos con las entregas finales, ya que un descuido así en un entorno_x000a_laboral resta profesionalismo a todo el buen código que escribieron. Finalmente, les confirmo que no se otorgó el bono de_x000a_arquitectura (+1.0), ya que la entrega se realizó en un único archivo .ipynb y_x000a_no se modularizó en archivos .py utilizando Programación Orientada a Objetos_x000a_(POO), como lo exigía explícitamente el lineamiento del bono. Tomen esta retroalimentación como una oportunidad de mejora_x000a_directa para su vida profesional. Tienen excelentes habilidades analíticas con_x000a_Pandas; ahora el reto es mantener esa misma rigurosidad en la arquitectura y_x000a_seguridad de sus bases de datos. ¡Sigan adelante, nos vemos en el Corte 3!  Rúbrica de Calificación _x000a_ _x000a_  _x000a_  Criterio de Evaluación _x000a_  _x000a_  _x000a_  Requisito Técnico _x000a_  _x000a_  _x000a_  Puntaje Máximo _x000a_  _x000a_  _x000a_  Puntaje Obtenido _x000a_  _x000a_ _x000a_ _x000a_  _x000a_  Carga y Exportación _x000a_  _x000a_  _x000a_  Generación de CSV sucios y exportación de limpios. _x000a_  _x000a_  _x000a_  0.5 _x000a_  _x000a_  _x000a_  0.5 _x000a_  _x000a_ _x000a_ _x000a_  _x000a_  Limpieza y Normalización _x000a_  _x000a_  _x000a_  Manejo de nulos, estandarización y aplicación de 1NF, 2NF,_x000a_  3NF con Pandas. _x000a_  _x000a_  _x000a_  1.5 _x000a_  _x000a_  _x000a_  1.5 _x000a_  _x000a_ _x000a_ _x000a_  _x000a_  Migración a SQLite _x000a_  _x000a_  _x000a_  Creación del archivo .db y carga exitosa de DataFrames con_x000a_  to_sql(). _x000a_  _x000a_  _x000a_  1.0 _x000a_  _x000a_  _x000a_  1.0 _x000a_  _x000a_ _x000a_ _x000a_  _x000a_  Arquitectura y CRUD (SQL) _x000a_  _x000a_  _x000a_  Penalización por apagar PRAGMA foreign_keys = OFF para_x000a_  forzar el CRUD. _x000a_  _x000a_  _x000a_  1.5 _x000a_  _x000a_  _x000a_  1.0 _x000a_  _x000a_ _x000a_ _x000a_  _x000a_  Autogestión y GitHub _x000a_  _x000a_  _x000a_  Penalización por plantilla incompleta ([TU NOMBRE AQUÍ])_x000a_  en el README. _x000a_  _x000a_  _x000a_  0.5 _x000a_  _x000a_  _x000a_  0.3 _x000a_  _x000a_ _x000a_ _x000a_  _x000a_  Bono de Arquitectura _x000a_  _x000a_  _x000a_  Modularización con POO y archivos .py (No aplicado). _x000a_  _x000a_  _x000a_  +1.0 _x000a_  _x000a_  _x000a_  0.0 _x000a_  _x000a_ _x000a_ _x000a_  _x000a_  TOTAL _x000a_  _x000a_  _x000a_  _x000a_  5.0 _x000a_  _x000a_  _x000a_  4.3 _x000a_  _x000a_  Diego Mauricio Zuluaga Rodríguez Profesor - Departamento de Economía Universidad de La Sabana"/>
    <n v="43"/>
    <n v="50"/>
    <n v="0.86"/>
  </r>
  <r>
    <x v="37"/>
    <s v="Alan David"/>
    <s v="Rossoff Vanegas"/>
    <s v="alanrova@unisabana.edu.co"/>
    <x v="0"/>
    <d v="2026-04-15T00:00:00"/>
    <x v="0"/>
    <s v="Entregado"/>
    <s v="🚀 Retroalimentación de la_x000a_Entrega: Parcial Final Corte 2 (50%)  Estudiante: Rossoff Vanegas, Alan David Calificación Final: 5.0 / 5.0 (+1.0 Unidad de Bono_x000a_por Arquitectura POO y Modularización)  He revisado detalladamente tu examen parcial y quiero_x000a_felicitarte por el nivel de excelencia, rigor técnico y profesionalismo que has_x000a_demostrado en esta entrega. Has superado con creces las expectativas del curso,_x000a_construyendo un verdadero pipeline ETL (Extract, Transform, Load) digno de un_x000a_entorno de producción real. En primer lugar, la limpieza y normalización de datos con_x000a_Pandas es sobresaliente. La aplicación de la Primera Forma Normal (1NF)_x000a_mediante el split de columnas y la Tercera Forma Normal (3NF) al eliminar la_x000a_columna derivada edad fue exacta. Sin embargo, lo que realmente destaca es tu_x000a_lógica de imputación de datos nulos: generar correos electrónicos dinámicos_x000a_basados en un slug del nombre del cliente o de la empresa, garantizando_x000a_que no haya duplicados mediante un ciclo while y un set, es una solución_x000a_avanzada y brillante. Asimismo, imputar el stock faltante con la mediana_x000a_demuestra un excelente criterio estadístico. En cuanto a la migración a SQLite, la arquitectura es_x000a_impecable. No solo habilitaste las llaves foráneas (PRAGMA foreign_keys = ON;),_x000a_sino que fuiste un paso más allá al crear índices únicos (UNIQUE INDEX) y_x000a_restricciones de validación (CHECK (cantidad &amp;gt; 0)) en la tabla de ventas._x000a_Estas son prácticas de un verdadero Arquitecto de Datos que protegen la_x000a_integridad del sistema a nivel del motor de base de datos. Finalmente, el cumplimiento del bono es perfecto. La_x000a_modularización del proyecto en archivos .py (data_cleaner.py, data_generator.py,_x000a_database_manager.py, main.py) utilizando Programación Orientada a Objetos (con_x000a_el uso moderno de @dataclass) hace que tu código sea altamente escalable,_x000a_legible y fácil de mantener. Has encapsulado responsabilidades de manera_x000a_estricta y profesional. Sigue cultivando esta disciplina y atención al detalle._x000a_Tienes una base técnica sumamente sólida que te abrirá muchas puertas en el_x000a_mundo del análisis de datos y la ingeniería de software. ¡Excelente trabajo y_x000a_mucho éxito en el inicio del Corte 3!  Rúbrica de Calificación _x000a_ _x000a_  _x000a_  Criterio de Evaluación _x000a_  _x000a_  _x000a_  Descripción Técnica _x000a_  _x000a_  _x000a_  Puntaje Máximo _x000a_  _x000a_  _x000a_  Puntaje Obtenido _x000a_  _x000a_ _x000a_ _x000a_  _x000a_  1. Carga y Exportación _x000a_  _x000a_  _x000a_  Generación correcta de los 3 CSV sucios y exportación de_x000a_  los 3 CSV limpios. _x000a_  _x000a_  _x000a_  0.5 _x000a_  _x000a_  _x000a_  0.5 _x000a_  _x000a_ _x000a_ _x000a_  _x000a_  2. Limpieza y Normalización (Pandas) _x000a_  _x000a_  _x000a_  Manejo avanzado de nulos, estandarización de textos y_x000a_  aplicación estricta de 1NF y 3NF. _x000a_  _x000a_  _x000a_  1.5 _x000a_  _x000a_  _x000a_  1.5 _x000a_  _x000a_ _x000a_ _x000a_  _x000a_  3. Migración a SQLite _x000a_  _x000a_  _x000a_  Creación del archivo .db, carga exitosa de DataFrames y_x000a_  creación de índices. _x000a_  _x000a_  _x000a_  1.0 _x000a_  _x000a_  _x000a_  1.0 _x000a_  _x000a_ _x000a_ _x000a_  _x000a_  4. Arquitectura y CRUD (SQL) _x000a_  _x000a_  _x000a_  Creación de la tabla ventas con PK/FK y restricciones CHECK._x000a_  Ejecución exitosa de INSERT, SELECT (JOIN), UPDATE y DELETE. _x000a_  _x000a_  _x000a_  1.5 _x000a_  _x000a_  _x000a_  1.5 _x000a_  _x000a_ _x000a_ _x000a_  _x000a_  5. Autogestión y GitHub _x000a_  _x000a_  _x000a_  Repositorio individual impecable, README.md detallado y_x000a_  código altamente documentado. _x000a_  _x000a_  _x000a_  0.5 _x000a_  _x000a_  _x000a_  0.5 _x000a_  _x000a_ _x000a_ _x000a_  _x000a_  🌟 BONO DE ARQUITECTURA _x000a_  _x000a_  _x000a_  Modularización en múltiples archivos .py usando POO (@dataclass)_x000a_  para encapsular la lógica. _x000a_  _x000a_  _x000a_  + 1.0 _x000a_  _x000a_  _x000a_  + 1.0 _x000a_  _x000a_ _x000a_ _x000a_  _x000a_  TOTAL _x000a_  _x000a_  _x000a_  _x000a_  5.0 _x000a_  _x000a_  _x000a_  5.0 _x000a_  _x000a_   Diego Mauricio Zuluaga Rodríguez Profesor - Departamento de Economía Universidad de La Sabana"/>
    <n v="50"/>
    <n v="50"/>
    <n v="1"/>
  </r>
  <r>
    <x v="38"/>
    <s v="Diego Alejandro"/>
    <s v="Hermida Limas"/>
    <s v="diegoherli@unisabana.edu.co"/>
    <x v="0"/>
    <d v="2026-04-15T00:00:00"/>
    <x v="0"/>
    <s v="Entregado"/>
    <s v="☕ Retroalimentación de la_x000a_Entrega: Parcial Final Corte 2 - Inteligencia de Negocios  Integrantes: Mateo Perez Daza, Diego Alejandro_x000a_Hermida Limas, Simon Gustavo Restrepo Alvarez.  Calificación Final: 47/50 (Equivalente a 4.7)  ¡Hola, equipo! Espero que se encuentren muy bien. He_x000a_terminado de revisar minuciosamente su examen parcial. Quiero empezar_x000a_felicitándolos por el excelente nivel de organización y la claridad que_x000a_muestran en su repositorio de GitHub. El archivo README es impecable y guía al_x000a_lector paso a paso por su proceso mental, lo cual es una habilidad de_x000a_autogestión de altísimo valor. En la fase de Pandas y Normalización, hicieron un_x000a_trabajo excepcional. Aplicaron correctamente la 1NF al separar las columnas_x000a_compuestas y, lo más importante, demostraron madurez analítica al aplicar la_x000a_3NF eliminando la columna edad, entendiendo que es un dato redundante que se_x000a_deriva de la fecha de nacimiento. Sus archivos CSV limpios están perfectamente_x000a_estructurados para un análisis posterior. Sin embargo, aplicando la rigurosidad técnica que exige este_x000a_nivel de arquitectura, debo señalar un punto crítico en la Fase de_x000a_Arquitectura SQL. El enunciado del parcial exigía explícitamente que la_x000a_tabla ventas incluyera las columnas total_venta y fecha_venta. Al revisar tanto_x000a_su script database.py como su Notebook, noté que omitieron estas dos columnas_x000a_en el CREATE TABLE. Una base de datos financiera sin el registro del monto_x000a_total ni la fecha de la transacción pierde gran parte de su utilidad para la_x000a_toma de decisiones. En cuanto al Bono de Arquitectura (+1.0), les otorgo 0.7_x000a_unidades. Valoré positivamente la modularización en archivos .py (limpieza,_x000a_database, modelos), lo cual es un gran avance. No obstante, para obtener el_x000a_bono completo, la Programación Orientada a Objetos (POO) debía encapsular_x000a_lógica de negocio (métodos) y no solo actuar como contenedores de datos._x000a_Además, el script main.py solo insertó 3 registros en lugar de los 5 exigidos_x000a_por la &quot;Regla de Oro&quot; del enunciado. Sigan adelante con esa energía. Tienen una capacidad técnica_x000a_muy alta y un sentido de orden envidiable. Pulir esos detalles de cumplimiento_x000a_de requerimientos específicos es lo único que les falta para alcanzar la_x000a_perfección en sus entregas. ¡Buen trabajo, ingenieros!  Rúbrica de Calificación _x000a_ _x000a_  _x000a_  Criterio de Evaluación _x000a_  _x000a_  _x000a_  Requisito Técnico _x000a_  _x000a_  _x000a_  Puntaje Máximo _x000a_  _x000a_  _x000a_  Puntaje Obtenido _x000a_  _x000a_ _x000a_ _x000a_  _x000a_  1. Carga y Exportación _x000a_  _x000a_  _x000a_  Generación de CSV sucios y exportación de limpios. _x000a_  _x000a_  _x000a_  5.0 _x000a_  _x000a_  _x000a_  5.0 _x000a_  _x000a_ _x000a_ _x000a_  _x000a_  2. Limpieza y Normalización _x000a_  _x000a_  _x000a_  Pandas: 1NF, 2NF, 3NF, nulos y estandarización. _x000a_  _x000a_  _x000a_  15.0 _x000a_  _x000a_  _x000a_  15.0 _x000a_  _x000a_ _x000a_ _x000a_  _x000a_  3. Migración a SQLite _x000a_  _x000a_  _x000a_  Creación de BD y carga exitosa con to_sql(). _x000a_  _x000a_  _x000a_  10.0 _x000a_  _x000a_  _x000a_  10.0 _x000a_  _x000a_ _x000a_ _x000a_  _x000a_  4. Arquitectura y CRUD (SQL) _x000a_  _x000a_  _x000a_  Tabla ventas incompleta (faltaron 2 columnas) y registros_x000a_  insuficientes en script. _x000a_  _x000a_  _x000a_  15.0 _x000a_  _x000a_  _x000a_  7.0 _x000a_  _x000a_ _x000a_ _x000a_  _x000a_  5. Autogestión y GitHub _x000a_  _x000a_  _x000a_  Repositorio impecable, README detallado y código_x000a_  documentado. _x000a_  _x000a_  _x000a_  5.0 _x000a_  _x000a_  _x000a_  5.0 _x000a_  _x000a_ _x000a_ _x000a_  _x000a_  🌟 BONO DE ARQUITECTURA _x000a_  _x000a_  _x000a_  Modularización lograda, pero POO básica e incompleta en_x000a_  registros. _x000a_  _x000a_  _x000a_  +10.0 _x000a_  _x000a_  _x000a_  +5.0 _x000a_  _x000a_ _x000a_ _x000a_  _x000a_  TOTAL _x000a_  _x000a_  _x000a_  _x000a_  50.0 _x000a_  _x000a_  _x000a_  47.0 _x000a_  _x000a_  Diego Mauricio Zuluaga Rodríguez Profesor - Departamento de Economía Universidad de La Sabana"/>
    <n v="47"/>
    <n v="50"/>
    <n v="0.94"/>
  </r>
  <r>
    <x v="0"/>
    <s v="Paula Andrea"/>
    <s v="Arciniegas Cardenas"/>
    <s v="paulaarcca@unisabana.edu.co"/>
    <x v="1"/>
    <d v="2026-04-08T00:00:00"/>
    <x v="1"/>
    <s v="Entregado"/>
    <m/>
    <n v="50"/>
    <n v="50"/>
    <n v="1"/>
  </r>
  <r>
    <x v="1"/>
    <s v="Sofia"/>
    <s v="Giraldo Pico"/>
    <s v="sofiagipi@unisabana.edu.co"/>
    <x v="1"/>
    <d v="2026-04-08T00:00:00"/>
    <x v="1"/>
    <s v="Entregado"/>
    <m/>
    <n v="0"/>
    <n v="50"/>
    <n v="0"/>
  </r>
  <r>
    <x v="2"/>
    <s v="Valery"/>
    <s v="Linares Hernandez"/>
    <s v="valerylihe@unisabana.edu.co"/>
    <x v="1"/>
    <d v="2026-04-08T00:00:00"/>
    <x v="1"/>
    <s v="Entregado"/>
    <m/>
    <n v="0"/>
    <n v="50"/>
    <n v="0"/>
  </r>
  <r>
    <x v="3"/>
    <s v="Nicolas"/>
    <s v="Torres Calderon"/>
    <s v="nicolastorca@unisabana.edu.co"/>
    <x v="1"/>
    <d v="2026-04-08T00:00:00"/>
    <x v="1"/>
    <s v="Entregado"/>
    <m/>
    <n v="50"/>
    <n v="50"/>
    <n v="1"/>
  </r>
  <r>
    <x v="4"/>
    <s v="Cristian"/>
    <s v="Bermudez"/>
    <s v="cristianbe@unisabana.edu.co"/>
    <x v="1"/>
    <d v="2026-04-08T00:00:00"/>
    <x v="1"/>
    <s v="Entregado"/>
    <m/>
    <n v="0"/>
    <n v="50"/>
    <n v="0"/>
  </r>
  <r>
    <x v="5"/>
    <s v="Mariana"/>
    <s v="Carmona Romero"/>
    <s v="marianacarrom@unisabana.edu.co"/>
    <x v="1"/>
    <d v="2026-04-08T00:00:00"/>
    <x v="1"/>
    <s v="Entregado"/>
    <m/>
    <n v="0"/>
    <n v="50"/>
    <n v="0"/>
  </r>
  <r>
    <x v="6"/>
    <s v="Mariana"/>
    <s v="Pena Rodriguez"/>
    <s v="marianapero@unisabana.edu.co"/>
    <x v="1"/>
    <d v="2026-04-08T00:00:00"/>
    <x v="1"/>
    <s v="Entregado"/>
    <m/>
    <n v="50"/>
    <n v="50"/>
    <n v="1"/>
  </r>
  <r>
    <x v="7"/>
    <s v="Isabella"/>
    <s v="Carranza Tapiero"/>
    <s v="isabellacata@unisabana.edu.co"/>
    <x v="1"/>
    <d v="2026-04-08T00:00:00"/>
    <x v="1"/>
    <s v="Entregado"/>
    <m/>
    <n v="50"/>
    <n v="50"/>
    <n v="1"/>
  </r>
  <r>
    <x v="8"/>
    <s v="Samuel David"/>
    <s v="Lozano Holguin"/>
    <s v="samuelloho@unisabana.edu.co"/>
    <x v="1"/>
    <d v="2026-04-08T00:00:00"/>
    <x v="1"/>
    <s v="Entregado"/>
    <m/>
    <n v="50"/>
    <n v="50"/>
    <n v="1"/>
  </r>
  <r>
    <x v="9"/>
    <s v="Sebastian"/>
    <s v="Vanoy Gutierrez"/>
    <s v="sebastianvagu@unisabana.edu.co"/>
    <x v="1"/>
    <d v="2026-04-08T00:00:00"/>
    <x v="1"/>
    <s v="Entregado"/>
    <m/>
    <n v="50"/>
    <n v="50"/>
    <n v="1"/>
  </r>
  <r>
    <x v="10"/>
    <s v="Jose Daniel"/>
    <s v="Escobar Hurtado"/>
    <s v="joseeshu@unisabana.edu.co"/>
    <x v="1"/>
    <d v="2026-04-08T00:00:00"/>
    <x v="1"/>
    <s v="Entregado"/>
    <s v="Se debían subir los archivos .csv. No aplica."/>
    <n v="0"/>
    <n v="50"/>
    <n v="0"/>
  </r>
  <r>
    <x v="11"/>
    <s v="Maria Jose"/>
    <s v="Botero Galviz"/>
    <s v="mariabotga@unisabana.edu.co"/>
    <x v="1"/>
    <d v="2026-04-08T00:00:00"/>
    <x v="1"/>
    <s v="Entregado"/>
    <m/>
    <n v="50"/>
    <n v="50"/>
    <n v="1"/>
  </r>
  <r>
    <x v="12"/>
    <s v="Maria Juliana"/>
    <s v="Mejia Quintero"/>
    <s v="mariamequ@unisabana.edu.co"/>
    <x v="1"/>
    <d v="2026-04-08T00:00:00"/>
    <x v="1"/>
    <s v="Entregado"/>
    <m/>
    <n v="50"/>
    <n v="50"/>
    <n v="1"/>
  </r>
  <r>
    <x v="13"/>
    <s v="Alejandra"/>
    <s v="Leon Vargas"/>
    <s v="alejandraleva@unisabana.edu.co"/>
    <x v="1"/>
    <d v="2026-04-08T00:00:00"/>
    <x v="1"/>
    <s v="Entregado"/>
    <m/>
    <n v="50"/>
    <n v="50"/>
    <n v="1"/>
  </r>
  <r>
    <x v="14"/>
    <s v="Alessandro Di Mauro"/>
    <s v="Bonilla Correa"/>
    <s v="alessandroboco@unisabana.edu.co"/>
    <x v="1"/>
    <d v="2026-04-08T00:00:00"/>
    <x v="1"/>
    <s v="Entregado"/>
    <m/>
    <n v="50"/>
    <n v="50"/>
    <n v="1"/>
  </r>
  <r>
    <x v="15"/>
    <s v="Arianne Mariana"/>
    <s v="Amorocho Quiroga"/>
    <s v="arianneamqu@unisabana.edu.co"/>
    <x v="1"/>
    <d v="2026-04-08T00:00:00"/>
    <x v="1"/>
    <s v="Entregado"/>
    <m/>
    <n v="50"/>
    <n v="50"/>
    <n v="1"/>
  </r>
  <r>
    <x v="16"/>
    <s v="Maria Juliana"/>
    <s v="Herrera Pulido"/>
    <s v="mariahepu@unisabana.edu.co"/>
    <x v="1"/>
    <d v="2026-04-08T00:00:00"/>
    <x v="1"/>
    <s v="Entregado"/>
    <m/>
    <n v="50"/>
    <n v="50"/>
    <n v="1"/>
  </r>
  <r>
    <x v="17"/>
    <s v="Simon Gustavo"/>
    <s v="Restrepo Alvarez"/>
    <s v="simonreal@unisabana.edu.co"/>
    <x v="1"/>
    <d v="2026-04-08T00:00:00"/>
    <x v="1"/>
    <s v="Entregado"/>
    <m/>
    <n v="50"/>
    <n v="50"/>
    <n v="1"/>
  </r>
  <r>
    <x v="18"/>
    <s v="Daniel Felipe"/>
    <s v="Camacho Pedraza"/>
    <s v="danielcampe@unisabana.edu.co"/>
    <x v="1"/>
    <d v="2026-04-08T00:00:00"/>
    <x v="1"/>
    <s v="Entregado"/>
    <m/>
    <n v="50"/>
    <n v="50"/>
    <n v="1"/>
  </r>
  <r>
    <x v="19"/>
    <s v="Mateo"/>
    <s v="Perez Daza"/>
    <s v="mateopeda@unisabana.edu.co"/>
    <x v="1"/>
    <d v="2026-04-08T00:00:00"/>
    <x v="1"/>
    <s v="Entregado"/>
    <m/>
    <n v="50"/>
    <n v="50"/>
    <n v="1"/>
  </r>
  <r>
    <x v="20"/>
    <s v="Matias"/>
    <s v="Mondragon Osorio"/>
    <s v="matiasmoos@unisabana.edu.co"/>
    <x v="1"/>
    <d v="2026-04-08T00:00:00"/>
    <x v="1"/>
    <s v="Entregado"/>
    <m/>
    <n v="50"/>
    <n v="50"/>
    <n v="1"/>
  </r>
  <r>
    <x v="21"/>
    <s v="Juan David"/>
    <s v="Neuta Medina"/>
    <s v="juanneme@unisabana.edu.co"/>
    <x v="1"/>
    <d v="2026-04-08T00:00:00"/>
    <x v="1"/>
    <s v="Entregado"/>
    <m/>
    <n v="50"/>
    <n v="50"/>
    <n v="1"/>
  </r>
  <r>
    <x v="22"/>
    <s v="Laura Fernanda"/>
    <s v="Lopez Parra"/>
    <s v="lauraloppa@unisabana.edu.co"/>
    <x v="1"/>
    <d v="2026-04-08T00:00:00"/>
    <x v="1"/>
    <s v="Entregado"/>
    <m/>
    <n v="0"/>
    <n v="50"/>
    <n v="0"/>
  </r>
  <r>
    <x v="23"/>
    <s v="Lukas"/>
    <s v="Blanco Llanes"/>
    <s v="lukasblll@unisabana.edu.co"/>
    <x v="1"/>
    <d v="2026-04-08T00:00:00"/>
    <x v="1"/>
    <s v="Entregado"/>
    <s v="Se debían subir los CSV."/>
    <n v="0"/>
    <n v="50"/>
    <n v="0"/>
  </r>
  <r>
    <x v="24"/>
    <s v="Juan Sebastian"/>
    <s v="Salas Hinojosa"/>
    <s v="juansahi@unisabana.edu.co"/>
    <x v="1"/>
    <d v="2026-04-08T00:00:00"/>
    <x v="1"/>
    <s v="Entregado"/>
    <s v="Se debían subir los CSV. No aplica."/>
    <n v="0"/>
    <n v="50"/>
    <n v="0"/>
  </r>
  <r>
    <x v="25"/>
    <s v="Avril Avril"/>
    <s v="Ariza Quitian"/>
    <s v="avrilarqu@unisabana.edu.co"/>
    <x v="1"/>
    <d v="2026-04-08T00:00:00"/>
    <x v="1"/>
    <s v="Entregado"/>
    <m/>
    <n v="50"/>
    <n v="50"/>
    <n v="1"/>
  </r>
  <r>
    <x v="26"/>
    <s v="Samuel David"/>
    <s v="Simancas Contreras"/>
    <s v="samuelsico@unisabana.edu.co"/>
    <x v="1"/>
    <d v="2026-04-08T00:00:00"/>
    <x v="1"/>
    <s v="Entregado"/>
    <m/>
    <n v="50"/>
    <n v="50"/>
    <n v="1"/>
  </r>
  <r>
    <x v="27"/>
    <s v="Maria Jose"/>
    <s v="Huertas Osorio"/>
    <s v="mariahueos@unisabana.edu.co"/>
    <x v="1"/>
    <d v="2026-04-08T00:00:00"/>
    <x v="1"/>
    <s v="Entregado"/>
    <m/>
    <n v="0"/>
    <n v="50"/>
    <n v="0"/>
  </r>
  <r>
    <x v="28"/>
    <s v="Juan Camilo"/>
    <s v="Leyton Lancheros"/>
    <s v="juanleyla@unisabana.edu.co"/>
    <x v="1"/>
    <d v="2026-04-08T00:00:00"/>
    <x v="1"/>
    <s v="Entregado"/>
    <m/>
    <n v="50"/>
    <n v="50"/>
    <n v="1"/>
  </r>
  <r>
    <x v="29"/>
    <s v="Samuel Mathias"/>
    <s v="Gonzalez Bernal"/>
    <s v="samuelgonbe@unisabana.edu.co"/>
    <x v="1"/>
    <d v="2026-04-08T00:00:00"/>
    <x v="1"/>
    <s v="Entregado"/>
    <m/>
    <n v="50"/>
    <n v="50"/>
    <n v="1"/>
  </r>
  <r>
    <x v="30"/>
    <s v="Valeria"/>
    <s v="Morales"/>
    <s v="valeriamor@unisabana.edu.co"/>
    <x v="1"/>
    <d v="2026-04-08T00:00:00"/>
    <x v="1"/>
    <s v="Entregado"/>
    <m/>
    <n v="0"/>
    <n v="50"/>
    <n v="0"/>
  </r>
  <r>
    <x v="31"/>
    <s v="Samantha"/>
    <s v="Vanegas Russi"/>
    <s v="samanthavaru@unisabana.edu.co"/>
    <x v="1"/>
    <d v="2026-04-08T00:00:00"/>
    <x v="1"/>
    <s v="Entregado"/>
    <m/>
    <n v="0"/>
    <n v="50"/>
    <n v="0"/>
  </r>
  <r>
    <x v="32"/>
    <s v="Juan Jose"/>
    <s v="Caballero Mantilla"/>
    <s v="juancabma@unisabana.edu.co"/>
    <x v="1"/>
    <d v="2026-04-08T00:00:00"/>
    <x v="1"/>
    <s v="Entregado"/>
    <m/>
    <n v="0"/>
    <n v="50"/>
    <n v="0"/>
  </r>
  <r>
    <x v="33"/>
    <s v="Daniel Camilo"/>
    <s v="Lopez Piraquive"/>
    <s v="danielloppi@unisabana.edu.co"/>
    <x v="1"/>
    <d v="2026-04-08T00:00:00"/>
    <x v="1"/>
    <s v="Entregado"/>
    <m/>
    <n v="50"/>
    <n v="50"/>
    <n v="1"/>
  </r>
  <r>
    <x v="34"/>
    <s v="Gabriela"/>
    <s v="Ruiz Perez"/>
    <s v="gabrielarupe@unisabana.edu.co"/>
    <x v="1"/>
    <d v="2026-04-08T00:00:00"/>
    <x v="1"/>
    <s v="Entregado"/>
    <m/>
    <n v="50"/>
    <n v="50"/>
    <n v="1"/>
  </r>
  <r>
    <x v="35"/>
    <s v="Juan Sebastian"/>
    <s v="Perdomo Herrera"/>
    <s v="juanperhe@unisabana.edu.co"/>
    <x v="1"/>
    <d v="2026-04-08T00:00:00"/>
    <x v="1"/>
    <s v="Entregado"/>
    <m/>
    <n v="0"/>
    <n v="50"/>
    <n v="0"/>
  </r>
  <r>
    <x v="36"/>
    <s v="Martin Martin"/>
    <s v="Trujillo Rodriguez"/>
    <s v="martintrro@unisabana.edu.co"/>
    <x v="1"/>
    <d v="2026-04-08T00:00:00"/>
    <x v="1"/>
    <s v="Entregado"/>
    <m/>
    <n v="0"/>
    <n v="50"/>
    <n v="0"/>
  </r>
  <r>
    <x v="37"/>
    <s v="Alan David"/>
    <s v="Rossoff Vanegas"/>
    <s v="alanrova@unisabana.edu.co"/>
    <x v="1"/>
    <d v="2026-04-08T00:00:00"/>
    <x v="1"/>
    <s v="Entregado"/>
    <m/>
    <n v="50"/>
    <n v="50"/>
    <n v="1"/>
  </r>
  <r>
    <x v="38"/>
    <s v="Diego Alejandro"/>
    <s v="Hermida Limas"/>
    <s v="diegoherli@unisabana.edu.co"/>
    <x v="1"/>
    <d v="2026-04-08T00:00:00"/>
    <x v="1"/>
    <s v="Entregado"/>
    <m/>
    <n v="50"/>
    <n v="50"/>
    <n v="1"/>
  </r>
  <r>
    <x v="0"/>
    <s v="Paula Andrea"/>
    <s v="Arciniegas Cardenas"/>
    <s v="paulaarcca@unisabana.edu.co"/>
    <x v="2"/>
    <d v="2026-04-15T00:00:00"/>
    <x v="2"/>
    <s v="Entregado"/>
    <s v="🐼 Retroalimentación de la Entrega: Datos con Pandas Integrantes: Valeria Morales, Isabella Carranza Tapiero, Paula Andrea Arciniegas Cárdenas. Calificación Final: 50/50 (Equivalente a 5.0) ¡Hola, equipo! Qué gusto saludarlas. He revisado detalladamente su entrega y quiero felicitarlas por el altísimo nivel técnico y la pulcritud con la que han desarrollado este laboratorio de analítica de datos. Han demostrado un dominio excepcional de la librería Pandas, yendo incluso un paso más allá de lo solicitado.Me impresionó gratamente la sofisticación con la que manejaron la limpieza de la columna cantidad. En lugar de simplemente rellenar con un valor fijo, crearon una función personalizada (limpiar_cantidad) y la aplicaron con .apply(axis=1). Esta lógica de &quot;si es nulo, intenta calcularlo matemáticamente y, si no, pon 1&quot; es exactamente el tipo de pensamiento crítico que buscamos en los analistas de la EICEA. Demuestra que no solo saben programar, sino que entienden la naturaleza financiera de los datos.La aplicación de la Primera Forma Normal (1NF) fue impecable. Lograron separar las columnas compuestas con precisión y eliminaron los residuos de información &quot;sucia&quot; de forma correcta. Además, la estandarización de los textos con .str.title() y la limpieza de los símbolos monetarios garantizan que este dataset sea totalmente funcional para una herramienta como Power BI.Otro punto a destacar es la presentación de su Notebook. La celda de Markdown inicial no solo cumple con los nombres, sino que contextualiza el ejercicio de forma profesional. La estructura del código es limpia, fácil de leer y está muy bien organizada por bloques lógicos.Sigan con esa misma rigurosidad y atención al detalle. Están construyendo una base técnica muy sólida que les permitirá liderar procesos de toma de decisiones basados en datos en su vida profesional. ¡Excelente trabajo y muchos éxitos en lo que viene del corte! Rúbrica de CalificaciónCriterio de EvaluaciónRequisito TécnicoPuntaje MáximoPuntaje ObtenidoCarga y ExportaciónCarga correcta del CSV y exportación final a ventas_limpias.csv.10.010.0Limpieza de Nulos (NaN)Uso de lógica avanzada para calcular cantidades y precios, y manejo de fechas.15.015.0Normalización (1NF)Separación exitosa de columnas compuestas y eliminación de columnas originales.15.015.0EstandarizaciónFormato Título en textos y conversión correcta de precios a formato numérico.10.010.0TOTAL50.050.0  Diego Mauricio Zuluaga RodríguezProfesor - Departamento de EconomíaUniversidad de La Sabana"/>
    <n v="50"/>
    <n v="50"/>
    <n v="1"/>
  </r>
  <r>
    <x v="1"/>
    <s v="Sofia"/>
    <s v="Giraldo Pico"/>
    <s v="sofiagipi@unisabana.edu.co"/>
    <x v="2"/>
    <d v="2026-04-15T00:00:00"/>
    <x v="2"/>
    <s v="Entregado"/>
    <s v="Hola Sofí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2"/>
    <s v="Valery"/>
    <s v="Linares Hernandez"/>
    <s v="valerylihe@unisabana.edu.co"/>
    <x v="2"/>
    <d v="2026-04-15T00:00:00"/>
    <x v="2"/>
    <s v="Entregado"/>
    <s v="Hola Valery,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3"/>
    <s v="Nicolas"/>
    <s v="Torres Calderon"/>
    <s v="nicolastorca@unisabana.edu.co"/>
    <x v="2"/>
    <d v="2026-04-15T00:00:00"/>
    <x v="2"/>
    <s v="Entregado"/>
    <s v="🐼 Retroalimentación de la Entrega: Tarea 2 - Clase 8 - Datos con Pandas Estudiante: Nicolas Torres Calderon Calificación Final: 47/50 (Equivalente a 4.7) ¡Hola, Nicolas! Qué gusto saludarte. He revisado detalladamente tu entrega sobre la limpieza y normalización del archivo de ventas. Quiero comenzar felicitándote por tu puntualidad y por la excelente estructura lógica que le diste a tu Notebook; el uso de celdas Markdown para separar las fases del proceso demuestra una gran capacidad de organización y autogestión.Un punto muy destacable de tu código es la proactividad en la limpieza de nulos. Implementaste una validación condicional para calcular la cantidad (total / precio_unitario) antes de simplemente rellenar con un valor por defecto. Ese es exactamente el tipo de pensamiento analítico que buscamos en la EICEA: no solo limpiar datos, sino entender la relación matemática entre ellos para recuperar información valiosa.Sin embargo, en el espíritu de mantener una alta rigurosidad técnica para prepararte para el mundo profesional y el parcial, tengo dos observaciones importantes. La primera es sobre la normalización (1NF): al realizar el .split(&quot;-&quot;), el archivo original contenía espacios alrededor del guion (-). Al no incluirlos en el separador o no usar un .str.strip(), las nuevas columnas quedaron con espacios en blanco residuales (ej. &quot;Diego Zuluaga &quot;). Esto podría generar errores en Power BI al intentar cruzar datos.La segunda observación es de carácter técnico-sintáctico. Tu código generó varios SyntaxWarning debido al uso de secuencias de escape en la expresión regular del precio ([\$,]). En versiones modernas de Python, esto debe manejarse como un &quot;raw string&quot; (r'[\$,]') para evitar conflictos. Además, noté en tu registro de salida un ModuleNotFoundError; asegúrate siempre de que tu entorno de ejecución tenga instaladas las librerías para que el &quot;Sanity Check&quot; sea exitoso antes de la entrega final.Vas por muy buen camino, Nicolas. Tienes una lógica de programación muy sólida y un criterio de análisis de datos envidiable. Si pules estos pequeños detalles técnicos de limpieza de strings y manejo de expresiones regulares, tus entregas serán impecables. ¡Mucho ánimo para el tercer corte! Rúbrica de CalificaciónCriterio de EvaluaciónRequisito TécnicoPuntaje MáximoPuntaje ObtenidoCarga y ExportaciónImportación de CSV y exportación correcta a ventas_limpias.csv.10.010.0Limpieza de NulosRecuperación lógica/matemática de cantidades y manejo de fechas.15.015.0Normalización (1NF)Separación de columnas compuestas (Faltó manejo de espacios residuales).15.012.0EstandarizaciónFormato Título y limpieza de símbolos (Presencia de SyntaxWarnings).10.010.0AutogestiónEntrega a tiempo y formato de archivo correcto.(Bonus/Penalización)0.0TOTAL50.047.0  Diego Mauricio Zuluaga RodríguezProfesor - Departamento de EconomíaUniversidad de La Sabana"/>
    <n v="47"/>
    <n v="50"/>
    <n v="0.94"/>
  </r>
  <r>
    <x v="4"/>
    <s v="Cristian"/>
    <s v="Bermudez"/>
    <s v="cristianbe@unisabana.edu.co"/>
    <x v="2"/>
    <d v="2026-04-15T00:00:00"/>
    <x v="2"/>
    <s v="Entregado"/>
    <s v="Hola Cristian,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5"/>
    <s v="Mariana"/>
    <s v="Carmona Romero"/>
    <s v="marianacarrom@unisabana.edu.co"/>
    <x v="2"/>
    <d v="2026-04-15T00:00:00"/>
    <x v="2"/>
    <s v="Entregado"/>
    <s v="Hola Marian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6"/>
    <s v="Mariana"/>
    <s v="Pena Rodriguez"/>
    <s v="marianapero@unisabana.edu.co"/>
    <x v="2"/>
    <d v="2026-04-15T00:00:00"/>
    <x v="2"/>
    <s v="Entregado"/>
    <s v="🐼 Retroalimentación de la Entrega: Tarea 2 - Clase 8 - Datos con PandasIntegrantes: Mariana Peña Rodríguez, Matías Mondragón Osorio, Arianne Mariana Amorocho Quiroga.Calificación Final: 50/50 (Equivalente a 5.0)¡Hola, equipo! Es un gusto saludarlos. He revisado su entrega y quiero felicitarlos por el excelente trabajo que han realizado en la limpieza y normalización de este dataset. Han demostrado un dominio claro de la librería Pandas y de los principios fundamentales de la calidad de datos.Me pareció muy acertado el uso de .str.strip() antes de aplicar .str.title(). En el mundo real, los espacios en blanco accidentales al principio o al final de un texto son una de las principales causas de errores al cruzar bases de datos en Power BI o SQL. Esta pequeña línea de código demuestra que están pensando como verdaderos analistas de datos.La aplicación de la Primera Forma Normal (1NF) fue impecable. Separar la información combinada utilizando .str.split() con expand=True es la técnica estándar en la industria. Además, el manejo de los valores nulos (NaN) fue muy inteligente; en lugar de simplemente rellenar con ceros o borrar las filas, utilizaron lógica matemática (precio_total / Precio_Unitario y viceversa) para recuperar la información faltante. Esto es exactamente lo que se espera de un analista financiero o de operaciones.Finalmente, la estandarización de los precios eliminando el símbolo $ y forzando el tipo de dato a float garantiza que la columna pueda ser sumada o promediada sin errores en el futuro. El reordenamiento de las columnas al final del script le da un toque muy profesional a la tabla resultante.Sigan con este nivel de rigurosidad y atención al detalle. Dominar Pandas es una de las habilidades más cotizadas en el mercado laboral actual. ¡Excelente trabajo y sigan así preparándose para el Segundo Parcial!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Diego Mauricio Zuluaga RodríguezProfesor - Departamento de EconomíaUniversidad de La Sabana"/>
    <n v="50"/>
    <n v="50"/>
    <n v="1"/>
  </r>
  <r>
    <x v="7"/>
    <s v="Isabella"/>
    <s v="Carranza Tapiero"/>
    <s v="isabellacata@unisabana.edu.co"/>
    <x v="2"/>
    <d v="2026-04-15T00:00:00"/>
    <x v="2"/>
    <s v="Entregado"/>
    <s v="🐼 Retroalimentación de la Entrega: Datos con PandasIntegrantes: Valeria Morales, Isabella Carranza Tapiero, Paula Andrea Arciniegas Cárdenas.Calificación Final: 50/50 (Equivalente a 5.0)¡Hola, equipo! Qué gusto saludarlas. He revisado detalladamente su entrega y quiero felicitarlas por el altísimo nivel técnico y la pulcritud con la que han desarrollado este laboratorio de analítica de datos. Han demostrado un dominio excepcional de la librería Pandas, yendo incluso un paso más allá de lo solicitado.Me impresionó gratamente la sofisticación con la que manejaron la limpieza de la columna cantidad. En lugar de simplemente rellenar con un valor fijo, crearon una función personalizada (limpiar_cantidad) y la aplicaron con .apply(axis=1). Esta lógica de &quot;si es nulo, intenta calcularlo matemáticamente y, si no, pon 1&quot; es exactamente el tipo de pensamiento crítico que buscamos en los analistas de la EICEA. Demuestra que no solo saben programar, sino que entienden la naturaleza financiera de los datos.La aplicación de la Primera Forma Normal (1NF) fue impecable. Lograron separar las columnas compuestas con precisión y eliminaron los residuos de información &quot;sucia&quot; de forma correcta. Además, la estandarización de los textos con .str.title() y la limpieza de los símbolos monetarios garantizan que este dataset sea totalmente funcional para una herramienta como Power BI.Otro punto a destacar es la presentación de su Notebook. La celda de Markdown inicial no solo cumple con los nombres, sino que contextualiza el ejercicio de forma profesional. La estructura del código es limpia, fácil de leer y está muy bien organizada por bloques lógicos.Sigan con esa misma rigurosidad y atención al detalle. Están construyendo una base técnica muy sólida que les permitirá liderar procesos de toma de decisiones basados en datos en su vida profesional. ¡Excelente trabajo y muchos éxitos en lo que viene del corte!Rúbrica de CalificaciónCriterio de EvaluaciónRequisito TécnicoPuntaje MáximoPuntaje ObtenidoCarga y ExportaciónCarga correcta del CSV y exportación final a ventas_limpias.csv.10.010.0Limpieza de Nulos (NaN)Uso de lógica avanzada para calcular cantidades y precios, y manejo de fechas.15.015.0Normalización (1NF)Separación exitosa de columnas compuestas y eliminación de columnas originales.15.015.0EstandarizaciónFormato Título en textos y conversión correcta de precios a formato numérico.10.010.0TOTAL50.050.0Diego Mauricio Zuluaga RodríguezProfesor - Departamento de EconomíaUniversidad de La Sabana"/>
    <n v="50"/>
    <n v="50"/>
    <n v="1"/>
  </r>
  <r>
    <x v="8"/>
    <s v="Samuel David"/>
    <s v="Lozano Holguin"/>
    <s v="samuelloho@unisabana.edu.co"/>
    <x v="2"/>
    <d v="2026-04-15T00:00:00"/>
    <x v="2"/>
    <s v="Entregado"/>
    <s v="🐼 Retroalimentación de la Entrega: Tarea 2 - Clase 8 - Datos con PandasIntegrantes: Sebastian Vanoy Gutierrez, Samuel David Lozano Holguin, Samuel Mathias Gonzalez Bernal.Calificación Final: 50/50 (Equivalente a 5.0)¡Hola, equipo! Es un gusto saludarlos. He revisado detalladamente su entrega y quiero felicitarlos por el altísimo nivel de profesionalismo y rigor técnico que han demostrado en este laboratorio de limpieza de datos.Lo primero que destaco es su capacidad de Autogestión. La tabla resumen que incluyeron al inicio del Notebook, donde mapean cada problema encontrado con su respectiva solución técnica, es una práctica de analítica de datos de primer nivel. Esto demuestra que no solo escribieron código, sino que diseñaron una estrategia de limpieza antes de ejecutarla.En la parte técnica, la aplicación de la Primera Forma Normal (1NF) fue impecable. Separar las columnas compuestas mediante .str.split(' - ', expand=True) es la forma correcta de garantizar la atomicidad de los datos. Asimismo, el manejo de los valores nulos (NaN) mediante lógica matemática (precio_total / Precio_Unitario) demuestra que comprenden el contexto del negocio y saben cómo recuperar información valiosa que otros simplemente borrarían.La estandarización de los textos con .str.title() y la limpieza del signo $ para la conversión a float aseguran que este dataset sea totalmente funcional para procesos de agregación en Power BI o modelos econométricos en el futuro. El reordenamiento final de las columnas le da un cierre muy ordenado y profesional al entregable.Sigan con esta misma disciplina y atención al detalle. Dominar Pandas es el &quot;superpoder&quot; del analista moderno, y ustedes han demostrado tener un control total sobre la herramienta. ¡Excelente trabajo y sigan así para el cierre del semestre!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Diego Mauricio Zuluaga RodríguezProfesor - Departamento de EconomíaUniversidad de La Sabana"/>
    <n v="50"/>
    <n v="50"/>
    <n v="1"/>
  </r>
  <r>
    <x v="9"/>
    <s v="Sebastian"/>
    <s v="Vanoy Gutierrez"/>
    <s v="sebastianvagu@unisabana.edu.co"/>
    <x v="2"/>
    <d v="2026-04-15T00:00:00"/>
    <x v="2"/>
    <s v="Entregado"/>
    <s v="🐼 Retroalimentación de la Entrega: Tarea 2 - Clase 8 - Datos con Pandas Integrantes: Sebastian Vanoy Gutierrez, Samuel David Lozano Holguin, Samuel Mathias Gonzalez Bernal. Calificación Final: 50/50 (Equivalente a 5.0) ¡Hola, equipo! Es un gusto saludarlos. He revisado detalladamente su entrega y quiero felicitarlos por el altísimo nivel de profesionalismo y rigor técnico que han demostrado en este laboratorio de limpieza de datos.Lo primero que destaco es su capacidad de Autogestión. La tabla resumen que incluyeron al inicio del Notebook, donde mapean cada problema encontrado con su respectiva solución técnica, es una práctica de analítica de datos de primer nivel. Esto demuestra que no solo escribieron código, sino que diseñaron una estrategia de limpieza antes de ejecutarla.En la parte técnica, la aplicación de la Primera Forma Normal (1NF) fue impecable. Separar las columnas compuestas mediante .str.split(' - ', expand=True) es la forma correcta de garantizar la atomicidad de los datos. Asimismo, el manejo de los valores nulos (NaN) mediante lógica matemática (precio_total / Precio_Unitario) demuestra que comprenden el contexto del negocio y saben cómo recuperar información valiosa que otros simplemente borrarían.La estandarización de los textos con .str.title() y la limpieza del signo $ para la conversión a float aseguran que este dataset sea totalmente funcional para procesos de agregación en Power BI o modelos econométricos en el futuro. El reordenamiento final de las columnas le da un cierre muy ordenado y profesional al entregable.Sigan con esta misma disciplina y atención al detalle. Dominar Pandas es el &quot;superpoder&quot; del analista moderno, y ustedes han demostrado tener un control total sobre la herramienta. ¡Excelente trabajo y sigan así para el cierre del semestre! 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  Diego Mauricio Zuluaga RodríguezProfesor - Departamento de EconomíaUniversidad de La Sabana"/>
    <n v="50"/>
    <n v="50"/>
    <n v="1"/>
  </r>
  <r>
    <x v="10"/>
    <s v="Jose Daniel"/>
    <s v="Escobar Hurtado"/>
    <s v="joseeshu@unisabana.edu.co"/>
    <x v="2"/>
    <d v="2026-04-15T00:00:00"/>
    <x v="2"/>
    <s v="Entregado"/>
    <s v="🐼 Retroalimentación de la Entrega: Tarea 2 - Clase 8 - Datos con Pandas Integrantes: Juan David Neuta Medina, Laura Fernanda Lopez Parra, Jose Daniel Escobar Hurtado. Calificación Final: 50/50 (Equivalente a 5.0) ¡Hola, equipo! Qué gusto saludarlos. He revisado minuciosamente su entrega y quiero felicitarlos por el altísimo nivel de profesionalismo y rigor técnico que han demostrado en este laboratorio de limpieza de datos. Puntos Destacados de su Trabajo:Lógica de Recuperación de Datos: Me pareció brillante el uso de máscaras booleanas (df.loc[mask]) para rellenar los valores nulos. No se limitaron a poner un cero, sino que aplicaron lógica financiera para deducir la cantidad a partir del precio_total y viceversa. Este es un &quot;Sanity Check&quot; de datos real que aporta valor al negocio.Dominio de la 1NF: La separación de las columnas compuestas fue ejecutada con precisión quirúrgica. Entendieron perfectamente que la atomicidad es la base para que un modelo de datos sea funcional en herramientas como Power BI o SQL.Estandarización y Limpieza: El uso de .str.strip() antes del .str.title() es una excelente práctica. A menudo, los espacios invisibles rompen las relaciones entre tablas, y ustedes blindaron su código contra ese error común.Valor Agregado (Metacognición): El resumen estadístico final y la verificación de la creación del archivo demuestran una gran capacidad de Autogestión. No solo hicieron que el código funcionara, sino que crearon un reporte para auditar su propio trabajo. Reflexión para el equipo: ¿Cómo creen que cambiaría el rendimiento de su script si en lugar de 5 filas tuvieran 5 millones? Pandas está diseñado para esa escala, y la lógica que implementaron hoy es el cimiento de la ingeniería de datos moderna.Sigan con esa atención al detalle. Están demostrando que tienen la mentalidad de analistas de datos de alto nivel. ¡Excelente trabajo y sigan así para el cierre del semestre! Rúbrica de CalificaciónCriterio de EvaluaciónRequisito TécnicoPuntaje MáximoPuntaje ObtenidoCarga y ExploraciónImportación correcta y análisis inicial de la estructura del DataFrame.10.010.0Limpieza de Nulos (NaN)Uso de lógica matemática para recuperar datos faltantes y manejo de fechas.15.015.0Normalización (1NF)Separación exitosa de columnas compuestas y eliminación de redundancias.15.015.0Estandarización y ExportaciónFormato Título, limpieza de símbolos monetarios y guardado correcto del CSV.10.010.0TOTAL50.050.0  Diego Mauricio Zuluaga Rodríguez Profesor - Departamento de Economía Universidad de La Sabana"/>
    <n v="50"/>
    <n v="50"/>
    <n v="1"/>
  </r>
  <r>
    <x v="11"/>
    <s v="Maria Jose"/>
    <s v="Botero Galviz"/>
    <s v="mariabotga@unisabana.edu.co"/>
    <x v="2"/>
    <d v="2026-04-15T00:00:00"/>
    <x v="2"/>
    <s v="Entregado"/>
    <s v="🐼 Retroalimentación de la Entrega: Tarea 2 - Clase 8 - Datos con Pandas Integrantes: Maria Juliana Mejia Quintero, Maria Jose Botero Galviz. Calificación Final: 50/50 (Equivalente a 5.0) ¡Hola, Juliana y Maria Jose! Qué gusto saludarlas. He revisado detalladamente su entrega y debo decir que han superado con creces las expectativas técnicas de este ejercicio. Han presentado una solución con un nivel de sofisticación propio de analistas de datos senior.Lo que más me ha impresionado es el uso del enfoque de &quot;Pipeline&quot; mediante el método .assign() y la implementación de Expresiones Regulares (Regex) con str.extract. Mientras que la mayoría utiliza métodos de división de texto simples, ustedes decidieron blindar la extracción de datos con patrones específicos (r'^\s*(.*?)\s*-\s*'), lo cual garantiza que la limpieza sea mucho más robusta ante errores de digitación complejos.La lógica matemática para inferir los datos faltantes fue impecable. No solo rellenaron los nulos, sino que utilizaron la relación entre precio_total, cantidad y Precio_Unitario para reconstruir la información, aplicando incluso un redondeo para asegurar la integridad de los datos. El uso de pathlib para gestionar las rutas de los archivos también es una excelente práctica de autogestión que evita errores de ejecución en diferentes computadores.Sigan explorando estas herramientas avanzadas de Pandas. La capacidad de encadenar operaciones y utilizar Regex para la limpieza de &quot;datos sucios&quot; es una de las habilidades más valoradas en la ciencia de datos y la inteligencia de negocios.Están más que preparadas para los retos de integración y visualización que veremos en el cierre del curso. ¡Felicitaciones por este excelente desempeño! Rúbrica de CalificaciónCriterio de EvaluaciónRequisito TécnicoPuntaje MáximoPuntaje ObtenidoCarga y ExportaciónUso avanzado de pathlib y exportación correcta a CSV sin índices.10.010.0Limpieza de Nulos (NaN)Inferencia matemática precisa de cantidades y precios, y manejo de fechas.15.015.0Normalización (1NF)Separación de columnas mediante Regex (enfoque superior) y eliminación de basura.15.015.0EstandarizaciónFormato Título, limpieza de símbolos y conversión de tipos de datos impecable.10.010.0TOTAL50.050.0  Diego Mauricio Zuluaga RodríguezProfesor - Departamento de EconomíaUniversidad de La Sabana"/>
    <n v="50"/>
    <n v="50"/>
    <n v="1"/>
  </r>
  <r>
    <x v="12"/>
    <s v="Maria Juliana"/>
    <s v="Mejia Quintero"/>
    <s v="mariamequ@unisabana.edu.co"/>
    <x v="2"/>
    <d v="2026-04-15T00:00:00"/>
    <x v="2"/>
    <s v="Entregado"/>
    <s v="🐼 Retroalimentación de la Entrega: Tarea 2 - Clase 8 - Datos con PandasIntegrantes: Maria Juliana Mejia Quintero, Maria Jose Botero Galviz.Calificación Final: 50/50 (Equivalente a 5.0)¡Hola, Juliana y Maria Jose! Qué gusto saludarlas. He revisado detalladamente su entrega y debo decir que han superado con creces las expectativas técnicas de este ejercicio. Han presentado una solución con un nivel de sofisticación propio de analistas de datos senior.Lo que más me ha impresionado es el uso del enfoque de &quot;Pipeline&quot; mediante el método .assign() y la implementación de Expresiones Regulares (Regex) con str.extract. Mientras que la mayoría utiliza métodos de división de texto simples, ustedes decidieron blindar la extracción de datos con patrones específicos (r'^\s*(.*?)\s*-\s*'), lo cual garantiza que la limpieza sea mucho más robusta ante errores de digitación complejos.La lógica matemática para inferir los datos faltantes fue impecable. No solo rellenaron los nulos, sino que utilizaron la relación entre precio_total, cantidad y Precio_Unitario para reconstruir la información, aplicando incluso un redondeo para asegurar la integridad de los datos. El uso de pathlib para gestionar las rutas de los archivos también es una excelente práctica de autogestión que evita errores de ejecución en diferentes computadores.Sigan explorando estas herramientas avanzadas de Pandas. La capacidad de encadenar operaciones y utilizar Regex para la limpieza de &quot;datos sucios&quot; es una de las habilidades más valoradas en la ciencia de datos y la inteligencia de negocios.Están más que preparadas para los retos de integración y visualización que veremos en el cierre del curso. ¡Felicitaciones por este excelente desempeño!Rúbrica de CalificaciónCriterio de EvaluaciónRequisito TécnicoPuntaje MáximoPuntaje ObtenidoCarga y ExportaciónUso avanzado de pathlib y exportación correcta a CSV sin índices.10.010.0Limpieza de Nulos (NaN)Inferencia matemática precisa de cantidades y precios, y manejo de fechas.15.015.0Normalización (1NF)Separación de columnas mediante Regex (enfoque superior) y eliminación de basura.15.015.0EstandarizaciónFormato Título, limpieza de símbolos y conversión de tipos de datos impecable.10.010.0TOTAL50.050.0Diego Mauricio Zuluaga RodríguezProfesor - Departamento de EconomíaUniversidad de La Sabana"/>
    <n v="50"/>
    <n v="50"/>
    <n v="1"/>
  </r>
  <r>
    <x v="13"/>
    <s v="Alejandra"/>
    <s v="Leon Vargas"/>
    <s v="alejandraleva@unisabana.edu.co"/>
    <x v="2"/>
    <d v="2026-04-15T00:00:00"/>
    <x v="2"/>
    <s v="Entregado"/>
    <s v="🐼 Retroalimentación de la Entrega: Tarea 2 - Clase 8 - Datos con Pandas Estudiante: Alejandra León Vargas Calificación Final: 50/50 (Equivalente a 5.0) ¡Hola, Alejandra! Qué gusto saludarte. He revisado detalladamente tu entrega y quiero felicitarte por el excelente trabajo que has realizado en este laboratorio de limpieza de datos. Has demostrado un dominio muy claro de la librería Pandas y, sobre todo, una lógica de análisis muy coherente.Me pareció muy profesional la forma en que abordaste la Normalización (1NF). Separar las columnas compuestas asegurando la atomicidad de los datos es el primer paso para cualquier análisis serio en Power BI o SQL, y lo lograste con una sintaxis limpia. Además, el uso de .str.strip() para eliminar espacios residuales después del split demuestra una gran atención al detalle, evitando errores de cruce de datos en el futuro.En cuanto al manejo de nulos, tu lógica para recuperar la columna cantidad fue impecable. Utilizar la relación matemática entre el precio total y el unitario antes de asignar un valor por defecto (1) es exactamente lo que se espera de un analista que cuida la integridad de la información. También destaco el uso de pd.to_datetime y el relleno con la fecha actual, lo cual garantiza que el dataset sea cronológicamente consistente.Finalmente, la inclusión de una sección de validación con df.info() y df.describe() es una excelente práctica de autogestión. Esto te permite hacer un &quot;Sanity Check&quot; rápido para confirmar que no quedaron valores nulos y que los tipos de datos (numéricos y fechas) son los correctos antes de exportar.Vas por muy buen camino. Sigue cultivando esa rigurosidad técnica, ya que la limpieza de datos es la habilidad más valorada en el mundo de la analítica de negocios actual. ¡Felicitaciones por tu esfuerzo y por entregar a tiempo! 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  Diego Mauricio Zuluaga RodríguezProfesor - Departamento de EconomíaUniversidad de La Sabana"/>
    <n v="50"/>
    <n v="50"/>
    <n v="1"/>
  </r>
  <r>
    <x v="14"/>
    <s v="Alessandro Di Mauro"/>
    <s v="Bonilla Correa"/>
    <s v="alessandroboco@unisabana.edu.co"/>
    <x v="2"/>
    <d v="2026-04-15T00:00:00"/>
    <x v="2"/>
    <s v="Entregado"/>
    <s v="Hola Alessandro,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15"/>
    <s v="Arianne Mariana"/>
    <s v="Amorocho Quiroga"/>
    <s v="arianneamqu@unisabana.edu.co"/>
    <x v="2"/>
    <d v="2026-04-15T00:00:00"/>
    <x v="2"/>
    <s v="Entregado"/>
    <s v="🐼 Retroalimentación de la Entrega: Tarea 2 - Clase 8 - Datos con Pandas Integrantes: Mariana Peña Rodríguez, Matías Mondragón Osorio, Arianne Mariana Amorocho Quiroga. Calificación Final: 50/50 (Equivalente a 5.0) ¡Hola, equipo! Es un gusto saludarlos. He revisado su entrega y quiero felicitarlos por el excelente trabajo que han realizado en la limpieza y normalización de este dataset. Han demostrado un dominio claro de la librería Pandas y de los principios fundamentales de la calidad de datos.Me pareció muy acertado el uso de .str.strip() antes de aplicar .str.title(). En el mundo real, los espacios en blanco accidentales al principio o al final de un texto son una de las principales causas de errores al cruzar bases de datos en Power BI o SQL. Esta pequeña línea de código demuestra que están pensando como verdaderos analistas de datos.La aplicación de la Primera Forma Normal (1NF) fue impecable. Separar la información combinada utilizando .str.split() con expand=True es la técnica estándar en la industria. Además, el manejo de los valores nulos (NaN) fue muy inteligente; en lugar de simplemente rellenar con ceros o borrar las filas, utilizaron lógica matemática (precio_total / Precio_Unitario y viceversa) para recuperar la información faltante. Esto es exactamente lo que se espera de un analista financiero o de operaciones.Finalmente, la estandarización de los precios eliminando el símbolo $ y forzando el tipo de dato a float garantiza que la columna pueda ser sumada o promediada sin errores en el futuro. El reordenamiento de las columnas al final del script le da un toque muy profesional a la tabla resultante.Sigan con este nivel de rigurosidad y atención al detalle. Dominar Pandas es una de las habilidades más cotizadas en el mercado laboral actual. ¡Excelente trabajo y sigan así preparándose para el Segundo Parcial! 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  Diego Mauricio Zuluaga RodríguezProfesor - Departamento de EconomíaUniversidad de La Sabana"/>
    <n v="50"/>
    <n v="50"/>
    <n v="1"/>
  </r>
  <r>
    <x v="16"/>
    <s v="Maria Juliana"/>
    <s v="Herrera Pulido"/>
    <s v="mariahepu@unisabana.edu.co"/>
    <x v="2"/>
    <d v="2026-04-15T00:00:00"/>
    <x v="2"/>
    <s v="Entregado"/>
    <s v="Hola Julian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17"/>
    <s v="Simon Gustavo"/>
    <s v="Restrepo Alvarez"/>
    <s v="simonreal@unisabana.edu.co"/>
    <x v="2"/>
    <d v="2026-04-15T00:00:00"/>
    <x v="2"/>
    <s v="Entregado"/>
    <s v="🐼 Retroalimentación de la Entrega: Tarea 2 - Clase 8 - Datos con PandasIntegrantes: Simon Gustavo Restrepo Alvarez, Mateo Perez Daza, Diego Alejandro Hermida Limas.Calificación Final: 45/50 (Equivalente a 4.5)¡Hola, equipo! He revisado detalladamente su entrega sobre el procesamiento de datos con Pandas. Han realizado un ejercicio muy sólido, con una estructura lógica clara y un código bien documentado.Puntos Destacados:Autogestión y Planeación: Su pseudocódigo es excelente. Desglosaron cada paso necesario antes de programar, lo cual es la marca de un analista organizado.Normalización (1NF): La separación de las columnas cliente_info y producto_info utilizando .str.split() fue ejecutada correctamente, garantizando la atomicidad de los datos.Estandarización: El uso de .str.title() para los nombres y la limpieza del símbolo $ en los precios demuestra una buena atención al detalle para la presentación final de los datos.Oportunidades de Mejora (Sanity Check):Manejo de Nulos (Requerimiento Técnico): En el resultado final (Celda 35), la columna cantidad para la fila 1 (id_venta 102) sigue apareciendo como NaN. Aunque en su pseudocódigo mencionaron que debían calcularla o dejar 1, en el código se saltaron el paso de aplicar el .fillna() específicamente a la columna cantidad. Solo aplicaron el relleno a precio_total. Recuerden que un analista debe verificar que el output final no contenga valores nulos si el objetivo era limpiarlos.Portabilidad de Código: Utilizaron una ruta absoluta local (/Users/mateoperezdaza/...) para cargar el archivo. En el mundo profesional, esto hace que el código falle si lo abro en mi computador. Lo ideal es usar rutas relativas (ej: pd.read_csv(&quot;ventas_sucias.csv&quot;)) para que el proyecto sea portátil.Motivación:Tienen una lógica de programación muy bien estructurada. Si logran pulir ese último paso de verificación de resultados (asegurarse de que el dato realmente se guardó en el DataFrame), sus entregas serán de nivel senior. ¡Sigan con ese buen ritmo para el cierre del semestre!Rúbrica de CalificaciónCriterio de EvaluaciónRequisito TécnicoPuntaje MáximoPuntaje ObtenidoPlaneaciónPseudocódigo detallado y coherente con el desarrollo.10.010.0Normalización (1NF)Separación correcta de columnas y eliminación de originales.15.015.0EstandarizaciónFormato Título y limpieza de símbolos monetarios.10.010.0Limpieza de NulosRelleno de fechas y cálculos matemáticos de valores faltantes.10.05.0Exportación y FormatoGeneración de CSV limpio y reordenamiento de columnas.5.05.0TOTAL50.045.0Diego Mauricio Zuluaga RodríguezProfesor - Departamento de EconomíaUniversidad de La Sabana"/>
    <n v="45"/>
    <n v="50"/>
    <n v="0.9"/>
  </r>
  <r>
    <x v="18"/>
    <s v="Daniel Felipe"/>
    <s v="Camacho Pedraza"/>
    <s v="danielcampe@unisabana.edu.co"/>
    <x v="2"/>
    <d v="2026-04-15T00:00:00"/>
    <x v="2"/>
    <s v="Entregado"/>
    <s v="🐼 Retroalimentación de la Entrega: Tarea 2 - Clase 8 - Datos con Pandas Integrantes: Samuel David Simancas Contreras, Juan Sebastian Perdomo Herrera, Daniel Felipe Camacho Pedraza. Calificación Final: 25/50 (Equivalente a 2.5) ¡Hola, equipo! He revisado su entrega y noto que han tenido dificultades significativas con la ejecución y estructuración del código. Aunque hay intentos válidos de aplicar las funciones de Pandas, el archivo entregado presenta errores críticos que impiden su funcionamiento y no cumple con las instrucciones de autogestión solicitadas. Puntos a Mejorar (Por qué el código falla):Variables no definidas (NameError): En la tercera celda intentan manipular df_productos y df_clientes, pero en ninguna parte del código cargaron esos archivos. El enunciado pedía explícitamente cargar el archivo ventas_sucias.csv en un DataFrame llamado df. Al no cargar los datos correctamente primero, todo el código posterior colapsa.Confusión de Datasets: Copiaron fragmentos del código del Live Coding de la clase (donde usamos clientes_sucios.csv y productos_sucios.xlsx), pero la tarea era aplicar esos conceptos exclusivamente al archivo ventas_sucias.csv.Falta de Lógica Secuencial: En la cuarta celda intentan hacer un .drop(columns=['cliente_info', 'producto_info']) sobre un DataFrame df que nunca fue creado ni se le aplicó el .str.split() previamente en el código entregado. Python lee de arriba hacia abajo; si el paso 1 no existe, el paso 2 fallará.Documentación Ausente: El enunciado exigía que el código estuviera documentado paso a paso. Su entrega carece por completo de comentarios (#) o celdas Markdown que expliquen la lógica de lo que intentaban hacer, lo cual es un criterio de evaluación fundamental.Puntos Rescatables: Lograron identificar correctamente las funciones necesarias para la limpieza: .str.title(), .str.replace(), pd.to_numeric() y .fillna(). La lógica matemática que plantearon para rellenar el precio_total (df['cantidad'] * df['Precio_Unitario']) es correcta conceptualmente, aunque no se pueda ejecutar por los errores previos. Motivación y Siguiente Paso: No se desanimen por este resultado. Pandas tiene una curva de aprendizaje pronunciada. El error principal aquí fue de Autogestión: no leyeron detenidamente el enunciado de la tarea y se limitaron a copiar el código de la clase sin adaptarlo al nuevo problema (ventas_sucias.csv). Les sugiero fuertemente que revisen la solución ideal que compartiré en Teams y practiquen la carga correcta de archivos antes del parcial. ¡Ustedes tienen la capacidad, solo necesitan más orden en su proceso! Rúbrica de CalificaciónCriterio de EvaluaciónRequisito TécnicoPuntaje MáximoPuntaje ObtenidoCarga y ExportaciónImportación correcta del CSV ventas_sucias y exportación final.10.00.0Limpieza de Nulos (NaN)Recuperación matemática de cantidades y precios totales.15.05.0Normalización (1NF)Separación exitosa de columnas y eliminación de originales.15.010.0Estandarización y DocumentaciónFormato Título, conversión numérica y código documentado.10.010.0TOTAL50.025.0  Diego Mauricio Zuluaga RodríguezProfesor - Departamento de EconomíaUniversidad de La Sabana"/>
    <n v="25"/>
    <n v="50"/>
    <n v="0.5"/>
  </r>
  <r>
    <x v="19"/>
    <s v="Mateo"/>
    <s v="Perez Daza"/>
    <s v="mateopeda@unisabana.edu.co"/>
    <x v="2"/>
    <d v="2026-04-15T00:00:00"/>
    <x v="2"/>
    <s v="Entregado"/>
    <s v="🐼 Retroalimentación de la Entrega: Tarea 2 - Clase 8 - Datos con PandasIntegrantes: Simon Gustavo Restrepo Alvarez, Mateo Perez Daza, Diego Alejandro Hermida Limas.Calificación Final: 45/50 (Equivalente a 4.5)¡Hola, equipo! He revisado detalladamente su entrega sobre el procesamiento de datos con Pandas. Han realizado un ejercicio muy sólido, con una estructura lógica clara y un código bien documentado.Puntos Destacados:Autogestión y Planeación: Su pseudocódigo es excelente. Desglosaron cada paso necesario antes de programar, lo cual es la marca de un analista organizado.Normalización (1NF): La separación de las columnas cliente_info y producto_info utilizando .str.split() fue ejecutada correctamente, garantizando la atomicidad de los datos.Estandarización: El uso de .str.title() para los nombres y la limpieza del símbolo $ en los precios demuestra una buena atención al detalle para la presentación final de los datos.Oportunidades de Mejora (Sanity Check):Manejo de Nulos (Requerimiento Técnico): En el resultado final (Celda 35), la columna cantidad para la fila 1 (id_venta 102) sigue apareciendo como NaN. Aunque en su pseudocódigo mencionaron que debían calcularla o dejar 1, en el código se saltaron el paso de aplicar el .fillna() específicamente a la columna cantidad. Solo aplicaron el relleno a precio_total. Recuerden que un analista debe verificar que el output final no contenga valores nulos si el objetivo era limpiarlos.Portabilidad de Código: Utilizaron una ruta absoluta local (/Users/mateoperezdaza/...) para cargar el archivo. En el mundo profesional, esto hace que el código falle si lo abro en mi computador. Lo ideal es usar rutas relativas (ej: pd.read_csv(&quot;ventas_sucias.csv&quot;)) para que el proyecto sea portátil.Motivación:Tienen una lógica de programación muy bien estructurada. Si logran pulir ese último paso de verificación de resultados (asegurarse de que el dato realmente se guardó en el DataFrame), sus entregas serán de nivel senior. ¡Sigan con ese buen ritmo para el cierre del semestre!Rúbrica de CalificaciónCriterio de EvaluaciónRequisito TécnicoPuntaje MáximoPuntaje ObtenidoPlaneaciónPseudocódigo detallado y coherente con el desarrollo.10.010.0Normalización (1NF)Separación correcta de columnas y eliminación de originales.15.015.0EstandarizaciónFormato Título y limpieza de símbolos monetarios.10.010.0Limpieza de NulosRelleno de fechas y cálculos matemáticos de valores faltantes.10.05.0Exportación y FormatoGeneración de CSV limpio y reordenamiento de columnas.5.05.0TOTAL50.045.0Diego Mauricio Zuluaga RodríguezProfesor - Departamento de EconomíaUniversidad de La Sabana"/>
    <n v="45"/>
    <n v="50"/>
    <n v="0.9"/>
  </r>
  <r>
    <x v="20"/>
    <s v="Matias"/>
    <s v="Mondragon Osorio"/>
    <s v="matiasmoos@unisabana.edu.co"/>
    <x v="2"/>
    <d v="2026-04-15T00:00:00"/>
    <x v="2"/>
    <s v="Entregado"/>
    <s v="🐼 Retroalimentación de la Entrega: Tarea 2 - Clase 8 - Datos con PandasIntegrantes: Mariana Peña Rodríguez, Matías Mondragón Osorio, Arianne Mariana Amorocho Quiroga.Calificación Final: 50/50 (Equivalente a 5.0)¡Hola, equipo! Es un gusto saludarlos. He revisado su entrega y quiero felicitarlos por el excelente trabajo que han realizado en la limpieza y normalización de este dataset. Han demostrado un dominio claro de la librería Pandas y de los principios fundamentales de la calidad de datos.Me pareció muy acertado el uso de .str.strip() antes de aplicar .str.title(). En el mundo real, los espacios en blanco accidentales al principio o al final de un texto son una de las principales causas de errores al cruzar bases de datos en Power BI o SQL. Esta pequeña línea de código demuestra que están pensando como verdaderos analistas de datos.La aplicación de la Primera Forma Normal (1NF) fue impecable. Separar la información combinada utilizando .str.split() con expand=True es la técnica estándar en la industria. Además, el manejo de los valores nulos (NaN) fue muy inteligente; en lugar de simplemente rellenar con ceros o borrar las filas, utilizaron lógica matemática (precio_total / Precio_Unitario y viceversa) para recuperar la información faltante. Esto es exactamente lo que se espera de un analista financiero o de operaciones.Finalmente, la estandarización de los precios eliminando el símbolo $ y forzando el tipo de dato a float garantiza que la columna pueda ser sumada o promediada sin errores en el futuro. El reordenamiento de las columnas al final del script le da un toque muy profesional a la tabla resultante.Sigan con este nivel de rigurosidad y atención al detalle. Dominar Pandas es una de las habilidades más cotizadas en el mercado laboral actual. ¡Excelente trabajo y sigan así preparándose para el Segundo Parcial!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Diego Mauricio Zuluaga RodríguezProfesor - Departamento de EconomíaUniversidad de La Sabana"/>
    <n v="50"/>
    <n v="50"/>
    <n v="1"/>
  </r>
  <r>
    <x v="21"/>
    <s v="Juan David"/>
    <s v="Neuta Medina"/>
    <s v="juanneme@unisabana.edu.co"/>
    <x v="2"/>
    <d v="2026-04-15T00:00:00"/>
    <x v="2"/>
    <s v="Entregado"/>
    <s v="🐼 Retroalimentación de la Entrega: Tarea 2 - Clase 8 - Datos con PandasIntegrantes: Juan David Neuta Medina, Laura Fernanda Lopez Parra, Jose Daniel Escobar Hurtado.Calificación Final: 50/50 (Equivalente a 5.0)¡Hola, equipo! Qué gusto saludarlos. He revisado minuciosamente su entrega y quiero felicitarlos por el altísimo nivel de profesionalismo y rigor técnico que han demostrado en este laboratorio de limpieza de datos.Puntos Destacados de su Trabajo:Lógica de Recuperación de Datos: Me pareció brillante el uso de máscaras booleanas (df.loc[mask]) para rellenar los valores nulos. No se limitaron a poner un cero, sino que aplicaron lógica financiera para deducir la cantidad a partir del precio_total y viceversa. Este es un &quot;Sanity Check&quot; de datos real que aporta valor al negocio.Dominio de la 1NF: La separación de las columnas compuestas fue ejecutada con precisión quirúrgica. Entendieron perfectamente que la atomicidad es la base para que un modelo de datos sea funcional en herramientas como Power BI o SQL.Estandarización y Limpieza: El uso de .str.strip() antes del .str.title() es una excelente práctica. A menudo, los espacios invisibles rompen las relaciones entre tablas, y ustedes blindaron su código contra ese error común.Valor Agregado (Metacognición): El resumen estadístico final y la verificación de la creación del archivo demuestran una gran capacidad de Autogestión. No solo hicieron que el código funcionara, sino que crearon un reporte para auditar su propio trabajo.Reflexión para el equipo:¿Cómo creen que cambiaría el rendimiento de su script si en lugar de 5 filas tuvieran 5 millones? Pandas está diseñado para esa escala, y la lógica que implementaron hoy es el cimiento de la ingeniería de datos moderna.Sigan con esa atención al detalle. Están demostrando que tienen la mentalidad de analistas de datos de alto nivel. ¡Excelente trabajo y sigan así para el cierre del semestre!Rúbrica de CalificaciónCriterio de EvaluaciónRequisito TécnicoPuntaje MáximoPuntaje ObtenidoCarga y ExploraciónImportación correcta y análisis inicial de la estructura del DataFrame.10.010.0Limpieza de Nulos (NaN)Uso de lógica matemática para recuperar datos faltantes y manejo de fechas.15.015.0Normalización (1NF)Separación exitosa de columnas compuestas y eliminación de redundancias.15.015.0Estandarización y ExportaciónFormato Título, limpieza de símbolos monetarios y guardado correcto del CSV.10.010.0TOTAL50.050.0Diego Mauricio Zuluaga RodríguezProfesor - Departamento de EconomíaUniversidad de La Sabana"/>
    <n v="50"/>
    <n v="50"/>
    <n v="1"/>
  </r>
  <r>
    <x v="22"/>
    <s v="Laura Fernanda"/>
    <s v="Lopez Parra"/>
    <s v="lauraloppa@unisabana.edu.co"/>
    <x v="2"/>
    <d v="2026-04-15T00:00:00"/>
    <x v="2"/>
    <s v="Entregado"/>
    <s v="🐼 Retroalimentación de la Entrega: Tarea 2 - Clase 8 - Datos con PandasIntegrantes: Juan David Neuta Medina, Laura Fernanda Lopez Parra, Jose Daniel Escobar Hurtado.Calificación Final: 50/50 (Equivalente a 5.0)¡Hola, equipo! Qué gusto saludarlos. He revisado minuciosamente su entrega y quiero felicitarlos por el altísimo nivel de profesionalismo y rigor técnico que han demostrado en este laboratorio de limpieza de datos.Puntos Destacados de su Trabajo:Lógica de Recuperación de Datos: Me pareció brillante el uso de máscaras booleanas (df.loc[mask]) para rellenar los valores nulos. No se limitaron a poner un cero, sino que aplicaron lógica financiera para deducir la cantidad a partir del precio_total y viceversa. Este es un &quot;Sanity Check&quot; de datos real que aporta valor al negocio.Dominio de la 1NF: La separación de las columnas compuestas fue ejecutada con precisión quirúrgica. Entendieron perfectamente que la atomicidad es la base para que un modelo de datos sea funcional en herramientas como Power BI o SQL.Estandarización y Limpieza: El uso de .str.strip() antes del .str.title() es una excelente práctica. A menudo, los espacios invisibles rompen las relaciones entre tablas, y ustedes blindaron su código contra ese error común.Valor Agregado (Metacognición): El resumen estadístico final y la verificación de la creación del archivo demuestran una gran capacidad de Autogestión. No solo hicieron que el código funcionara, sino que crearon un reporte para auditar su propio trabajo.Reflexión para el equipo:¿Cómo creen que cambiaría el rendimiento de su script si en lugar de 5 filas tuvieran 5 millones? Pandas está diseñado para esa escala, y la lógica que implementaron hoy es el cimiento de la ingeniería de datos moderna.Sigan con esa atención al detalle. Están demostrando que tienen la mentalidad de analistas de datos de alto nivel. ¡Excelente trabajo y sigan así para el cierre del semestre!Rúbrica de CalificaciónCriterio de EvaluaciónRequisito TécnicoPuntaje MáximoPuntaje ObtenidoCarga y ExploraciónImportación correcta y análisis inicial de la estructura del DataFrame.10.010.0Limpieza de Nulos (NaN)Uso de lógica matemática para recuperar datos faltantes y manejo de fechas.15.015.0Normalización (1NF)Separación exitosa de columnas compuestas y eliminación de redundancias.15.015.0Estandarización y ExportaciónFormato Título, limpieza de símbolos monetarios y guardado correcto del CSV.10.010.0TOTAL50.050.0Diego Mauricio Zuluaga RodríguezProfesor - Departamento de EconomíaUniversidad de La Sabana"/>
    <n v="50"/>
    <n v="50"/>
    <n v="1"/>
  </r>
  <r>
    <x v="23"/>
    <s v="Lukas"/>
    <s v="Blanco Llanes"/>
    <s v="lukasblll@unisabana.edu.co"/>
    <x v="2"/>
    <d v="2026-04-15T00:00:00"/>
    <x v="2"/>
    <s v="Entregado"/>
    <s v="🐼 Retroalimentación de la Entrega: Tarea 2 - Clase 8 - Datos con Pandas Integrantes: Juan Sebastián Salas Hinojosa, Alan David Rossoff Vanegas, Lukas Blanco Llanes. Calificación Final: 50/50 (Equivalente a 5.0) ¡Hola, equipo! He revisado detalladamente su entrega y quiero felicitarlos por el altísimo nivel técnico demostrado. Han ido más allá de una limpieza básica, implementando una lógica de programación robusta y profesional que es digna de un equipo de analistas senior. Puntos Destacados:Uso de Pathlib y Robustez: Me pareció excelente el uso de la librería Path para gestionar las rutas de los archivos. Esto demuestra que están pensando en la portabilidad del código, asegurando que funcione tanto en entornos locales (como el de Lukas) como en carpetas de proyecto estándar.Lógica Avanzada de Limpieza (Máscaras Booleanas): El uso de mask_can_calc y df.loc para calcular la cantidad faltante de forma matemática (precio_total / Precio_Unitario) es la forma más eficiente y profesional de trabajar en Pandas. Demuestra un dominio real de la vectorización de datos, evitando ciclos innecesarios.Normalización Impecable: Aplicaron correctamente la 1NF. El uso de rsplit(' - ', n=1) para el producto fue una decisión técnica muy inteligente, ya que previene errores si el nombre del producto llegara a tener un guion interno.Estandarización y Tipos de Datos: La conversión final a int para precios y cantidades, junto con el formato de fecha ISO (%Y-%m-%d), garantiza que este archivo sea perfectamente compatible con herramientas de visualización como Power BI sin necesidad de transformaciones adicionales.Motivación:Sigan con este nivel de rigurosidad. Han demostrado que no solo saben seguir instrucciones, sino que tienen el criterio para proponer soluciones técnicas óptimas. Están más que preparados para los retos de Big Data y el examen parcial que se avecinan. ¡Excelente trabajo!Rúbrica de CalificaciónCriterio de EvaluaciónRequisito TécnicoPuntaje MáximoPuntaje ObtenidoCarga y ExportaciónUso de rutas dinámicas y exportación correcta a ventas_limpias.csv sin índice.10.010.0Limpieza de Nulos (NaN)Recuperación matemática avanzada de cantidades y manejo preciso de fechas del sistema.15.015.0Normalización (1NF)Separación atómica de información y eliminación de columnas redundantes.15.015.0EstandarizaciónFormato Título, limpieza de símbolos monetarios y casting correcto de tipos de datos.10.010.0TOTAL50.050.0  Diego Mauricio Zuluaga RodríguezProfesor - Departamento de EconomíaUniversidad de La Sabana"/>
    <n v="50"/>
    <n v="50"/>
    <n v="1"/>
  </r>
  <r>
    <x v="24"/>
    <s v="Juan Sebastian"/>
    <s v="Salas Hinojosa"/>
    <s v="juansahi@unisabana.edu.co"/>
    <x v="2"/>
    <d v="2026-04-15T00:00:00"/>
    <x v="2"/>
    <s v="Entregado"/>
    <s v="🐼 Retroalimentación de la Entrega: Tarea 2 - Clase 8 - Datos con PandasIntegrantes: Juan Sebastián Salas Hinojosa, Alan David Rossoff Vanegas, Lukas Blanco Llanes.Calificación Final: 50/50 (Equivalente a 5.0)¡Hola, equipo! He revisado detalladamente su entrega y quiero felicitarlos por el altísimo nivel técnico demostrado. Han ido más allá de una limpieza básica, implementando una lógica de programación robusta y profesional que es digna de un equipo de analistas senior.Puntos Destacados:Uso de Pathlib y Robustez: Me pareció excelente el uso de la librería Path para gestionar las rutas de los archivos. Esto demuestra que están pensando en la portabilidad del código, asegurando que funcione tanto en entornos locales (como el de Lukas) como en carpetas de proyecto estándar.Lógica Avanzada de Limpieza (Máscaras Booleanas): El uso de mask_can_calc y df.loc para calcular la cantidad faltante de forma matemática (precio_total / Precio_Unitario) es la forma más eficiente y profesional de trabajar en Pandas. Demuestra un dominio real de la vectorización de datos, evitando ciclos innecesarios.Normalización Impecable: Aplicaron correctamente la 1NF. El uso de rsplit(' - ', n=1) para el producto fue una decisión técnica muy inteligente, ya que previene errores si el nombre del producto llegara a tener un guion interno.Estandarización y Tipos de Datos: La conversión final a int para precios y cantidades, junto con el formato de fecha ISO (%Y-%m-%d), garantiza que este archivo sea perfectamente compatible con herramientas de visualización como Power BI sin necesidad de transformaciones adicionales.Motivación:Sigan con este nivel de rigurosidad. Han demostrado que no solo saben seguir instrucciones, sino que tienen el criterio para proponer soluciones técnicas óptimas. Están más que preparados para los retos de Big Data y el examen parcial que se avecinan. ¡Excelente trabajo!Rúbrica de CalificaciónCriterio de EvaluaciónRequisito TécnicoPuntaje MáximoPuntaje ObtenidoCarga y ExportaciónUso de rutas dinámicas y exportación correcta a ventas_limpias.csv sin índice.10.010.0Limpieza de Nulos (NaN)Recuperación matemática avanzada de cantidades y manejo preciso de fechas del sistema.15.015.0Normalización (1NF)Separación atómica de información y eliminación de columnas redundantes.15.015.0EstandarizaciónFormato Título, limpieza de símbolos monetarios y casting correcto de tipos de datos.10.010.0TOTAL50.050.0Diego Mauricio Zuluaga RodríguezProfesor - Departamento de EconomíaUniversidad de La Sabana"/>
    <n v="50"/>
    <n v="50"/>
    <n v="1"/>
  </r>
  <r>
    <x v="25"/>
    <s v="Avril Avril"/>
    <s v="Ariza Quitian"/>
    <s v="avrilarqu@unisabana.edu.co"/>
    <x v="2"/>
    <d v="2026-04-15T00:00:00"/>
    <x v="2"/>
    <s v="Entregado"/>
    <s v="🐼 Retroalimentación de la Entrega: Limpieza y Normalización de Datos con Pandas Integrantes: Samantha Vanegas Russi, Avril Ariza Quitian. Calificación Final: 50/50 (Equivalente a 5.0) ¡Hola, Samantha y Avril! Es un gusto saludarlas. He revisado detalladamente su entrega y quiero felicitarlas por el altísimo nivel de pulcritud y rigor técnico que demostraron en este laboratorio de analítica.Lo que más destaco de su trabajo es el pensamiento algorítmico aplicado a la limpieza de nulos. En lugar de simplemente rellenar con ceros o eliminar las filas (lo cual destruiría información valiosa), utilizaron máscaras booleanas (mask) para calcular matemáticamente los valores faltantes de cantidad y precio_total. Este es un &quot;Sanity Check&quot; de nivel profesional que asegura la integridad financiera del reporte.Su aplicación de la Primera Forma Normal (1NF) fue impecable. Lograron separar las columnas compuestas con precisión y aplicaron una estandarización de texto (str.title()) que garantiza que, al llevar estos datos a Power BI, la categorización sea uniforme y no existan duplicados por errores de digitación (como &quot;estudiante&quot; vs &quot;ESTUDIANTE&quot;).La documentación en Markdown es excelente; permite que cualquier otro analista entienda el proceso de transformación de principio a fin. Han demostrado una gran competencia de Autogestión al entregar un producto que no solo funciona, sino que es escalable y fácil de auditar.Como reflexión de metacognición para su proceso de estudio: ¿Notaron cómo el orden de las operaciones afecta el resultado? (Por ejemplo, limpiar el signo $ antes de intentar la división). Esa atención al detalle es la que define a una excelente analista de datos.¡Sigan con esa energía y rigor para el cierre del semestre!  Rúbrica de CalificaciónCriterio de EvaluaciónRequisito TécnicoPuntaje MáximoPuntaje ObtenidoCarga y DiagnósticoImportación correcta y verificación inicial de nulos/tipos de datos.10.010.0Limpieza de Nulos (NaN)Recuperación matemática de datos y uso de fecha del sistema.15.015.0Normalización (1NF)Separación de columnas compuestas y eliminación de redundancias.10.010.0Estandarización y ExportaciónFormato Título, limpieza de símbolos y exportación correcta a CSV.10.010.0Documentación y FormatoUso profesional de Markdown y comentarios en el código.5.05.0TOTAL50.050.0  Diego Mauricio Zuluaga RodríguezProfesor - Departamento de EconomíaUniversidad de La Sabana"/>
    <n v="50"/>
    <n v="50"/>
    <n v="1"/>
  </r>
  <r>
    <x v="26"/>
    <s v="Samuel David"/>
    <s v="Simancas Contreras"/>
    <s v="samuelsico@unisabana.edu.co"/>
    <x v="2"/>
    <d v="2026-04-15T00:00:00"/>
    <x v="2"/>
    <s v="Entregado"/>
    <s v="Hola Samuel,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27"/>
    <s v="Maria Jose"/>
    <s v="Huertas Osorio"/>
    <s v="mariahueos@unisabana.edu.co"/>
    <x v="2"/>
    <d v="2026-04-15T00:00:00"/>
    <x v="2"/>
    <s v="Entregado"/>
    <s v="Hola María José,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28"/>
    <s v="Juan Camilo"/>
    <s v="Leyton Lancheros"/>
    <s v="juanleyla@unisabana.edu.co"/>
    <x v="2"/>
    <d v="2026-04-15T00:00:00"/>
    <x v="2"/>
    <s v="Entregado"/>
    <s v="Hola Juan,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29"/>
    <s v="Samuel Mathias"/>
    <s v="Gonzalez Bernal"/>
    <s v="samuelgonbe@unisabana.edu.co"/>
    <x v="2"/>
    <d v="2026-04-15T00:00:00"/>
    <x v="2"/>
    <s v="Entregado"/>
    <s v="🐼 Retroalimentación de la Entrega: Tarea 2 - Clase 8 - Datos con PandasIntegrantes: Sebastian Vanoy Gutierrez, Samuel David Lozano Holguin, Samuel Mathias Gonzalez Bernal.Calificación Final: 50/50 (Equivalente a 5.0)¡Hola, equipo! Es un gusto saludarlos. He revisado detalladamente su entrega y quiero felicitarlos por el altísimo nivel de profesionalismo y rigor técnico que han demostrado en este laboratorio de limpieza de datos.Lo primero que destaco es su capacidad de Autogestión. La tabla resumen que incluyeron al inicio del Notebook, donde mapean cada problema encontrado con su respectiva solución técnica, es una práctica de analítica de datos de primer nivel. Esto demuestra que no solo escribieron código, sino que diseñaron una estrategia de limpieza antes de ejecutarla.En la parte técnica, la aplicación de la Primera Forma Normal (1NF) fue impecable. Separar las columnas compuestas mediante .str.split(' - ', expand=True) es la forma correcta de garantizar la atomicidad de los datos. Asimismo, el manejo de los valores nulos (NaN) mediante lógica matemática (precio_total / Precio_Unitario) demuestra que comprenden el contexto del negocio y saben cómo recuperar información valiosa que otros simplemente borrarían.La estandarización de los textos con .str.title() y la limpieza del signo $ para la conversión a float aseguran que este dataset sea totalmente funcional para procesos de agregación en Power BI o modelos econométricos en el futuro. El reordenamiento final de las columnas le da un cierre muy ordenado y profesional al entregable.Sigan con esta misma disciplina y atención al detalle. Dominar Pandas es el &quot;superpoder&quot; del analista moderno, y ustedes han demostrado tener un control total sobre la herramienta. ¡Excelente trabajo y sigan así para el cierre del semestre!Rúbrica de CalificaciónCriterio de EvaluaciónRequisito TécnicoPuntaje MáximoPuntaje ObtenidoCarga y ExportaciónImportación correcta del CSV y exportación a ventas_limpias.csv sin índice.10.010.0Limpieza de Nulos (NaN)Recuperación matemática de cantidades y precios totales, y asignación de fecha actual.15.015.0Normalización (1NF)Separación exitosa de cliente_info y producto_info, y eliminación de columnas originales.15.015.0EstandarizaciónFormato Título en textos, limpieza del símbolo $ y conversión a formato numérico.10.010.0TOTAL50.050.0Diego Mauricio Zuluaga RodríguezProfesor - Departamento de EconomíaUniversidad de La Sabana"/>
    <n v="50"/>
    <n v="50"/>
    <n v="1"/>
  </r>
  <r>
    <x v="30"/>
    <s v="Valeria"/>
    <s v="Morales"/>
    <s v="valeriamor@unisabana.edu.co"/>
    <x v="2"/>
    <d v="2026-04-15T00:00:00"/>
    <x v="2"/>
    <s v="Entregado"/>
    <s v="Hola Valeri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31"/>
    <s v="Samantha"/>
    <s v="Vanegas Russi"/>
    <s v="samanthavaru@unisabana.edu.co"/>
    <x v="2"/>
    <d v="2026-04-15T00:00:00"/>
    <x v="2"/>
    <s v="Entregado"/>
    <s v="🐼 Retroalimentación de la Entrega: Limpieza y Normalización de Datos con PandasIntegrantes: Samantha Vanegas Russi, Avril Ariza Quitian.Calificación Final: 50/50 (Equivalente a 5.0)¡Hola, Samantha y Avril! Es un gusto saludarlas. He revisado detalladamente su entrega y quiero felicitarlas por el altísimo nivel de pulcritud y rigor técnico que demostraron en este laboratorio de analítica.Lo que más destaco de su trabajo es el pensamiento algorítmico aplicado a la limpieza de nulos. En lugar de simplemente rellenar con ceros o eliminar las filas (lo cual destruiría información valiosa), utilizaron máscaras booleanas (mask) para calcular matemáticamente los valores faltantes de cantidad y precio_total. Este es un &quot;Sanity Check&quot; de nivel profesional que asegura la integridad financiera del reporte.Su aplicación de la Primera Forma Normal (1NF) fue impecable. Lograron separar las columnas compuestas con precisión y aplicaron una estandarización de texto (str.title()) que garantiza que, al llevar estos datos a Power BI, la categorización sea uniforme y no existan duplicados por errores de digitación (como &quot;estudiante&quot; vs &quot;ESTUDIANTE&quot;).La documentación en Markdown es excelente; permite que cualquier otro analista entienda el proceso de transformación de principio a fin. Han demostrado una gran competencia de Autogestión al entregar un producto que no solo funciona, sino que es escalable y fácil de auditar.Como reflexión de metacognición para su proceso de estudio: ¿Notaron cómo el orden de las operaciones afecta el resultado? (Por ejemplo, limpiar el signo $ antes de intentar la división). Esa atención al detalle es la que define a una excelente analista de datos.¡Sigan con esa energía y rigor para el cierre del semestre!Rúbrica de CalificaciónCriterio de EvaluaciónRequisito TécnicoPuntaje MáximoPuntaje ObtenidoCarga y DiagnósticoImportación correcta y verificación inicial de nulos/tipos de datos.10.010.0Limpieza de Nulos (NaN)Recuperación matemática de datos y uso de fecha del sistema.15.015.0Normalización (1NF)Separación de columnas compuestas y eliminación de redundancias.10.010.0Estandarización y ExportaciónFormato Título, limpieza de símbolos y exportación correcta a CSV.10.010.0Documentación y FormatoUso profesional de Markdown y comentarios en el código.5.05.0TOTAL50.050.0Diego Mauricio Zuluaga RodríguezProfesor - Departamento de EconomíaUniversidad de La Sabana"/>
    <n v="50"/>
    <n v="50"/>
    <n v="1"/>
  </r>
  <r>
    <x v="32"/>
    <s v="Juan Jose"/>
    <s v="Caballero Mantilla"/>
    <s v="juancabma@unisabana.edu.co"/>
    <x v="2"/>
    <d v="2026-04-15T00:00:00"/>
    <x v="2"/>
    <s v="Entregado"/>
    <s v="🐼 Retroalimentación de la Entrega: Tarea 2 - Clase 8 - Datos con Pandas Integrantes: Martin Martin Trujillo Rodriguez, Daniel Camilo Lopez Piraquive, Juan Jose Caballero Mantilla. Calificación Final: 48/50 (Equivalente a 4.8) ¡Hola, equipo! Qué buen trabajo han presentado. Han demostrado una gran capacidad para resolver problemas de limpieza de datos utilizando herramientas avanzadas de Pandas. Me alegra ver que no se limitaron a lo básico y exploraron formas más programáticas de manipular la información.Un punto muy destacado de su entrega fue el uso de un bloque try-except. Esto demuestra una mentalidad de &quot;Arquitectos de Software&quot;, ya que están previendo que el programa podría fallar si el archivo no existe o tiene un formato inesperado. Además, la implementación de la función personalizada limpiar_fila junto con df.apply es una técnica de nivel intermedio-avanzado que permite un control mucho más fino sobre la normalización de las columnas que el simple split.La aplicación de la Primera Forma Normal (1NF) fue exitosa, logrando separar con éxito los nombres de los tipos de cliente y los productos de sus precios. También es muy valioso el uso de pd.to_numeric(..., errors='coerce'), ya que asegura que el programa no se detenga si encuentra un carácter extraño en los precios, convirtiéndolo en nulo para luego manejarlo con un fillna(0).Como observación para alcanzar la excelencia absoluta (el &quot;Sanity Check&quot;), noté en su salida de consola que el registro de &quot;Maria Lopez&quot; quedó con el precio_total en NaN. Aunque llenaron correctamente la cantidad y la fecha, en un entorno de analítica financiera real, el siguiente paso lógico habría sido calcular ese total multiplicando la cantidad por el Precio_Unitario que ya habían extraído.Sigan con ese nivel de curiosidad técnica y orden. Han construido una base muy sólida para lo que viene en el tercer corte, donde estos datos limpios serán el motor de sus interfaces gráficas y tableros de control. ¡Felicitaciones por el esfuerzo y la puntualidad!  Rúbrica de CalificaciónCriterio de EvaluaciónRequisito TécnicoPuntaje MáximoPuntaje ObtenidoCarga y ExportaciónImportación correcta del CSV y exportación a ventas_limpias.csv sin índice.10.010.0Limpieza de Nulos (NaN)Relleno de cantidades y fechas. (Faltó cálculo lógico de precio_total faltante).15.013.0Normalización (1NF)Separación avanzada de columnas mediante apply y eliminación de originales.15.015.0EstandarizaciónFormato Título, limpieza de símbolos y conversión numérica correcta.10.010.0TOTAL50.048.0  Diego Mauricio Zuluaga RodríguezProfesor - Departamento de EconomíaUniversidad de La Sabana"/>
    <n v="48"/>
    <n v="50"/>
    <n v="0.96"/>
  </r>
  <r>
    <x v="33"/>
    <s v="Daniel Camilo"/>
    <s v="Lopez Piraquive"/>
    <s v="danielloppi@unisabana.edu.co"/>
    <x v="2"/>
    <d v="2026-04-15T00:00:00"/>
    <x v="2"/>
    <s v="Entregado"/>
    <s v="🐼 Retroalimentación de la Entrega: Tarea 2 - Clase 8 - Datos con PandasIntegrantes: Martin Martin Trujillo Rodriguez, Daniel Camilo Lopez Piraquive, Juan Jose Caballero Mantilla.Calificación Final: 48/50 (Equivalente a 4.8)¡Hola, equipo! Qué buen trabajo han presentado. Han demostrado una gran capacidad para resolver problemas de limpieza de datos utilizando herramientas avanzadas de Pandas. Me alegra ver que no se limitaron a lo básico y exploraron formas más programáticas de manipular la información.Un punto muy destacado de su entrega fue el uso de un bloque try-except. Esto demuestra una mentalidad de &quot;Arquitectos de Software&quot;, ya que están previendo que el programa podría fallar si el archivo no existe o tiene un formato inesperado. Además, la implementación de la función personalizada limpiar_fila junto con df.apply es una técnica de nivel intermedio-avanzado que permite un control mucho más fino sobre la normalización de las columnas que el simple split.La aplicación de la Primera Forma Normal (1NF) fue exitosa, logrando separar con éxito los nombres de los tipos de cliente y los productos de sus precios. También es muy valioso el uso de pd.to_numeric(..., errors='coerce'), ya que asegura que el programa no se detenga si encuentra un carácter extraño en los precios, convirtiéndolo en nulo para luego manejarlo con un fillna(0).Como observación para alcanzar la excelencia absoluta (el &quot;Sanity Check&quot;), noté en su salida de consola que el registro de &quot;Maria Lopez&quot; quedó con el precio_total en NaN. Aunque llenaron correctamente la cantidad y la fecha, en un entorno de analítica financiera real, el siguiente paso lógico habría sido calcular ese total multiplicando la cantidad por el Precio_Unitario que ya habían extraído.Sigan con ese nivel de curiosidad técnica y orden. Han construido una base muy sólida para lo que viene en el tercer corte, donde estos datos limpios serán el motor de sus interfaces gráficas y tableros de control. ¡Felicitaciones por el esfuerzo y la puntualidad!Rúbrica de CalificaciónCriterio de EvaluaciónRequisito TécnicoPuntaje MáximoPuntaje ObtenidoCarga y ExportaciónImportación correcta del CSV y exportación a ventas_limpias.csv sin índice.10.010.0Limpieza de Nulos (NaN)Relleno de cantidades y fechas. (Faltó cálculo lógico de precio_total faltante).15.013.0Normalización (1NF)Separación avanzada de columnas mediante apply y eliminación de originales.15.015.0EstandarizaciónFormato Título, limpieza de símbolos y conversión numérica correcta.10.010.0TOTAL50.048.0Diego Mauricio Zuluaga RodríguezProfesor - Departamento de EconomíaUniversidad de La Sabana"/>
    <n v="48"/>
    <n v="50"/>
    <n v="0.96"/>
  </r>
  <r>
    <x v="34"/>
    <s v="Gabriela"/>
    <s v="Ruiz Perez"/>
    <s v="gabrielarupe@unisabana.edu.co"/>
    <x v="2"/>
    <d v="2026-04-15T00:00:00"/>
    <x v="2"/>
    <s v="Entregado"/>
    <s v="Hola Gabriela,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35"/>
    <s v="Juan Sebastian"/>
    <s v="Perdomo Herrera"/>
    <s v="juanperhe@unisabana.edu.co"/>
    <x v="2"/>
    <d v="2026-04-15T00:00:00"/>
    <x v="2"/>
    <s v="Entregado"/>
    <s v="Hola Juan, espero que estés muy bien.Al revisar la entrega en Teams, noto con preocupación que no realizaste la entrega de la Tarea 2 - Clase 8: Datos con Pandas,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36"/>
    <s v="Martin Martin"/>
    <s v="Trujillo Rodriguez"/>
    <s v="martintrro@unisabana.edu.co"/>
    <x v="2"/>
    <d v="2026-04-15T00:00:00"/>
    <x v="2"/>
    <s v="Entregado"/>
    <s v="🐼 Retroalimentación de la Entrega: Tarea 2 - Clase 8 - Datos con PandasIntegrantes: Martin Martin Trujillo Rodriguez, Daniel Camilo Lopez Piraquive, Juan Jose Caballero Mantilla.Calificación Final: 48/50 (Equivalente a 4.8)¡Hola, equipo! Qué buen trabajo han presentado. Han demostrado una gran capacidad para resolver problemas de limpieza de datos utilizando herramientas avanzadas de Pandas. Me alegra ver que no se limitaron a lo básico y exploraron formas más programáticas de manipular la información.Un punto muy destacado de su entrega fue el uso de un bloque try-except. Esto demuestra una mentalidad de &quot;Arquitectos de Software&quot;, ya que están previendo que el programa podría fallar si el archivo no existe o tiene un formato inesperado. Además, la implementación de la función personalizada limpiar_fila junto con df.apply es una técnica de nivel intermedio-avanzado que permite un control mucho más fino sobre la normalización de las columnas que el simple split.La aplicación de la Primera Forma Normal (1NF) fue exitosa, logrando separar con éxito los nombres de los tipos de cliente y los productos de sus precios. También es muy valioso el uso de pd.to_numeric(..., errors='coerce'), ya que asegura que el programa no se detenga si encuentra un carácter extraño en los precios, convirtiéndolo en nulo para luego manejarlo con un fillna(0).Como observación para alcanzar la excelencia absoluta (el &quot;Sanity Check&quot;), noté en su salida de consola que el registro de &quot;Maria Lopez&quot; quedó con el precio_total en NaN. Aunque llenaron correctamente la cantidad y la fecha, en un entorno de analítica financiera real, el siguiente paso lógico habría sido calcular ese total multiplicando la cantidad por el Precio_Unitario que ya habían extraído.Sigan con ese nivel de curiosidad técnica y orden. Han construido una base muy sólida para lo que viene en el tercer corte, donde estos datos limpios serán el motor de sus interfaces gráficas y tableros de control. ¡Felicitaciones por el esfuerzo y la puntualidad!Rúbrica de CalificaciónCriterio de EvaluaciónRequisito TécnicoPuntaje MáximoPuntaje ObtenidoCarga y ExportaciónImportación correcta del CSV y exportación a ventas_limpias.csv sin índice.10.010.0Limpieza de Nulos (NaN)Relleno de cantidades y fechas. (Faltó cálculo lógico de precio_total faltante).15.013.0Normalización (1NF)Separación avanzada de columnas mediante apply y eliminación de originales.15.015.0EstandarizaciónFormato Título, limpieza de símbolos y conversión numérica correcta.10.010.0TOTAL50.048.0Diego Mauricio Zuluaga RodríguezProfesor - Departamento de EconomíaUniversidad de La Sabana"/>
    <n v="48"/>
    <n v="50"/>
    <n v="0.96"/>
  </r>
  <r>
    <x v="37"/>
    <s v="Alan David"/>
    <s v="Rossoff Vanegas"/>
    <s v="alanrova@unisabana.edu.co"/>
    <x v="2"/>
    <d v="2026-04-15T00:00:00"/>
    <x v="2"/>
    <s v="Entregado"/>
    <s v="🐼 Retroalimentación de la Entrega: Tarea 2 - Clase 8 - Datos con PandasIntegrantes: Juan Sebastián Salas Hinojosa, Alan David Rossoff Vanegas, Lukas Blanco Llanes.Calificación Final: 50/50 (Equivalente a 5.0)¡Hola, equipo! He revisado detalladamente su entrega y quiero felicitarlos por el altísimo nivel técnico demostrado. Han ido más allá de una limpieza básica, implementando una lógica de programación robusta y profesional que es digna de un equipo de analistas senior.Puntos Destacados:Uso de Pathlib y Robustez: Me pareció excelente el uso de la librería Path para gestionar las rutas de los archivos. Esto demuestra que están pensando en la portabilidad del código, asegurando que funcione tanto en entornos locales (como el de Lukas) como en carpetas de proyecto estándar.Lógica Avanzada de Limpieza (Máscaras Booleanas): El uso de mask_can_calc y df.loc para calcular la cantidad faltante de forma matemática (precio_total / Precio_Unitario) es la forma más eficiente y profesional de trabajar en Pandas. Demuestra un dominio real de la vectorización de datos, evitando ciclos innecesarios.Normalización Impecable: Aplicaron correctamente la 1NF. El uso de rsplit(' - ', n=1) para el producto fue una decisión técnica muy inteligente, ya que previene errores si el nombre del producto llegara a tener un guion interno.Estandarización y Tipos de Datos: La conversión final a int para precios y cantidades, junto con el formato de fecha ISO (%Y-%m-%d), garantiza que este archivo sea perfectamente compatible con herramientas de visualización como Power BI sin necesidad de transformaciones adicionales.Motivación:Sigan con este nivel de rigurosidad. Han demostrado que no solo saben seguir instrucciones, sino que tienen el criterio para proponer soluciones técnicas óptimas. Están más que preparados para los retos de Big Data y el examen parcial que se avecinan. ¡Excelente trabajo!Rúbrica de CalificaciónCriterio de EvaluaciónRequisito TécnicoPuntaje MáximoPuntaje ObtenidoCarga y ExportaciónUso de rutas dinámicas y exportación correcta a ventas_limpias.csv sin índice.10.010.0Limpieza de Nulos (NaN)Recuperación matemática avanzada de cantidades y manejo preciso de fechas del sistema.15.015.0Normalización (1NF)Separación atómica de información y eliminación de columnas redundantes.15.015.0EstandarizaciónFormato Título, limpieza de símbolos monetarios y casting correcto de tipos de datos.10.010.0TOTAL50.050.0Diego Mauricio Zuluaga RodríguezProfesor - Departamento de EconomíaUniversidad de La Sabana"/>
    <n v="50"/>
    <n v="50"/>
    <n v="1"/>
  </r>
  <r>
    <x v="38"/>
    <s v="Diego Alejandro"/>
    <s v="Hermida Limas"/>
    <s v="diegoherli@unisabana.edu.co"/>
    <x v="2"/>
    <d v="2026-04-15T00:00:00"/>
    <x v="2"/>
    <s v="Entregado"/>
    <s v="🐼 Retroalimentación de la Entrega: Tarea 2 - Clase 8 - Datos con Pandas Integrantes: Simon Gustavo Restrepo Alvarez, Mateo Perez Daza, Diego Alejandro Hermida Limas. Calificación Final: 45/50 (Equivalente a 4.5) ¡Hola, equipo! He revisado detalladamente su entrega sobre el procesamiento de datos con Pandas. Han realizado un ejercicio muy sólido, con una estructura lógica clara y un código bien documentado. Puntos Destacados:Autogestión y Planeación: Su pseudocódigo es excelente. Desglosaron cada paso necesario antes de programar, lo cual es la marca de un analista organizado.Normalización (1NF): La separación de las columnas cliente_info y producto_info utilizando .str.split() fue ejecutada correctamente, garantizando la atomicidad de los datos.Estandarización: El uso de .str.title() para los nombres y la limpieza del símbolo $ en los precios demuestra una buena atención al detalle para la presentación final de los datos.Oportunidades de Mejora (Sanity Check):Manejo de Nulos (Requerimiento Técnico): En el resultado final (Celda 35), la columna cantidad para la fila 1 (id_venta 102) sigue apareciendo como NaN. Aunque en su pseudocódigo mencionaron que debían calcularla o dejar 1, en el código se saltaron el paso de aplicar el .fillna() específicamente a la columna cantidad. Solo aplicaron el relleno a precio_total. Recuerden que un analista debe verificar que el output final no contenga valores nulos si el objetivo era limpiarlos.Portabilidad de Código: Utilizaron una ruta absoluta local (/Users/mateoperezdaza/...) para cargar el archivo. En el mundo profesional, esto hace que el código falle si lo abro en mi computador. Lo ideal es usar rutas relativas (ej: pd.read_csv(&quot;ventas_sucias.csv&quot;)) para que el proyecto sea portátil.Motivación: Tienen una lógica de programación muy bien estructurada. Si logran pulir ese último paso de verificación de resultados (asegurarse de que el dato realmente se guardó en el DataFrame), sus entregas serán de nivel senior. ¡Sigan con ese buen ritmo para el cierre del semestre! Rúbrica de CalificaciónCriterio de EvaluaciónRequisito TécnicoPuntaje MáximoPuntaje ObtenidoPlaneaciónPseudocódigo detallado y coherente con el desarrollo.10.010.0Normalización (1NF)Separación correcta de columnas y eliminación de originales.15.015.0EstandarizaciónFormato Título y limpieza de símbolos monetarios.10.010.0Limpieza de NulosRelleno de fechas y cálculos matemáticos de valores faltantes.10.05.0Exportación y FormatoGeneración de CSV limpio y reordenamiento de columnas.5.05.0TOTAL50.045.0  Diego Mauricio Zuluaga RodríguezProfesor - Departamento de EconomíaUniversidad de La Sabana"/>
    <n v="45"/>
    <n v="50"/>
    <n v="0.9"/>
  </r>
  <r>
    <x v="0"/>
    <s v="Paula Andrea"/>
    <s v="Arciniegas Cardenas"/>
    <s v="paulaarcca@unisabana.edu.co"/>
    <x v="3"/>
    <d v="2026-04-15T00:00:00"/>
    <x v="2"/>
    <s v="Entregado"/>
    <s v="🗄️ Retroalimentación de la Entrega: Tarea 1 - Clase 8 - Autogestión NoSQLIntegrantes: Valeria Morales, Isabella Carranza Tapiero, Paula Andrea Arciniegas Cárdenas. Calificación Final: 50/50 (Equivalente a 5.0) ¡Hola, equipo! Qué gusto saludarlas. He revisado detalladamente su entrega y quiero felicitarlas por la excelente calidad de su trabajo. Han comprendido a la perfección el desafío técnico que representa gestionar datos en archivos planos (CSV), donde la lógica de &quot;leer, modificar en memoria y sobrescribir&quot; es fundamental.Me gustó mucho la estructura de su Notebook. La introducción en Markdown es clara y establece el contexto teórico necesario antes de pasar al código. La definición de la clase Proveedor es precisa y cumple con los atributos solicitados, demostrando que mantienen la coherencia con los conceptos de Programación Orientada a Objetos vistos anteriormente.En cuanto a la implementación técnica, destaco especialmente el manejo de errores en la función leer_proveedores. El uso del bloque try-except para capturar el FileNotFoundError es una práctica de autogestión y robustez de código excelente; esto evita que el programa colapse si un usuario intenta leer datos antes de haber creado el archivo por primera vez.Las funciones de actualización y eliminación están correctamente programadas. Aplicaron de forma impecable la lógica de persistencia en NoSQL básico, utilizando los modos de apertura de archivos adecuados (&quot;a&quot;, &quot;r&quot;, &quot;w&quot;) para cada operación. Sus pruebas finales son el &quot;Sanity Check&quot; ideal, ya que muestran claramente en la consola cómo el sistema evoluciona tras cada acción.Sigan con este nivel de compromiso y atención al detalle. Dominar el procesamiento de datos a este nivel les da una base muy sólida para lo que viene en el cierre del semestre con herramientas de analítica avanzada. ¡Excelente trabajo, equipo!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  Diego Mauricio Zuluaga RodríguezProfesor - Departamento de EconomíaUniversidad de La Sabana"/>
    <n v="50"/>
    <n v="50"/>
    <n v="1"/>
  </r>
  <r>
    <x v="1"/>
    <s v="Sofia"/>
    <s v="Giraldo Pico"/>
    <s v="sofiagipi@unisabana.edu.co"/>
    <x v="3"/>
    <d v="2026-04-15T00:00:00"/>
    <x v="2"/>
    <s v="Entregado"/>
    <s v="Hola Sofi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2"/>
    <s v="Valery"/>
    <s v="Linares Hernandez"/>
    <s v="valerylihe@unisabana.edu.co"/>
    <x v="3"/>
    <d v="2026-04-15T00:00:00"/>
    <x v="2"/>
    <s v="Entregado"/>
    <s v="Hola Valery,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3"/>
    <s v="Nicolas"/>
    <s v="Torres Calderon"/>
    <s v="nicolastorca@unisabana.edu.co"/>
    <x v="3"/>
    <d v="2026-04-15T00:00:00"/>
    <x v="2"/>
    <s v="Entregado"/>
    <s v="🗄️ Retroalimentación de la Entrega: Tarea 1 - Clase 8 - Autogestión NoSQL Estudiante: Nicolas Torres Calderon Calificación Final: 50/50 (Equivalente a 5.0) ¡Hola, Nicolas! Qué gusto saludarte. He revisado detalladamente tu entrega y quiero felicitarte por el excelente nivel técnico que has demostrado en este ejercicio de persistencia de datos NoSQL.Lo que más destaco de tu trabajo es el uso de csv.DictReader y csv.DictWriter. Esta es una práctica mucho más avanzada y profesional que el manejo de listas simples, ya que permite interactuar con los datos mediante claves (nombres de columnas), lo que hace que el código sea significativamente más legible y menos propenso a errores por posición de índices.Tu lógica de &quot;Lectura - Modificación - Sobrescritura&quot; es impecable. Implementaste correctamente la validación de existencia del archivo (os.path.exists) y el manejo de encabezados, asegurando que la base de datos sea íntegra desde el primer registro. El método to_dict() dentro de la clase Proveedor es un detalle de gran calidad que facilita la integración con el módulo csv.Las pruebas CRUD que realizaste al final son claras y los resultados en la consola confirman que el sistema funciona a la perfección. Has captado la esencia de cómo gestionar información en archivos planos, una habilidad crítica para cualquier analista que trabaje con grandes volúmenes de datos donde no siempre se dispone de un servidor SQL.Sigue con ese nivel de curiosidad y rigor técnico. Estás aplicando herramientas que van más allá de lo básico y eso te dará una ventaja competitiva enorme en tu carrera profesional. ¡Excelente trabajo! Rúbrica de CalificaciónCriterio de EvaluaciónRequisito TécnicoPuntaje MáximoPuntaje ObtenidoClase BaseDefinición de la clase Proveedor y uso eficiente de diccionarios.10.010.0Operaciones Create y ReadImplementación funcional con DictWriter y DictReader.15.015.0Operaciones Update y DeleteLógica correcta de filtrado en RAM y sobrescritura total del archivo.15.015.0Pruebas y DocumentaciónEjecución exitosa de todas las pruebas y Markdown explicativo.10.010.0TOTAL50.050.0  Diego Mauricio Zuluaga RodríguezProfesor - Departamento de EconomíaUniversidad de La Sabana"/>
    <n v="50"/>
    <n v="50"/>
    <n v="1"/>
  </r>
  <r>
    <x v="4"/>
    <s v="Cristian"/>
    <s v="Bermudez"/>
    <s v="cristianbe@unisabana.edu.co"/>
    <x v="3"/>
    <d v="2026-04-15T00:00:00"/>
    <x v="2"/>
    <s v="Entregado"/>
    <s v="Hola Cristian, espero que estés muy bien. Al revisar la entrega en Teams, noto con preocupación que no realizaste la entrega de la Tarea 1 - Clase 8 (Autogestión NoSQL), la cual venció el pasado miércoles 15 de abril.  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 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 Ánimo para este cierre de semestre. Nos vemos el miércoles para iniciar con toda la energía el Corte 3. Atentamente,Diego Mauricio Zuluaga Rodríguez Profesor - Departamento de Economía Universidad de La Sabana"/>
    <n v="0"/>
    <n v="50"/>
    <n v="0"/>
  </r>
  <r>
    <x v="5"/>
    <s v="Mariana"/>
    <s v="Carmona Romero"/>
    <s v="marianacarrom@unisabana.edu.co"/>
    <x v="3"/>
    <d v="2026-04-15T00:00:00"/>
    <x v="2"/>
    <s v="Entregado"/>
    <s v="Hola Marian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6"/>
    <s v="Mariana"/>
    <s v="Pena Rodriguez"/>
    <s v="marianapero@unisabana.edu.co"/>
    <x v="3"/>
    <d v="2026-04-15T00:00:00"/>
    <x v="2"/>
    <s v="Entregado"/>
    <s v="🗄️ Retroalimentación de la Entrega: Tarea 1 - Clase 8 - Autogestión NoSQLIntegrantes: Mariana Peña Rodríguez, Matías Mondragón Osorio, Arianne Mariana Amorocho Quiroga.Calificación Final: 50/50 (Equivalente a 5.0)¡Hola, equipo! Es un gusto saludarlos. He revisado su entrega y quiero felicitarlos por el excelente trabajo que han realizado. Han comprendido a la perfección la lógica detrás de las Bases de Datos No-Relacionales basadas en archivos planos.Me gustó mucho cómo estructuraron el código. La definición de la clase Proveedor es clara y cumple con los requerimientos. Además, los comentarios que incluyeron en cada función demuestran que no solo escribieron el script, sino que entienden exactamente qué hace cada línea, destacando especialmente la comprensión del manejo de la memoria RAM y los modos de apertura de archivos ('a', 'r', 'w').En las operaciones de actualización (Update) y eliminación (Delete), aplicaron correctamente el patrón necesario para los archivos CSV: leer todo el contenido, modificar o filtrar los datos en la memoria, y sobrescribir el archivo completo. Esta es una habilidad fundamental para entender cómo se procesan los datos a bajo nivel antes de pasar a herramientas más avanzadas.Las pruebas de ejecución al final del Notebook son el &quot;Sanity Check&quot; perfecto. Ver cómo el sistema crea, lee, actualiza y elimina a los proveedores sin errores confirma la robustez de su lógica y su capacidad de autogestión.Sigan con este nivel de dedicación y análisis. Dominar el manejo de archivos planos es el primer gran paso para convertirse en expertos en el procesamiento masivo de datos. ¡Excelente trabajo y sigan así!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Diego Mauricio Zuluaga RodríguezProfesor - Departamento de EconomíaUniversidad de La Sabana"/>
    <n v="50"/>
    <n v="50"/>
    <n v="1"/>
  </r>
  <r>
    <x v="7"/>
    <s v="Isabella"/>
    <s v="Carranza Tapiero"/>
    <s v="isabellacata@unisabana.edu.co"/>
    <x v="3"/>
    <d v="2026-04-15T00:00:00"/>
    <x v="2"/>
    <s v="Entregado"/>
    <s v="🗄️ Retroalimentación de la Entrega: Tarea 1 - Clase 8 - Autogestión NoSQLIntegrantes: Valeria Morales, Isabella Carranza Tapiero, Paula Andrea Arciniegas Cárdenas. Calificación Final: 50/50 (Equivalente a 5.0) ¡Hola, equipo! Qué gusto saludarlas. He revisado detalladamente su entrega y quiero felicitarlas por la excelente calidad de su trabajo. Han comprendido a la perfección el desafío técnico que representa gestionar datos en archivos planos (CSV), donde la lógica de &quot;leer, modificar en memoria y sobrescribir&quot; es fundamental.Me gustó mucho la estructura de su Notebook. La introducción en Markdown es clara y establece el contexto teórico necesario antes de pasar al código. La definición de la clase Proveedor es precisa y cumple con los atributos solicitados, demostrando que mantienen la coherencia con los conceptos de Programación Orientada a Objetos vistos anteriormente.En cuanto a la implementación técnica, destaco especialmente el manejo de errores en la función leer_proveedores. El uso del bloque try-except para capturar el FileNotFoundError es una práctica de autogestión y robustez de código excelente; esto evita que el programa colapse si un usuario intenta leer datos antes de haber creado el archivo por primera vez.Las funciones de actualización y eliminación están correctamente programadas. Aplicaron de forma impecable la lógica de persistencia en NoSQL básico, utilizando los modos de apertura de archivos adecuados (&quot;a&quot;, &quot;r&quot;, &quot;w&quot;) para cada operación. Sus pruebas finales son el &quot;Sanity Check&quot; ideal, ya que muestran claramente en la consola cómo el sistema evoluciona tras cada acción.Sigan con este nivel de compromiso y atención al detalle. Dominar el procesamiento de datos a este nivel les da una base muy sólida para lo que viene en el cierre del semestre con herramientas de analítica avanzada. ¡Excelente trabajo, equipo!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  Diego Mauricio Zuluaga RodríguezProfesor - Departamento de EconomíaUniversidad de La Sabana"/>
    <n v="50"/>
    <n v="50"/>
    <n v="1"/>
  </r>
  <r>
    <x v="8"/>
    <s v="Samuel David"/>
    <s v="Lozano Holguin"/>
    <s v="samuelloho@unisabana.edu.co"/>
    <x v="3"/>
    <d v="2026-04-15T00:00:00"/>
    <x v="2"/>
    <s v="Entregado"/>
    <s v="🗄️ Retroalimentación de la Entrega: Tarea 1 - Clase 8 - Autogestión NoSQLIntegrantes: Sebastian Vanoy Gutierrez, Samuel David Lozano Holguin, Samuel Mathias Gonzalez Bernal.Calificación Final: 50/50 (Equivalente a 5.0)¡Hola, equipo! Qué gusto saludarlos. He revisado detalladamente su entrega y quiero felicitarlos por el excelente nivel de comprensión que han demostrado sobre el manejo de bases de datos No-Relacionales basadas en archivos planos.Su implementación del ciclo CRUD es impecable. Lograron captar la esencia de la persistencia en archivos CSV: el proceso de cargar la información a la memoria RAM, procesarla con Python y devolverla al disco duro mediante la sobrescritura. Este es un concepto fundamental para entender cómo funcionan los sistemas de procesamiento de datos a gran escala.Un punto que quiero destacar especialmente es la calidad de su documentación. Se tomaron el tiempo de explicar para qué sirve cada librería (csv, os), qué significan los modos de apertura ('a', 'r', 'w') y por qué es importante el parámetro newline=''. Este nivel de detalle no solo hace que su código sea profesional, sino que demuestra una autogestión del aprendizaje superior.Las pruebas de ejecución al final del Notebook son claras y cubren todos los escenarios: creación, lectura, actualización y eliminación. Ver que el sistema responde correctamente a cada comando es el &quot;Sanity Check&quot; que garantiza que su lógica es robusta y está lista para ser aplicada en proyectos más complejos.Sigan con esa misma disciplina y atención al detalle. Están construyendo las bases técnicas necesarias para destacar como analistas y tomadores de decisiones en la era del Big Data. ¡Excelente trabajo!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Diego Mauricio Zuluaga RodríguezProfesor - Departamento de EconomíaUniversidad de La Sabana"/>
    <n v="50"/>
    <n v="50"/>
    <n v="1"/>
  </r>
  <r>
    <x v="9"/>
    <s v="Sebastian"/>
    <s v="Vanoy Gutierrez"/>
    <s v="sebastianvagu@unisabana.edu.co"/>
    <x v="3"/>
    <d v="2026-04-15T00:00:00"/>
    <x v="2"/>
    <s v="Entregado"/>
    <s v="🗄️ Retroalimentación de la Entrega: Tarea 1 - Clase 8 - Autogestión NoSQL Integrantes: Sebastian Vanoy Gutierrez, Samuel David Lozano Holguin, Samuel Mathias Gonzalez Bernal. Calificación Final: 50/50 (Equivalente a 5.0) ¡Hola, equipo! Qué gusto saludarlos. He revisado detalladamente su entrega y quiero felicitarlos por el excelente nivel de comprensión que han demostrado sobre el manejo de bases de datos No-Relacionales basadas en archivos planos.Su implementación del ciclo CRUD es impecable. Lograron captar la esencia de la persistencia en archivos CSV: el proceso de cargar la información a la memoria RAM, procesarla con Python y devolverla al disco duro mediante la sobrescritura. Este es un concepto fundamental para entender cómo funcionan los sistemas de procesamiento de datos a gran escala.Un punto que quiero destacar especialmente es la calidad de su documentación. Se tomaron el tiempo de explicar para qué sirve cada librería (csv, os), qué significan los modos de apertura ('a', 'r', 'w') y por qué es importante el parámetro newline=''. Este nivel de detalle no solo hace que su código sea profesional, sino que demuestra una autogestión del aprendizaje superior.Las pruebas de ejecución al final del Notebook son claras y cubren todos los escenarios: creación, lectura, actualización y eliminación. Ver que el sistema responde correctamente a cada comando es el &quot;Sanity Check&quot; que garantiza que su lógica es robusta y está lista para ser aplicada en proyectos más complejos.Sigan con esa misma disciplina y atención al detalle. Están construyendo las bases técnicas necesarias para destacar como analistas y tomadores de decisiones en la era del Big Data. ¡Excelente trabajo!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  Diego Mauricio Zuluaga RodríguezProfesor - Departamento de EconomíaUniversidad de La Sabana"/>
    <n v="50"/>
    <n v="50"/>
    <n v="1"/>
  </r>
  <r>
    <x v="10"/>
    <s v="Jose Daniel"/>
    <s v="Escobar Hurtado"/>
    <s v="joseeshu@unisabana.edu.co"/>
    <x v="3"/>
    <d v="2026-04-15T00:00:00"/>
    <x v="2"/>
    <s v="Entregado"/>
    <s v="🗄️ Retroalimentación de la Entrega: Tarea 1 - Clase 8 - Autogestión NoSQL Integrantes: Juan David Neuta Medina, Laura Fernanda Lopez Parra, Jose Daniel Escobar Hurtado. Calificación Final: 50/50 (Equivalente a 5.0) ¡Hola, Juan David, Laura y Jose Daniel! Es un gusto saludarlos. He revisado detalladamente su entrega y debo decir que han elevado el estándar de esta actividad. No solo cumplieron con los requerimientos básicos del módulo de proveedores, sino que demostraron una capacidad de abstracción y arquitectura de software propia de analistas senior.Lo que más destaco de su trabajo es la creación de funciones CRUD genéricas. El uso de herramientas como getattr() para mapear dinámicamente los nombres de las columnas del CSV con los atributos de sus clases es una solución elegante y avanzada. Esto permite que su sistema sea escalable: si mañana la cafetería necesita un módulo de &quot;Inventario&quot; o &quot;Empleados&quot;, sus funciones actuales servirían sin necesidad de reescribir código.Otro punto muy valioso fue la implementación de la inicialización de datos aleatorios con la librería random. Esto no solo hace que las pruebas sean más dinámicas, sino que garantiza que la lógica de sus funciones (especialmente la de actualización y eliminación) funcione correctamente bajo diferentes escenarios de datos, lo cual es un &quot;Sanity Check&quot; de alto nivel.En cuanto a la lógica técnica de NoSQL, aplicaron perfectamente el patrón de lectura en RAM y sobrescritura completa del archivo. Sus funciones de actualizar_campo_entidad y eliminar_entidad_csv manejan los índices de forma precisa, asegurando que la integridad del archivo plano se mantenga intacta tras cada operación.Sigan con esa curiosidad técnica y ese enfoque de &quot;diseñar una vez para usar muchas veces&quot;. Tienen una mentalidad de programadores muy estructurada que les facilitará enormemente el camino en el análisis de datos masivos. ¡Excelente trabajo y mucha motivación para el cierre del corte! Rúbrica de CalificaciónCriterio de EvaluaciónRequisito TécnicoPuntaje MáximoPuntaje ObtenidoClase BaseDefinición de Proveedor y uso de múltiples entidades adicionales.10.010.0Operaciones Create y ReadImplementación de funciones genéricas y específicas para persistencia en CSV.15.015.0Operaciones Update y DeleteLógica impecable de manipulación en memoria y sobrescritura de archivos.15.015.0Pruebas y DocumentaciónPruebas dinámicas con datos aleatorios y código muy bien estructurado.10.010.0TOTAL50.050.0  Diego Mauricio Zuluaga RodríguezProfesor - Departamento de EconomíaUniversidad de La Sabana"/>
    <n v="50"/>
    <n v="50"/>
    <n v="1"/>
  </r>
  <r>
    <x v="11"/>
    <s v="Maria Jose"/>
    <s v="Botero Galviz"/>
    <s v="mariabotga@unisabana.edu.co"/>
    <x v="3"/>
    <d v="2026-04-15T00:00:00"/>
    <x v="2"/>
    <s v="Entregado"/>
    <s v="🗄️ Retroalimentación de la Entrega: Tarea 1 - Clase 8 - Autogestión NoSQL Integrantes: Maria Juliana Mejia Quintero, Maria Jose Botero Galviz. Calificación Final: 50/50 (Equivalente a 5.0) ¡Hola, equipo! Qué gusto saludarlas. He revisado detalladamente su implementación del sistema CRUD para proveedores utilizando archivos planos y quiero felicitarlas por la claridad y efectividad de su código.Han comprendido perfectamente el desafío técnico de las bases de datos NoSQL basadas en archivos: la necesidad de gestionar la persistencia manualmente. Me gustó mucho ver que aplicaron correctamente el patrón de &quot;Lectura total -&amp;gt; Modificación en RAM -&amp;gt; Sobrescritura&quot;, especialmente en las funciones de actualización y eliminación. Este es el fundamento del procesamiento de datos que utilizaremos más adelante.Un punto muy positivo en su entrega es el uso de os.path.exists en la función de lectura. Este pequeño detalle de &quot;programación defensiva&quot; evita que el programa colapse si el archivo aún no ha sido creado, lo cual demuestra una excelente atención al detalle y un pensamiento orientado a la experiencia del usuario.Como recomendación para futuros proyectos, podrían considerar la inclusión de una fila de encabezados (Headers) al crear el archivo por primera vez. Esto facilita mucho la interpretación de los datos cuando el archivo se abre en herramientas externas como Excel o Power BI. Sin embargo, para los requerimientos de esta tarea, su lógica es impecable.Sigan con esa dedicación y orden. Están demostrando las competencias necesarias para gestionar arquitecturas de datos robustas. ¡Mucho ánimo para el cierre del corte y sigan trabajando así de bien!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estructura clara.10.010.0TOTAL50.050.0  Diego Mauricio Zuluaga RodríguezProfesor - Departamento de EconomíaUniversidad de La Sabana"/>
    <n v="50"/>
    <n v="50"/>
    <n v="1"/>
  </r>
  <r>
    <x v="12"/>
    <s v="Maria Juliana"/>
    <s v="Mejia Quintero"/>
    <s v="mariamequ@unisabana.edu.co"/>
    <x v="3"/>
    <d v="2026-04-15T00:00:00"/>
    <x v="2"/>
    <s v="Entregado"/>
    <s v="🗄️ Retroalimentación de la Entrega: Tarea 1 - Clase 8 - Autogestión NoSQLIntegrantes: Maria Juliana Mejia Quintero, Maria Jose Botero Galviz.Calificación Final: 50/50 (Equivalente a 5.0)¡Hola, equipo! Qué gusto saludarlas. He revisado detalladamente su implementación del sistema CRUD para proveedores utilizando archivos planos y quiero felicitarlas por la claridad y efectividad de su código.Han comprendido perfectamente el desafío técnico de las bases de datos NoSQL basadas en archivos: la necesidad de gestionar la persistencia manualmente. Me gustó mucho ver que aplicaron correctamente el patrón de &quot;Lectura total -&amp;gt; Modificación en RAM -&amp;gt; Sobrescritura&quot;, especialmente en las funciones de actualización y eliminación. Este es el fundamento del procesamiento de datos que utilizaremos más adelante.Un punto muy positivo en su entrega es el uso de os.path.exists en la función de lectura. Este pequeño detalle de &quot;programación defensiva&quot; evita que el programa colapse si el archivo aún no ha sido creado, lo cual demuestra una excelente atención al detalle y un pensamiento orientado a la experiencia del usuario.Como recomendación para futuros proyectos, podrían considerar la inclusión de una fila de encabezados (Headers) al crear el archivo por primera vez. Esto facilita mucho la interpretación de los datos cuando el archivo se abre en herramientas externas como Excel o Power BI. Sin embargo, para los requerimientos de esta tarea, su lógica es impecable.Sigan con esa dedicación y orden. Están demostrando las competencias necesarias para gestionar arquitecturas de datos robustas. ¡Mucho ánimo para el cierre del corte y sigan trabajando así de bien!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estructura clara.10.010.0TOTAL50.050.0Diego Mauricio Zuluaga RodríguezProfesor - Departamento de EconomíaUniversidad de La Sabana"/>
    <n v="50"/>
    <n v="50"/>
    <n v="1"/>
  </r>
  <r>
    <x v="13"/>
    <s v="Alejandra"/>
    <s v="Leon Vargas"/>
    <s v="alejandraleva@unisabana.edu.co"/>
    <x v="3"/>
    <d v="2026-04-15T00:00:00"/>
    <x v="2"/>
    <s v="Entregado"/>
    <s v="🗄️ Retroalimentación de la Entrega: Tarea 1 - Clase 8 - Autogestión NoSQL Estudiante: Alejandra León Vargas Calificación Final: 50/50 (Equivalente a 5.0) ¡Hola, Alejandra! Qué gusto saludarte. He revisado detalladamente tu entrega y quiero felicitarte por la excelente calidad de tu trabajo. Has comprendido a la perfección la lógica de manipulación de archivos planos para simular una base de datos NoSQL.Me gustó mucho la implementación del método to_list() dentro de tu clase Proveedor. Es una práctica muy limpia que facilita enormemente el proceso de escritura en el CSV, manteniendo el código organizado y profesional.En cuanto a la lógica de actualización y eliminación, realizaste el procedimiento de forma impecable: cargar los datos en la memoria RAM, procesarlos y sobrescribir el archivo original. Además, el uso de try-except para manejar el error de archivo no encontrado (FileNotFoundError) en la función de lectura demuestra que estás pensando en la robustez del programa y en evitar que colapse frente al usuario.Tus pruebas de ejecución son claras y cubren todos los escenarios solicitados, lo que confirma que tu código es funcional y está listo para ser escalado. Sigue con ese nivel de atención al detalle y rigurosidad técnica; estas bases son fundamentales para el procesamiento de datos masivos que seguiremos explorando. ¡Excelente trabajo! Rúbrica de CalificaciónCriterio de EvaluaciónRequisito TécnicoPuntaje MáximoPuntaje ObtenidoClase BaseDefinición correcta de la clase Proveedor y sus atributos.10.010.0Operaciones Create y ReadImplementación funcional para guardar y leer desde el archivo CSV.15.015.0Operaciones Update y DeleteLógica correcta de lectura en RAM, modificación y sobrescritura.15.015.0Pruebas y DocumentaciónPruebas ejecutables exitosas y estructura clara en el Notebook.10.010.0TOTAL50.050.0  Diego Mauricio Zuluaga RodríguezProfesor - Departamento de EconomíaUniversidad de La Sabana"/>
    <n v="50"/>
    <n v="50"/>
    <n v="1"/>
  </r>
  <r>
    <x v="14"/>
    <s v="Alessandro Di Mauro"/>
    <s v="Bonilla Correa"/>
    <s v="alessandroboco@unisabana.edu.co"/>
    <x v="3"/>
    <d v="2026-04-15T00:00:00"/>
    <x v="2"/>
    <s v="Entregado"/>
    <s v="Hola Alessandro,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15"/>
    <s v="Arianne Mariana"/>
    <s v="Amorocho Quiroga"/>
    <s v="arianneamqu@unisabana.edu.co"/>
    <x v="3"/>
    <d v="2026-04-15T00:00:00"/>
    <x v="2"/>
    <s v="Entregado"/>
    <s v="🗄️ Retroalimentación de la Entrega: Tarea 1 - Clase 8 - Autogestión NoSQLIntegrantes: Mariana Peña Rodríguez, Matías Mondragón Osorio, Arianne Mariana Amorocho Quiroga. Calificación Final: 50/50 (Equivalente a 5.0) ¡Hola, equipo! Es un gusto saludarlos. He revisado su entrega y quiero felicitarlos por el excelente trabajo que han realizado. Han comprendido a la perfección la lógica detrás de las Bases de Datos No-Relacionales basadas en archivos planos.Me gustó mucho cómo estructuraron el código. La definición de la clase Proveedor es clara y cumple con los requerimientos. Además, los comentarios que incluyeron en cada función demuestran que no solo escribieron el script, sino que entienden exactamente qué hace cada línea, destacando especialmente la comprensión del manejo de la memoria RAM y los modos de apertura de archivos ('a', 'r', 'w').En las operaciones de actualización (Update) y eliminación (Delete), aplicaron correctamente el patrón necesario para los archivos CSV: leer todo el contenido, modificar o filtrar los datos en la memoria, y sobrescribir el archivo completo. Esta es una habilidad fundamental para entender cómo se procesan los datos a bajo nivel antes de pasar a herramientas más avanzadas.Las pruebas de ejecución al final del Notebook son el &quot;Sanity Check&quot; perfecto. Ver cómo el sistema crea, lee, actualiza y elimina a los proveedores sin errores confirma la robustez de su lógica y su capacidad de autogestión.Sigan con este nivel de dedicación y análisis. Dominar el manejo de archivos planos es el primer gran paso para convertirse en expertos en el procesamiento masivo de datos. ¡Excelente trabajo y sigan así!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  Diego Mauricio Zuluaga RodríguezProfesor - Departamento de EconomíaUniversidad de La Sabana"/>
    <n v="50"/>
    <n v="50"/>
    <n v="1"/>
  </r>
  <r>
    <x v="16"/>
    <s v="Maria Juliana"/>
    <s v="Herrera Pulido"/>
    <s v="mariahepu@unisabana.edu.co"/>
    <x v="3"/>
    <d v="2026-04-15T00:00:00"/>
    <x v="2"/>
    <s v="Entregado"/>
    <s v="Hola Julian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17"/>
    <s v="Simon Gustavo"/>
    <s v="Restrepo Alvarez"/>
    <s v="simonreal@unisabana.edu.co"/>
    <x v="3"/>
    <d v="2026-04-15T00:00:00"/>
    <x v="2"/>
    <s v="Entregado"/>
    <s v="🗄️ Retroalimentación de la Entrega: Tarea 1 - Clase 8 - Autogestión NoSQLIntegrantes: Simon Gustavo Restrepo Alvarez, Mateo Perez Daza, Diego Alejandro Hermida Limas.Calificación Final: 50/50 (Equivalente a 5.0)¡Hola, equipo! Qué buen trabajo han presentado. Han logrado capturar la esencia del procesamiento de datos en archivos planos, entendiendo que, a diferencia de SQL, aquí la &quot;inteligencia&quot; del proceso de actualización y eliminación recae totalmente en cómo manipulamos la memoria RAM desde Python.Quiero destacar especialmente su pseudocódigo. Está muy bien estructurado y sirvió como una hoja de ruta clara para el desarrollo posterior. Esta es una práctica de autogestión que les ahorrará muchísimo tiempo en proyectos más complejos y en el parcial que se avecina.Técnicamente, la implementación de las funciones actualizar_ciudad_proveedor y eliminar_proveedor es impecable. Aplicaron correctamente el patrón de &quot;Lectura -&amp;gt; Modificación en RAM -&amp;gt; Sobrescritura total&quot;, que es el estándar para manejar archivos CSV de forma manual. El uso de encoding=&quot;utf-8&quot; y newline=&quot;&quot; demuestra atención al detalle para evitar errores comunes de formato en diferentes sistemas operativos.Como una pequeña observación para su crecimiento profesional: en los resultados de sus pruebas se nota que el archivo tiene registros duplicados. Esto sucede porque la función crear_proveedor_csv usa el modo &quot;a&quot; (append), que siempre añade al final. En un sistema real, antes de añadir, se suele verificar si el NIT ya existe para evitar duplicidad de datos. No afecta su nota en esta tarea, pero es un excelente &quot;Sanity Check&quot; para implementar en su Taller del Corte 2.Sigan con esa rigurosidad. Han demostrado que dominan la lógica de persistencia NoSQL y están más que listos para el siguiente nivel con Pandas. ¡Felicitaciones!Rúbrica de CalificaciónCriterio de EvaluaciónRequisito TécnicoPuntaje MáximoPuntaje ObtenidoLógica y DiseñoPseudocódigo detallado y coherente con el código final.10.010.0Clase BaseDefinición correcta de la clase Proveedor con sus atributos.10.010.0Operaciones Create y ReadImplementación funcional para guardar y leer desde el archivo CSV.10.010.0Operaciones Update y DeleteLógica correcta de lectura en RAM, filtrado y sobrescritura.10.010.0Pruebas y DocumentaciónPruebas ejecutables exitosas y comentarios explicativos claros.10.010.0TOTAL50.050.0Diego Mauricio Zuluaga RodríguezProfesor - Departamento de EconomíaUniversidad de La Sabana"/>
    <n v="50"/>
    <n v="50"/>
    <n v="1"/>
  </r>
  <r>
    <x v="18"/>
    <s v="Daniel Felipe"/>
    <s v="Camacho Pedraza"/>
    <s v="danielcampe@unisabana.edu.co"/>
    <x v="3"/>
    <d v="2026-04-15T00:00:00"/>
    <x v="2"/>
    <s v="Entregado"/>
    <s v="🗄️ Retroalimentación de la Entrega: Tarea 1 - Clase 8 - Autogestión NoSQL Integrantes: Samuel David Simancas Contreras, Juan Sebastian Perdomo Herrera, Daniel Felipe Camacho Pedraza. Calificación Final: 35/50 (Equivalente a 3.5) ¡Hola, equipo! Espero que se encuentren muy bien. He revisado su entrega y quiero compartirles algunas observaciones importantes sobre su desarrollo.Por un lado, lograron estructurar correctamente la clase Proveedor con sus atributos básicos. Además, la lógica que plantearon para las operaciones crear_proveedor y eliminar_proveedor es la adecuada para el manejo de archivos planos (CSV), entendiendo el concepto de leer, filtrar en memoria y sobrescribir el archivo.Sin embargo, debo ser muy estricto con la calidad del código entregado. Su script presenta un error crítico de sintaxis y de alcance (scope) que impide por completo su ejecución. En la tercera celda, definieron la función actualizar_proveedor dentro de la función leer_proveedores, y lo hicieron con un error grave de indentación. Esto genera un colapso inmediato en Python (IndentationError y NameError) al intentar correr las pruebas finales.Como hemos conversado durante todo el semestre, la autogestión y el &quot;Sanity Check&quot; son innegociables. Un CTO o Arquitecto de Software jamás entrega un código sin antes haberlo ejecutado y validado en su propia máquina. Si hubieran corrido la celda de pruebas antes de subir el archivo, habrían detectado el error al instante. Adicionalmente, la entrega carece por completo de documentación, comentarios explicativos o celdas Markdown, lo cual es un estándar exigido en el curso.Tienen la capacidad lógica para resolver los problemas, pero necesitan ser mucho más rigurosos, detallistas y disciplinados con la sintaxis y las pruebas de su código. En el mundo empresarial, un error de indentación en un entorno de producción puede detener la operación de toda una compañía.Los invito a tomar esta retroalimentación como una oportunidad de mejora crítica. Revisen su código en equipo, corrijan estos detalles y apliquen este rigor en sus próximos proyectos. ¡Mucho ánimo, sé que pueden dar un nivel mucho más alto! 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de actualización y borrado. (Penalización severa por error de indentación y scope que impide la ejecución).15.05.0Pruebas y DocumentaciónPruebas ejecutables y código comentado. (Las pruebas colapsan y no hay documentación alguna).10.05.0TOTAL50.035.0  Diego Mauricio Zuluaga RodríguezProfesor - Departamento de EconomíaUniversidad de La Sabana"/>
    <n v="35"/>
    <n v="50"/>
    <n v="0.7"/>
  </r>
  <r>
    <x v="19"/>
    <s v="Mateo"/>
    <s v="Perez Daza"/>
    <s v="mateopeda@unisabana.edu.co"/>
    <x v="3"/>
    <d v="2026-04-15T00:00:00"/>
    <x v="2"/>
    <s v="Entregado"/>
    <s v="🗄️ Retroalimentación de la Entrega: Tarea 1 - Clase 8 - Autogestión NoSQLIntegrantes: Simon Gustavo Restrepo Alvarez, Mateo Perez Daza, Diego Alejandro Hermida Limas.Calificación Final: 50/50 (Equivalente a 5.0)¡Hola, equipo! Qué buen trabajo han presentado. Han logrado capturar la esencia del procesamiento de datos en archivos planos, entendiendo que, a diferencia de SQL, aquí la &quot;inteligencia&quot; del proceso de actualización y eliminación recae totalmente en cómo manipulamos la memoria RAM desde Python.Quiero destacar especialmente su pseudocódigo. Está muy bien estructurado y sirvió como una hoja de ruta clara para el desarrollo posterior. Esta es una práctica de autogestión que les ahorrará muchísimo tiempo en proyectos más complejos y en el parcial que se avecina.Técnicamente, la implementación de las funciones actualizar_ciudad_proveedor y eliminar_proveedor es impecable. Aplicaron correctamente el patrón de &quot;Lectura -&amp;gt; Modificación en RAM -&amp;gt; Sobrescritura total&quot;, que es el estándar para manejar archivos CSV de forma manual. El uso de encoding=&quot;utf-8&quot; y newline=&quot;&quot; demuestra atención al detalle para evitar errores comunes de formato en diferentes sistemas operativos.Como una pequeña observación para su crecimiento profesional: en los resultados de sus pruebas se nota que el archivo tiene registros duplicados. Esto sucede porque la función crear_proveedor_csv usa el modo &quot;a&quot; (append), que siempre añade al final. En un sistema real, antes de añadir, se suele verificar si el NIT ya existe para evitar duplicidad de datos. No afecta su nota en esta tarea, pero es un excelente &quot;Sanity Check&quot; para implementar en su Taller del Corte 2.Sigan con esa rigurosidad. Han demostrado que dominan la lógica de persistencia NoSQL y están más que listos para el siguiente nivel con Pandas. ¡Felicitaciones!Rúbrica de CalificaciónCriterio de EvaluaciónRequisito TécnicoPuntaje MáximoPuntaje ObtenidoLógica y DiseñoPseudocódigo detallado y coherente con el código final.10.010.0Clase BaseDefinición correcta de la clase Proveedor con sus atributos.10.010.0Operaciones Create y ReadImplementación funcional para guardar y leer desde el archivo CSV.10.010.0Operaciones Update y DeleteLógica correcta de lectura en RAM, filtrado y sobrescritura.10.010.0Pruebas y DocumentaciónPruebas ejecutables exitosas y comentarios explicativos claros.10.010.0TOTAL50.050.0Diego Mauricio Zuluaga RodríguezProfesor - Departamento de EconomíaUniversidad de La Sabana"/>
    <n v="50"/>
    <n v="50"/>
    <n v="1"/>
  </r>
  <r>
    <x v="20"/>
    <s v="Matias"/>
    <s v="Mondragon Osorio"/>
    <s v="matiasmoos@unisabana.edu.co"/>
    <x v="3"/>
    <d v="2026-04-15T00:00:00"/>
    <x v="2"/>
    <s v="Entregado"/>
    <s v="🗄️ Retroalimentación de la Entrega: Tarea 1 - Clase 8 - Autogestión NoSQLIntegrantes: Mariana Peña Rodríguez, Matías Mondragón Osorio, Arianne Mariana Amorocho Quiroga.Calificación Final: 50/50 (Equivalente a 5.0)¡Hola, equipo! Es un gusto saludarlos. He revisado su entrega y quiero felicitarlos por el excelente trabajo que han realizado. Han comprendido a la perfección la lógica detrás de las Bases de Datos No-Relacionales basadas en archivos planos.Me gustó mucho cómo estructuraron el código. La definición de la clase Proveedor es clara y cumple con los requerimientos. Además, los comentarios que incluyeron en cada función demuestran que no solo escribieron el script, sino que entienden exactamente qué hace cada línea, destacando especialmente la comprensión del manejo de la memoria RAM y los modos de apertura de archivos ('a', 'r', 'w').En las operaciones de actualización (Update) y eliminación (Delete), aplicaron correctamente el patrón necesario para los archivos CSV: leer todo el contenido, modificar o filtrar los datos en la memoria, y sobrescribir el archivo completo. Esta es una habilidad fundamental para entender cómo se procesan los datos a bajo nivel antes de pasar a herramientas más avanzadas.Las pruebas de ejecución al final del Notebook son el &quot;Sanity Check&quot; perfecto. Ver cómo el sistema crea, lee, actualiza y elimina a los proveedores sin errores confirma la robustez de su lógica y su capacidad de autogestión.Sigan con este nivel de dedicación y análisis. Dominar el manejo de archivos planos es el primer gran paso para convertirse en expertos en el procesamiento masivo de datos. ¡Excelente trabajo y sigan así!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Diego Mauricio Zuluaga RodríguezProfesor - Departamento de EconomíaUniversidad de La Sabana"/>
    <n v="50"/>
    <n v="50"/>
    <n v="1"/>
  </r>
  <r>
    <x v="21"/>
    <s v="Juan David"/>
    <s v="Neuta Medina"/>
    <s v="juanneme@unisabana.edu.co"/>
    <x v="3"/>
    <d v="2026-04-15T00:00:00"/>
    <x v="2"/>
    <s v="Entregado"/>
    <s v="🗄️ Retroalimentación de la Entrega: Tarea 1 - Clase 8 - Autogestión NoSQLIntegrantes: Juan David Neuta Medina, Laura Fernanda Lopez Parra, Jose Daniel Escobar Hurtado.Calificación Final: 50/50 (Equivalente a 5.0)¡Hola, Juan David, Laura y Jose Daniel! Es un gusto saludarlos. He revisado detalladamente su entrega y debo decir que han elevado el estándar de esta actividad. No solo cumplieron con los requerimientos básicos del módulo de proveedores, sino que demostraron una capacidad de abstracción y arquitectura de software propia de analistas senior.Lo que más destaco de su trabajo es la creación de funciones CRUD genéricas. El uso de herramientas como getattr() para mapear dinámicamente los nombres de las columnas del CSV con los atributos de sus clases es una solución elegante y avanzada. Esto permite que su sistema sea escalable: si mañana la cafetería necesita un módulo de &quot;Inventario&quot; o &quot;Empleados&quot;, sus funciones actuales servirían sin necesidad de reescribir código.Otro punto muy valioso fue la implementación de la inicialización de datos aleatorios con la librería random. Esto no solo hace que las pruebas sean más dinámicas, sino que garantiza que la lógica de sus funciones (especialmente la de actualización y eliminación) funcione correctamente bajo diferentes escenarios de datos, lo cual es un &quot;Sanity Check&quot; de alto nivel.En cuanto a la lógica técnica de NoSQL, aplicaron perfectamente el patrón de lectura en RAM y sobrescritura completa del archivo. Sus funciones de actualizar_campo_entidad y eliminar_entidad_csv manejan los índices de forma precisa, asegurando que la integridad del archivo plano se mantenga intacta tras cada operación.Sigan con esa curiosidad técnica y ese enfoque de &quot;diseñar una vez para usar muchas veces&quot;. Tienen una mentalidad de programadores muy estructurada que les facilitará enormemente el camino en el análisis de datos masivos. ¡Excelente trabajo y mucha motivación para el cierre del corte!Rúbrica de CalificaciónCriterio de EvaluaciónRequisito TécnicoPuntaje MáximoPuntaje ObtenidoClase BaseDefinición de Proveedor y uso de múltiples entidades adicionales.10.010.0Operaciones Create y ReadImplementación de funciones genéricas y específicas para persistencia en CSV.15.015.0Operaciones Update y DeleteLógica impecable de manipulación en memoria y sobrescritura de archivos.15.015.0Pruebas y DocumentaciónPruebas dinámicas con datos aleatorios y código muy bien estructurado.10.010.0TOTAL50.050.0Diego Mauricio Zuluaga RodríguezProfesor - Departamento de EconomíaUniversidad de La Sabana"/>
    <n v="50"/>
    <n v="50"/>
    <n v="1"/>
  </r>
  <r>
    <x v="22"/>
    <s v="Laura Fernanda"/>
    <s v="Lopez Parra"/>
    <s v="lauraloppa@unisabana.edu.co"/>
    <x v="3"/>
    <d v="2026-04-15T00:00:00"/>
    <x v="2"/>
    <s v="Entregado"/>
    <s v="🗄️ Retroalimentación de la Entrega: Tarea 1 - Clase 8 - Autogestión NoSQLIntegrantes: Juan David Neuta Medina, Laura Fernanda Lopez Parra, Jose Daniel Escobar Hurtado.Calificación Final: 50/50 (Equivalente a 5.0)¡Hola, Juan David, Laura y Jose Daniel! Es un gusto saludarlos. He revisado detalladamente su entrega y debo decir que han elevado el estándar de esta actividad. No solo cumplieron con los requerimientos básicos del módulo de proveedores, sino que demostraron una capacidad de abstracción y arquitectura de software propia de analistas senior.Lo que más destaco de su trabajo es la creación de funciones CRUD genéricas. El uso de herramientas como getattr() para mapear dinámicamente los nombres de las columnas del CSV con los atributos de sus clases es una solución elegante y avanzada. Esto permite que su sistema sea escalable: si mañana la cafetería necesita un módulo de &quot;Inventario&quot; o &quot;Empleados&quot;, sus funciones actuales servirían sin necesidad de reescribir código.Otro punto muy valioso fue la implementación de la inicialización de datos aleatorios con la librería random. Esto no solo hace que las pruebas sean más dinámicas, sino que garantiza que la lógica de sus funciones (especialmente la de actualización y eliminación) funcione correctamente bajo diferentes escenarios de datos, lo cual es un &quot;Sanity Check&quot; de alto nivel.En cuanto a la lógica técnica de NoSQL, aplicaron perfectamente el patrón de lectura en RAM y sobrescritura completa del archivo. Sus funciones de actualizar_campo_entidad y eliminar_entidad_csv manejan los índices de forma precisa, asegurando que la integridad del archivo plano se mantenga intacta tras cada operación.Sigan con esa curiosidad técnica y ese enfoque de &quot;diseñar una vez para usar muchas veces&quot;. Tienen una mentalidad de programadores muy estructurada que les facilitará enormemente el camino en el análisis de datos masivos. ¡Excelente trabajo y mucha motivación para el cierre del corte!Rúbrica de CalificaciónCriterio de EvaluaciónRequisito TécnicoPuntaje MáximoPuntaje ObtenidoClase BaseDefinición de Proveedor y uso de múltiples entidades adicionales.10.010.0Operaciones Create y ReadImplementación de funciones genéricas y específicas para persistencia en CSV.15.015.0Operaciones Update y DeleteLógica impecable de manipulación en memoria y sobrescritura de archivos.15.015.0Pruebas y DocumentaciónPruebas dinámicas con datos aleatorios y código muy bien estructurado.10.010.0TOTAL50.050.0Diego Mauricio Zuluaga RodríguezProfesor - Departamento de EconomíaUniversidad de La Sabana"/>
    <n v="50"/>
    <n v="50"/>
    <n v="1"/>
  </r>
  <r>
    <x v="23"/>
    <s v="Lukas"/>
    <s v="Blanco Llanes"/>
    <s v="lukasblll@unisabana.edu.co"/>
    <x v="3"/>
    <d v="2026-04-15T00:00:00"/>
    <x v="2"/>
    <s v="Entregado"/>
    <s v="🗄️ Retroalimentación de la Entrega: Tarea 1 - Clase 8 - Autogestión NoSQL Integrantes: Juan Sebastian Salas Hinojosa, Alan David Rossoff Vanegas, Lukas Blanco Llanes. Calificación Final: 50/50 (Equivalente a 5.0) ¡Hola, equipo! Qué gusto saludarlos. He revisado detalladamente su implementación del sistema CRUD para proveedores utilizando archivos planos y quiero felicitarlos por el nivel de profesionalismo y rigor técnico que han demostrado en esta entrega.Han captado con total claridad la lógica fundamental de las bases de datos No-Relacionales basadas en archivos: el ciclo de &quot;Lectura total → Modificación en RAM → Sobrescritura&quot;. Este entendimiento es vital, pues en el mundo del Big Data y el procesamiento de archivos masivos, esta es la forma en la que operan muchos sistemas de alto rendimiento antes de pasar a motores más complejos.Desde el punto de vista técnico, destaco el uso de csv.DictReader y csv.DictWriter. Utilizar diccionarios para manipular las filas del CSV no solo hace que el código sea más legible, sino que reduce drásticamente la posibilidad de errores por posición de columnas. Además, la función de lectura con formato de tabla en la consola demuestra una excelente atención al detalle y una mentalidad orientada al usuario final (UX).Un punto muy valioso en su proceso de autogestión fue la inclusión de una validación de duplicados en la función crear_proveedor. Aunque el enunciado no lo pedía explícitamente, el hecho de que el programa verifique si el NIT ya existe antes de escribir demuestra que están pensando como verdaderos arquitectos de software, protegiendo la integridad de los datos desde el origen.La prueba integral que incluyeron al final es el &quot;Sanity Check&quot; perfecto. Permite auditar el ciclo de vida completo de un dato dentro del sistema y confirma que su lógica es robusta y a prueba de errores. Sigan con este nivel de excelencia; están construyendo las bases lógicas necesarias para dominar el análisis de datos a gran escala con Pandas y herramientas de Business Intelligence. ¡Excelente trabajo! Rúbrica de CalificaciónCriterio de EvaluaciónRequisito TécnicoPuntaje MáximoPuntaje ObtenidoClase BaseDefinición correcta de la clase Proveedor con atributos y métodos especiales.10.010.0Operaciones Create y ReadImplementación funcional con validación de duplicados y formato de salida profesional.15.015.0Operaciones Update y DeleteLógica impecable de lectura en RAM, filtrado/modificación y sobrescritura.15.015.0Pruebas y DocumentaciónPrueba integral de flujo completo y documentación clara en Markdown.10.010.0TOTAL50.050.0  Diego Mauricio Zuluaga RodríguezProfesor - Departamento de EconomíaUniversidad de La Sabana"/>
    <n v="50"/>
    <n v="50"/>
    <n v="1"/>
  </r>
  <r>
    <x v="24"/>
    <s v="Juan Sebastian"/>
    <s v="Salas Hinojosa"/>
    <s v="juansahi@unisabana.edu.co"/>
    <x v="3"/>
    <d v="2026-04-15T00:00:00"/>
    <x v="2"/>
    <s v="Entregado"/>
    <s v="🗄️ Retroalimentación de la Entrega: Tarea 1 - Clase 8 - Autogestión NoSQLIntegrantes: Juan Sebastian Salas Hinojosa, Alan David Rossoff Vanegas, Lukas Blanco Llanes.Calificación Final: 50/50 (Equivalente a 5.0)¡Hola, equipo! Qué gusto saludarlos. He revisado detalladamente su implementación del sistema CRUD para proveedores utilizando archivos planos y quiero felicitarlos por el nivel de profesionalismo y rigor técnico que han demostrado en esta entrega.Han captado con total claridad la lógica fundamental de las bases de datos No-Relacionales basadas en archivos: el ciclo de &quot;Lectura total → Modificación en RAM → Sobrescritura&quot;. Este entendimiento es vital, pues en el mundo del Big Data y el procesamiento de archivos masivos, esta es la forma en la que operan muchos sistemas de alto rendimiento antes de pasar a motores más complejos.Desde el punto de vista técnico, destaco el uso de csv.DictReader y csv.DictWriter. Utilizar diccionarios para manipular las filas del CSV no solo hace que el código sea más legible, sino que reduce drásticamente la posibilidad de errores por posición de columnas. Además, la función de lectura con formato de tabla en la consola demuestra una excelente atención al detalle y una mentalidad orientada al usuario final (UX).Un punto muy valioso en su proceso de autogestión fue la inclusión de una validación de duplicados en la función crear_proveedor. Aunque el enunciado no lo pedía explícitamente, el hecho de que el programa verifique si el NIT ya existe antes de escribir demuestra que están pensando como verdaderos arquitectos de software, protegiendo la integridad de los datos desde el origen.La prueba integral que incluyeron al final es el &quot;Sanity Check&quot; perfecto. Permite auditar el ciclo de vida completo de un dato dentro del sistema y confirma que su lógica es robusta y a prueba de errores. Sigan con este nivel de excelencia; están construyendo las bases lógicas necesarias para dominar el análisis de datos a gran escala con Pandas y herramientas de Business Intelligence. ¡Excelente trabajo!Rúbrica de CalificaciónCriterio de EvaluaciónRequisito TécnicoPuntaje MáximoPuntaje ObtenidoClase BaseDefinición correcta de la clase Proveedor con atributos y métodos especiales.10.010.0Operaciones Create y ReadImplementación funcional con validación de duplicados y formato de salida profesional.15.015.0Operaciones Update y DeleteLógica impecable de lectura en RAM, filtrado/modificación y sobrescritura.15.015.0Pruebas y DocumentaciónPrueba integral de flujo completo y documentación clara en Markdown.10.010.0TOTAL50.050.0Diego Mauricio Zuluaga RodríguezProfesor - Departamento de EconomíaUniversidad de La Sabana"/>
    <n v="50"/>
    <n v="50"/>
    <n v="1"/>
  </r>
  <r>
    <x v="25"/>
    <s v="Avril Avril"/>
    <s v="Ariza Quitian"/>
    <s v="avrilarqu@unisabana.edu.co"/>
    <x v="3"/>
    <d v="2026-04-15T00:00:00"/>
    <x v="2"/>
    <s v="Entregado"/>
    <s v="🗄️ Retroalimentación de la Entrega: Tarea 1 - Clase 8 - Autogestión NoSQLIntegrantes: Samantha Vanegas Russi, Avril Ariza Quitian. Calificación Final: 50/50 (Equivalente a 5.0) ¡Hola, Samantha y Avril! Qué gusto saludarlas. He revisado detalladamente su entrega y quiero empezar felicitándolas por el altísimo nivel de profesionalismo, orden y rigor técnico que demostraron en este Notebook.Su implementación de la clase Proveedor es impecable. El uso del método to_dict junto con la librería csv.DictWriter demuestra que no se limitaron a lo visto en clase, sino que investigaron y aplicaron herramientas más eficientes y modernas para el manejo de archivos en Python. Además, la validación proactiva que incluyeron para evitar la creación de NITs duplicados es un &quot;plus&quot; de lógica de negocio excelente que le da mucha robustez a su sistema.Me encantó el formato visual que le dieron a la función leer_proveedores. El uso de alineación de texto para generar una tabla organizada en la consola facilita enormemente la lectura de los datos. Este tipo de detalles de &quot;User Experience&quot; (UX) son los que marcan la diferencia entre un script funcional y un software profesional.Las funciones de actualización y eliminación capturan perfectamente el concepto central de las bases de datos No-Relacionales basadas en archivos planos: la gestión completa en la memoria RAM antes de realizar la persistencia mediante la sobrescritura del archivo. Su código es limpio, está muy bien documentado y las pruebas de ejecución cubren todos los escenarios posibles, incluyendo el manejo de registros inexistentes.Sigan con esa misma curiosidad técnica y esa atención al detalle. Han superado con creces los requerimientos de la actividad y están demostrando una capacidad de autogestión y diseño de software de alto nivel. ¡Excelente trabajo, equipo! Rúbrica de CalificaciónCriterio de EvaluaciónRequisito TécnicoPuntaje MáximoPuntaje ObtenidoClase BaseDefinición avanzada de la clase Proveedor con métodos auxiliares (to_dict).10.010.0Operaciones Create y ReadImplementación funcional con validación de duplicados y salida formateada.15.015.0Operaciones Update y DeleteLógica correcta de filtrado en RAM y sobrescritura total del archivo CSV.15.015.0Pruebas y DocumentaciónPruebas exhaustivas, uso de tablas resumen y comentarios impecables.10.010.0TOTAL50.050.0  Diego Mauricio Zuluaga RodríguezProfesor - Departamento de EconomíaUniversidad de La Sabana"/>
    <n v="50"/>
    <n v="50"/>
    <n v="1"/>
  </r>
  <r>
    <x v="26"/>
    <s v="Samuel David"/>
    <s v="Simancas Contreras"/>
    <s v="samuelsico@unisabana.edu.co"/>
    <x v="3"/>
    <d v="2026-04-15T00:00:00"/>
    <x v="2"/>
    <s v="Entregado"/>
    <s v="Hola Samuel,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27"/>
    <s v="Maria Jose"/>
    <s v="Huertas Osorio"/>
    <s v="mariahueos@unisabana.edu.co"/>
    <x v="3"/>
    <d v="2026-04-15T00:00:00"/>
    <x v="2"/>
    <s v="Entregado"/>
    <s v="Hola María José,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28"/>
    <s v="Juan Camilo"/>
    <s v="Leyton Lancheros"/>
    <s v="juanleyla@unisabana.edu.co"/>
    <x v="3"/>
    <d v="2026-04-15T00:00:00"/>
    <x v="2"/>
    <s v="Entregado"/>
    <s v="Hola Juan,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29"/>
    <s v="Samuel Mathias"/>
    <s v="Gonzalez Bernal"/>
    <s v="samuelgonbe@unisabana.edu.co"/>
    <x v="3"/>
    <d v="2026-04-15T00:00:00"/>
    <x v="2"/>
    <s v="Entregado"/>
    <s v="🗄️ Retroalimentación de la Entrega: Tarea 1 - Clase 8 - Autogestión NoSQLIntegrantes: Sebastian Vanoy Gutierrez, Samuel David Lozano Holguin, Samuel Mathias Gonzalez Bernal.Calificación Final: 50/50 (Equivalente a 5.0)¡Hola, equipo! Qué gusto saludarlos. He revisado detalladamente su entrega y quiero felicitarlos por el excelente nivel de comprensión que han demostrado sobre el manejo de bases de datos No-Relacionales basadas en archivos planos.Su implementación del ciclo CRUD es impecable. Lograron captar la esencia de la persistencia en archivos CSV: el proceso de cargar la información a la memoria RAM, procesarla con Python y devolverla al disco duro mediante la sobrescritura. Este es un concepto fundamental para entender cómo funcionan los sistemas de procesamiento de datos a gran escala.Un punto que quiero destacar especialmente es la calidad de su documentación. Se tomaron el tiempo de explicar para qué sirve cada librería (csv, os), qué significan los modos de apertura ('a', 'r', 'w') y por qué es importante el parámetro newline=''. Este nivel de detalle no solo hace que su código sea profesional, sino que demuestra una autogestión del aprendizaje superior.Las pruebas de ejecución al final del Notebook son claras y cubren todos los escenarios: creación, lectura, actualización y eliminación. Ver que el sistema responde correctamente a cada comando es el &quot;Sanity Check&quot; que garantiza que su lógica es robusta y está lista para ser aplicada en proyectos más complejos.Sigan con esa misma disciplina y atención al detalle. Están construyendo las bases técnicas necesarias para destacar como analistas y tomadores de decisiones en la era del Big Data. ¡Excelente trabajo!Rúbrica de CalificaciónCriterio de EvaluaciónRequisito TécnicoPuntaje MáximoPuntaje ObtenidoClase BaseDefinición correcta de la clase Proveedor con sus atributos básicos.10.010.0Operaciones Create y ReadImplementación funcional para guardar y leer desde el archivo CSV.15.015.0Operaciones Update y DeleteLógica correcta de lectura en RAM, modificación y sobrescritura del archivo.15.015.0Pruebas y DocumentaciónPruebas ejecutables exitosas en el Notebook y código debidamente comentado.10.010.0TOTAL50.050.0Diego Mauricio Zuluaga RodríguezProfesor - Departamento de EconomíaUniversidad de La Sabana"/>
    <n v="50"/>
    <n v="50"/>
    <n v="1"/>
  </r>
  <r>
    <x v="30"/>
    <s v="Valeria"/>
    <s v="Morales"/>
    <s v="valeriamor@unisabana.edu.co"/>
    <x v="3"/>
    <d v="2026-04-15T00:00:00"/>
    <x v="2"/>
    <s v="Entregado"/>
    <s v="Hola Valeri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31"/>
    <s v="Samantha"/>
    <s v="Vanegas Russi"/>
    <s v="samanthavaru@unisabana.edu.co"/>
    <x v="3"/>
    <d v="2026-04-15T00:00:00"/>
    <x v="2"/>
    <s v="Entregado"/>
    <s v="🗄️ Retroalimentación de la Entrega: Tarea 1 - Clase 8 - Autogestión NoSQLIntegrantes: Samantha Vanegas Russi, Avril Ariza Quitian.Calificación Final: 50/50 (Equivalente a 5.0)¡Hola, Samantha y Avril! Qué gusto saludarlas. He revisado detalladamente su entrega y quiero empezar felicitándolas por el altísimo nivel de profesionalismo, orden y rigor técnico que demostraron en este Notebook.Su implementación de la clase Proveedor es impecable. El uso del método to_dict junto con la librería csv.DictWriter demuestra que no se limitaron a lo visto en clase, sino que investigaron y aplicaron herramientas más eficientes y modernas para el manejo de archivos en Python. Además, la validación proactiva que incluyeron para evitar la creación de NITs duplicados es un &quot;plus&quot; de lógica de negocio excelente que le da mucha robustez a su sistema.Me encantó el formato visual que le dieron a la función leer_proveedores. El uso de alineación de texto para generar una tabla organizada en la consola facilita enormemente la lectura de los datos. Este tipo de detalles de &quot;User Experience&quot; (UX) son los que marcan la diferencia entre un script funcional y un software profesional.Las funciones de actualización y eliminación capturan perfectamente el concepto central de las bases de datos No-Relacionales basadas en archivos planos: la gestión completa en la memoria RAM antes de realizar la persistencia mediante la sobrescritura del archivo. Su código es limpio, está muy bien documentado y las pruebas de ejecución cubren todos los escenarios posibles, incluyendo el manejo de registros inexistentes.Sigan con esa misma curiosidad técnica y esa atención al detalle. Han superado con creces los requerimientos de la actividad y están demostrando una capacidad de autogestión y diseño de software de alto nivel. ¡Excelente trabajo, equipo!Rúbrica de CalificaciónCriterio de EvaluaciónRequisito TécnicoPuntaje MáximoPuntaje ObtenidoClase BaseDefinición avanzada de la clase Proveedor con métodos auxiliares (to_dict).10.010.0Operaciones Create y ReadImplementación funcional con validación de duplicados y salida formateada.15.015.0Operaciones Update y DeleteLógica correcta de filtrado en RAM y sobrescritura total del archivo CSV.15.015.0Pruebas y DocumentaciónPruebas exhaustivas, uso de tablas resumen y comentarios impecables.10.010.0TOTAL50.050.0Diego Mauricio Zuluaga RodríguezProfesor - Departamento de EconomíaUniversidad de La Sabana"/>
    <n v="50"/>
    <n v="50"/>
    <n v="1"/>
  </r>
  <r>
    <x v="32"/>
    <s v="Juan Jose"/>
    <s v="Caballero Mantilla"/>
    <s v="juancabma@unisabana.edu.co"/>
    <x v="3"/>
    <d v="2026-04-15T00:00:00"/>
    <x v="2"/>
    <s v="Entregado"/>
    <s v="🗄️ Retroalimentación de la Entrega: Tarea 1 - Clase 8 - Autogestión NoSQLIntegrantes: Martin Martin Trujillo Rodriguez, Daniel Camilo Lopez Piraquive, Juan Jose Caballero Mantilla. Calificación Final: 50/50 (Equivalente a 5.0) ¡Hola, equipo! Qué gusto saludarlos. He revisado detalladamente su entrega y quiero felicitarlos por la excelente calidad de su trabajo. Han logrado cumplir con todos los requerimientos técnicos, demostrando una gran capacidad de adaptación y proactividad.Un punto que me llamó gratamente la atención fue su decisión de utilizar la librería Pandas para resolver este reto. Aunque en el Live Coding inicial usamos el módulo estándar csv, el hecho de que hayan integrado lo aprendido en la segunda parte de la clase para aplicarlo aquí es un signo claro de Autogestión y curiosidad técnica.La lógica fundamental de las bases de datos NoSQL en archivos planos se cumple a la perfección en su código: leen el archivo completo a la memoria RAM (en este caso, a un DataFrame), realizan la transformación de los datos (ya sea agregando, editando con .loc o filtrando para eliminar) y finalmente sobrescriben el archivo físico para persistir los cambios.Además, valoro mucho que hayan tenido en cuenta que el método .append() está depreciado en las versiones más recientes de Pandas y hayan optado correctamente por utilizar pd.concat(). Ese tipo de atención a los detalles y a la documentación de las librerías es lo que define a un programador profesional.Las pruebas de ejecución son claras y el estado final del archivo demuestra que el CRUD funciona sin errores. Sigan con ese nivel de compromiso y análisis. Están construyendo una base muy sólida para los retos de Big Data y analítica que cerraremos en este último corte. ¡Excelente trabajo! Rúbrica de CalificaciónCriterio de EvaluaciónRequisito TécnicoPuntaje MáximoPuntaje ObtenidoClase BaseDefinición correcta de la clase Proveedor con sus atributos.10.010.0Operaciones Create y ReadImplementación funcional usando Pandas (concat y read_csv).15.015.0Operaciones Update y DeleteLógica correcta de filtrado y actualización en RAM con sobrescritura.15.015.0Pruebas y DocumentaciónPruebas exitosas de todas las funciones y código limpio.10.010.0TOTAL50.050.0  Diego Mauricio Zuluaga RodríguezProfesor - Departamento de EconomíaUniversidad de La Sabana"/>
    <n v="50"/>
    <n v="50"/>
    <n v="1"/>
  </r>
  <r>
    <x v="33"/>
    <s v="Daniel Camilo"/>
    <s v="Lopez Piraquive"/>
    <s v="danielloppi@unisabana.edu.co"/>
    <x v="3"/>
    <d v="2026-04-15T00:00:00"/>
    <x v="2"/>
    <s v="Entregado"/>
    <s v="🗄️ Retroalimentación de la Entrega: Tarea 1 - Clase 8 - Autogestión NoSQLIntegrantes: Martin Martin Trujillo Rodriguez, Daniel Camilo Lopez Piraquive, Juan Jose Caballero Mantilla.Calificación Final: 50/50 (Equivalente a 5.0)¡Hola, equipo! Qué gusto saludarlos. He revisado detalladamente su entrega y quiero felicitarlos por la excelente calidad de su trabajo. Han logrado cumplir con todos los requerimientos técnicos, demostrando una gran capacidad de adaptación y proactividad.Un punto que me llamó gratamente la atención fue su decisión de utilizar la librería Pandas para resolver este reto. Aunque en el Live Coding inicial usamos el módulo estándar csv, el hecho de que hayan integrado lo aprendido en la segunda parte de la clase para aplicarlo aquí es un signo claro de Autogestión y curiosidad técnica.La lógica fundamental de las bases de datos NoSQL en archivos planos se cumple a la perfección en su código: leen el archivo completo a la memoria RAM (en este caso, a un DataFrame), realizan la transformación de los datos (ya sea agregando, editando con .loc o filtrando para eliminar) y finalmente sobrescriben el archivo físico para persistir los cambios.Además, valoro mucho que hayan tenido en cuenta que el método .append() está depreciado en las versiones más recientes de Pandas y hayan optado correctamente por utilizar pd.concat(). Ese tipo de atención a los detalles y a la documentación de las librerías es lo que define a un programador profesional.Las pruebas de ejecución son claras y el estado final del archivo demuestra que el CRUD funciona sin errores. Sigan con ese nivel de compromiso y análisis. Están construyendo una base muy sólida para los retos de Big Data y analítica que cerraremos en este último corte. ¡Excelente trabajo!Rúbrica de CalificaciónCriterio de EvaluaciónRequisito TécnicoPuntaje MáximoPuntaje ObtenidoClase BaseDefinición correcta de la clase Proveedor con sus atributos.10.010.0Operaciones Create y ReadImplementación funcional usando Pandas (concat y read_csv).15.015.0Operaciones Update y DeleteLógica correcta de filtrado y actualización en RAM con sobrescritura.15.015.0Pruebas y DocumentaciónPruebas exitosas de todas las funciones y código limpio.10.010.0TOTAL50.050.0Diego Mauricio Zuluaga RodríguezProfesor - Departamento de EconomíaUniversidad de La Sabana"/>
    <n v="50"/>
    <n v="50"/>
    <n v="1"/>
  </r>
  <r>
    <x v="34"/>
    <s v="Gabriela"/>
    <s v="Ruiz Perez"/>
    <s v="gabrielarupe@unisabana.edu.co"/>
    <x v="3"/>
    <d v="2026-04-15T00:00:00"/>
    <x v="2"/>
    <s v="Entregado"/>
    <s v="Hola Gabriela,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35"/>
    <s v="Juan Sebastian"/>
    <s v="Perdomo Herrera"/>
    <s v="juanperhe@unisabana.edu.co"/>
    <x v="3"/>
    <d v="2026-04-15T00:00:00"/>
    <x v="2"/>
    <s v="Entregado"/>
    <s v="Hola Juan, espero que estés muy bien.Al revisar la entrega en Teams, noto con preocupación que no realizaste la entrega de la Tarea 1 - Clase 8 (Autogestión NoSQL), la cual venció el pasado miércoles 15 de abril.Como hemos conversado en clase, la Autogestión es una competencia tan importante como la programación misma. En el entorno profesional, un líder de tecnología o un analista de decisiones no solo debe entregar resultados técnicos, sino que debe ser impecable con el cumplimiento de sus cronogramas. Recuerda nuestra premisa: &quot;Un CTO no solo programa bien, también cumple los entregables diarios&quot;.Esta tarea era el cimiento para entender el procesamiento de datos a bajo nivel antes de entrar a los temas de Big Data y visualización que veremos en este último corte. Te invito a no bajar la guardia y a ajustar tu método de estudio para que las entregas del 20% no afecten tu promedio final.Ánimo para este cierre de semestre. Nos vemos el miércoles para iniciar con toda la energía el Corte 3.Atentamente,Diego Mauricio Zuluaga RodríguezProfesor - Departamento de EconomíaUniversidad de La Sabana"/>
    <n v="0"/>
    <n v="50"/>
    <n v="0"/>
  </r>
  <r>
    <x v="36"/>
    <s v="Martin Martin"/>
    <s v="Trujillo Rodriguez"/>
    <s v="martintrro@unisabana.edu.co"/>
    <x v="3"/>
    <d v="2026-04-15T00:00:00"/>
    <x v="2"/>
    <s v="Entregado"/>
    <s v="🗄️ Retroalimentación de la Entrega: Tarea 1 - Clase 8 - Autogestión NoSQLIntegrantes: Martin Martin Trujillo Rodriguez, Daniel Camilo Lopez Piraquive, Juan Jose Caballero Mantilla. Calificación Final: 50/50 (Equivalente a 5.0) ¡Hola, equipo! Qué gusto saludarlos. He revisado detalladamente su entrega y quiero felicitarlos por la excelente calidad de su trabajo. Han logrado cumplir con todos los requerimientos técnicos, demostrando una gran capacidad de adaptación y proactividad.Un punto que me llamó gratamente la atención fue su decisión de utilizar la librería Pandas para resolver este reto. Aunque en el Live Coding inicial usamos el módulo estándar csv, el hecho de que hayan integrado lo aprendido en la segunda parte de la clase para aplicarlo aquí es un signo claro de Autogestión y curiosidad técnica.La lógica fundamental de las bases de datos NoSQL en archivos planos se cumple a la perfección en su código: leen el archivo completo a la memoria RAM (en este caso, a un DataFrame), realizan la transformación de los datos (ya sea agregando, editando con .loc o filtrando para eliminar) y finalmente sobrescriben el archivo físico para persistir los cambios.Además, valoro mucho que hayan tenido en cuenta que el método .append() está depreciado en las versiones más recientes de Pandas y hayan optado correctamente por utilizar pd.concat(). Ese tipo de atención a los detalles y a la documentación de las librerías es lo que define a un programador profesional.Las pruebas de ejecución son claras y el estado final del archivo demuestra que el CRUD funciona sin errores. Sigan con ese nivel de compromiso y análisis. Están construyendo una base muy sólida para los retos de Big Data y analítica que cerraremos en este último corte. ¡Excelente trabajo! Rúbrica de CalificaciónCriterio de EvaluaciónRequisito TécnicoPuntaje MáximoPuntaje ObtenidoClase BaseDefinición correcta de la clase Proveedor con sus atributos.10.010.0Operaciones Create y ReadImplementación funcional usando Pandas (concat y read_csv).15.015.0Operaciones Update y DeleteLógica correcta de filtrado y actualización en RAM con sobrescritura.15.015.0Pruebas y DocumentaciónPruebas exitosas de todas las funciones y código limpio.10.010.0TOTAL50.050.0  Diego Mauricio Zuluaga RodríguezProfesor - Departamento de EconomíaUniversidad de La Sabana"/>
    <n v="50"/>
    <n v="50"/>
    <n v="1"/>
  </r>
  <r>
    <x v="37"/>
    <s v="Alan David"/>
    <s v="Rossoff Vanegas"/>
    <s v="alanrova@unisabana.edu.co"/>
    <x v="3"/>
    <d v="2026-04-15T00:00:00"/>
    <x v="2"/>
    <s v="Entregado"/>
    <s v="🗄️ Retroalimentación de la Entrega: Tarea 1 - Clase 8 - Autogestión NoSQLIntegrantes: Juan Sebastian Salas Hinojosa, Alan David Rossoff Vanegas, Lukas Blanco Llanes.Calificación Final: 50/50 (Equivalente a 5.0)¡Hola, equipo! Qué gusto saludarlos. He revisado detalladamente su implementación del sistema CRUD para proveedores utilizando archivos planos y quiero felicitarlos por el nivel de profesionalismo y rigor técnico que han demostrado en esta entrega.Han captado con total claridad la lógica fundamental de las bases de datos No-Relacionales basadas en archivos: el ciclo de &quot;Lectura total → Modificación en RAM → Sobrescritura&quot;. Este entendimiento es vital, pues en el mundo del Big Data y el procesamiento de archivos masivos, esta es la forma en la que operan muchos sistemas de alto rendimiento antes de pasar a motores más complejos.Desde el punto de vista técnico, destaco el uso de csv.DictReader y csv.DictWriter. Utilizar diccionarios para manipular las filas del CSV no solo hace que el código sea más legible, sino que reduce drásticamente la posibilidad de errores por posición de columnas. Además, la función de lectura con formato de tabla en la consola demuestra una excelente atención al detalle y una mentalidad orientada al usuario final (UX).Un punto muy valioso en su proceso de autogestión fue la inclusión de una validación de duplicados en la función crear_proveedor. Aunque el enunciado no lo pedía explícitamente, el hecho de que el programa verifique si el NIT ya existe antes de escribir demuestra que están pensando como verdaderos arquitectos de software, protegiendo la integridad de los datos desde el origen.La prueba integral que incluyeron al final es el &quot;Sanity Check&quot; perfecto. Permite auditar el ciclo de vida completo de un dato dentro del sistema y confirma que su lógica es robusta y a prueba de errores. Sigan con este nivel de excelencia; están construyendo las bases lógicas necesarias para dominar el análisis de datos a gran escala con Pandas y herramientas de Business Intelligence. ¡Excelente trabajo!Rúbrica de CalificaciónCriterio de EvaluaciónRequisito TécnicoPuntaje MáximoPuntaje ObtenidoClase BaseDefinición correcta de la clase Proveedor con atributos y métodos especiales.10.010.0Operaciones Create y ReadImplementación funcional con validación de duplicados y formato de salida profesional.15.015.0Operaciones Update y DeleteLógica impecable de lectura en RAM, filtrado/modificación y sobrescritura.15.015.0Pruebas y DocumentaciónPrueba integral de flujo completo y documentación clara en Markdown.10.010.0TOTAL50.050.0Diego Mauricio Zuluaga RodríguezProfesor - Departamento de EconomíaUniversidad de La Sabana"/>
    <n v="50"/>
    <n v="50"/>
    <n v="1"/>
  </r>
  <r>
    <x v="38"/>
    <s v="Diego Alejandro"/>
    <s v="Hermida Limas"/>
    <s v="diegoherli@unisabana.edu.co"/>
    <x v="3"/>
    <d v="2026-04-15T00:00:00"/>
    <x v="2"/>
    <s v="Entregado"/>
    <s v="🗄️ Retroalimentación de la Entrega: Tarea 1 - Clase 8 - Autogestión NoSQL Integrantes: Simon Gustavo Restrepo Alvarez, Mateo Perez Daza, Diego Alejandro Hermida Limas. Calificación Final: 50/50 (Equivalente a 5.0) ¡Hola, equipo! Qué buen trabajo han presentado. Han logrado capturar la esencia del procesamiento de datos en archivos planos, entendiendo que, a diferencia de SQL, aquí la &quot;inteligencia&quot; del proceso de actualización y eliminación recae totalmente en cómo manipulamos la memoria RAM desde Python.Quiero destacar especialmente su pseudocódigo. Está muy bien estructurado y sirvió como una hoja de ruta clara para el desarrollo posterior. Esta es una práctica de autogestión que les ahorrará muchísimo tiempo en proyectos más complejos y en el parcial que se avecina.Técnicamente, la implementación de las funciones actualizar_ciudad_proveedor y eliminar_proveedor es impecable. Aplicaron correctamente el patrón de &quot;Lectura -&amp;gt; Modificación en RAM -&amp;gt; Sobrescritura total&quot;, que es el estándar para manejar archivos CSV de forma manual. El uso de encoding=&quot;utf-8&quot; y newline=&quot;&quot; demuestra atención al detalle para evitar errores comunes de formato en diferentes sistemas operativos.Como una pequeña observación para su crecimiento profesional: en los resultados de sus pruebas se nota que el archivo tiene registros duplicados. Esto sucede porque la función crear_proveedor_csv usa el modo &quot;a&quot; (append), que siempre añade al final. En un sistema real, antes de añadir, se suele verificar si el NIT ya existe para evitar duplicidad de datos. No afecta su nota en esta tarea, pero es un excelente &quot;Sanity Check&quot; para implementar en su Taller del Corte 2.Sigan con esa rigurosidad. Han demostrado que dominan la lógica de persistencia NoSQL y están más que listos para el siguiente nivel con Pandas. ¡Felicitaciones! Rúbrica de CalificaciónCriterio de EvaluaciónRequisito TécnicoPuntaje MáximoPuntaje ObtenidoLógica y DiseñoPseudocódigo detallado y coherente con el código final.10.010.0Clase BaseDefinición correcta de la clase Proveedor con sus atributos.10.010.0Operaciones Create y ReadImplementación funcional para guardar y leer desde el archivo CSV.10.010.0Operaciones Update y DeleteLógica correcta de lectura en RAM, filtrado y sobrescritura.10.010.0Pruebas y DocumentaciónPruebas ejecutables exitosas y comentarios explicativos claros.10.010.0TOTAL50.050.0  Diego Mauricio Zuluaga RodríguezProfesor - Departamento de EconomíaUniversidad de La Sabana"/>
    <n v="50"/>
    <n v="50"/>
    <n v="1"/>
  </r>
  <r>
    <x v="0"/>
    <s v="Paula Andrea"/>
    <s v="Arciniegas Cardenas"/>
    <s v="paulaarcca@unisabana.edu.co"/>
    <x v="4"/>
    <d v="2026-03-26T00:00:00"/>
    <x v="1"/>
    <s v="Entregado"/>
    <m/>
    <n v="50"/>
    <n v="50"/>
    <n v="1"/>
  </r>
  <r>
    <x v="1"/>
    <s v="Sofia"/>
    <s v="Giraldo Pico"/>
    <s v="sofiagipi@unisabana.edu.co"/>
    <x v="4"/>
    <d v="2026-03-26T00:00:00"/>
    <x v="1"/>
    <s v="Entregado"/>
    <m/>
    <n v="50"/>
    <n v="50"/>
    <n v="1"/>
  </r>
  <r>
    <x v="2"/>
    <s v="Valery"/>
    <s v="Linares Hernandez"/>
    <s v="valerylihe@unisabana.edu.co"/>
    <x v="4"/>
    <d v="2026-03-26T00:00:00"/>
    <x v="1"/>
    <s v="Entregado"/>
    <m/>
    <n v="50"/>
    <n v="50"/>
    <n v="1"/>
  </r>
  <r>
    <x v="3"/>
    <s v="Nicolas"/>
    <s v="Torres Calderon"/>
    <s v="nicolastorca@unisabana.edu.co"/>
    <x v="4"/>
    <d v="2026-03-26T00:00:00"/>
    <x v="1"/>
    <s v="Entregado"/>
    <m/>
    <n v="50"/>
    <n v="50"/>
    <n v="1"/>
  </r>
  <r>
    <x v="4"/>
    <s v="Cristian"/>
    <s v="Bermudez"/>
    <s v="cristianbe@unisabana.edu.co"/>
    <x v="4"/>
    <d v="2026-03-26T00:00:00"/>
    <x v="1"/>
    <s v="Entregado"/>
    <m/>
    <n v="0"/>
    <n v="50"/>
    <n v="0"/>
  </r>
  <r>
    <x v="5"/>
    <s v="Mariana"/>
    <s v="Carmona Romero"/>
    <s v="marianacarrom@unisabana.edu.co"/>
    <x v="4"/>
    <d v="2026-03-26T00:00:00"/>
    <x v="1"/>
    <s v="Entregado"/>
    <m/>
    <n v="0"/>
    <n v="50"/>
    <n v="0"/>
  </r>
  <r>
    <x v="6"/>
    <s v="Mariana"/>
    <s v="Pena Rodriguez"/>
    <s v="marianapero@unisabana.edu.co"/>
    <x v="4"/>
    <d v="2026-03-26T00:00:00"/>
    <x v="1"/>
    <s v="Entregado"/>
    <m/>
    <n v="0"/>
    <n v="50"/>
    <n v="0"/>
  </r>
  <r>
    <x v="7"/>
    <s v="Isabella"/>
    <s v="Carranza Tapiero"/>
    <s v="isabellacata@unisabana.edu.co"/>
    <x v="4"/>
    <d v="2026-03-26T00:00:00"/>
    <x v="1"/>
    <s v="Entregado"/>
    <m/>
    <n v="50"/>
    <n v="50"/>
    <n v="1"/>
  </r>
  <r>
    <x v="8"/>
    <s v="Samuel David"/>
    <s v="Lozano Holguin"/>
    <s v="samuelloho@unisabana.edu.co"/>
    <x v="4"/>
    <d v="2026-03-26T00:00:00"/>
    <x v="1"/>
    <s v="Entregado"/>
    <m/>
    <n v="50"/>
    <n v="50"/>
    <n v="1"/>
  </r>
  <r>
    <x v="9"/>
    <s v="Sebastian"/>
    <s v="Vanoy Gutierrez"/>
    <s v="sebastianvagu@unisabana.edu.co"/>
    <x v="4"/>
    <d v="2026-03-26T00:00:00"/>
    <x v="1"/>
    <s v="Entregado"/>
    <m/>
    <n v="50"/>
    <n v="50"/>
    <n v="1"/>
  </r>
  <r>
    <x v="10"/>
    <s v="Jose Daniel"/>
    <s v="Escobar Hurtado"/>
    <s v="joseeshu@unisabana.edu.co"/>
    <x v="4"/>
    <d v="2026-03-26T00:00:00"/>
    <x v="1"/>
    <s v="Entregado"/>
    <m/>
    <n v="50"/>
    <n v="50"/>
    <n v="1"/>
  </r>
  <r>
    <x v="11"/>
    <s v="Maria Jose"/>
    <s v="Botero Galviz"/>
    <s v="mariabotga@unisabana.edu.co"/>
    <x v="4"/>
    <d v="2026-03-26T00:00:00"/>
    <x v="1"/>
    <s v="Entregado"/>
    <m/>
    <n v="0"/>
    <n v="50"/>
    <n v="0"/>
  </r>
  <r>
    <x v="12"/>
    <s v="Maria Juliana"/>
    <s v="Mejia Quintero"/>
    <s v="mariamequ@unisabana.edu.co"/>
    <x v="4"/>
    <d v="2026-03-26T00:00:00"/>
    <x v="1"/>
    <s v="Entregado"/>
    <m/>
    <n v="0"/>
    <n v="50"/>
    <n v="0"/>
  </r>
  <r>
    <x v="13"/>
    <s v="Alejandra"/>
    <s v="Leon Vargas"/>
    <s v="alejandraleva@unisabana.edu.co"/>
    <x v="4"/>
    <d v="2026-03-26T00:00:00"/>
    <x v="1"/>
    <s v="Entregado"/>
    <m/>
    <n v="0"/>
    <n v="50"/>
    <n v="0"/>
  </r>
  <r>
    <x v="14"/>
    <s v="Alessandro Di Mauro"/>
    <s v="Bonilla Correa"/>
    <s v="alessandroboco@unisabana.edu.co"/>
    <x v="4"/>
    <d v="2026-03-26T00:00:00"/>
    <x v="1"/>
    <s v="Entregado"/>
    <m/>
    <n v="0"/>
    <n v="50"/>
    <n v="0"/>
  </r>
  <r>
    <x v="15"/>
    <s v="Arianne Mariana"/>
    <s v="Amorocho Quiroga"/>
    <s v="arianneamqu@unisabana.edu.co"/>
    <x v="4"/>
    <d v="2026-03-26T00:00:00"/>
    <x v="1"/>
    <s v="Entregado"/>
    <m/>
    <n v="0"/>
    <n v="50"/>
    <n v="0"/>
  </r>
  <r>
    <x v="16"/>
    <s v="Maria Juliana"/>
    <s v="Herrera Pulido"/>
    <s v="mariahepu@unisabana.edu.co"/>
    <x v="4"/>
    <d v="2026-03-26T00:00:00"/>
    <x v="1"/>
    <s v="Entregado"/>
    <m/>
    <n v="50"/>
    <n v="50"/>
    <n v="1"/>
  </r>
  <r>
    <x v="17"/>
    <s v="Simon Gustavo"/>
    <s v="Restrepo Alvarez"/>
    <s v="simonreal@unisabana.edu.co"/>
    <x v="4"/>
    <d v="2026-03-26T00:00:00"/>
    <x v="1"/>
    <s v="Entregado"/>
    <m/>
    <n v="50"/>
    <n v="50"/>
    <n v="1"/>
  </r>
  <r>
    <x v="18"/>
    <s v="Daniel Felipe"/>
    <s v="Camacho Pedraza"/>
    <s v="danielcampe@unisabana.edu.co"/>
    <x v="4"/>
    <d v="2026-03-26T00:00:00"/>
    <x v="1"/>
    <s v="Entregado"/>
    <m/>
    <n v="50"/>
    <n v="50"/>
    <n v="1"/>
  </r>
  <r>
    <x v="19"/>
    <s v="Mateo"/>
    <s v="Perez Daza"/>
    <s v="mateopeda@unisabana.edu.co"/>
    <x v="4"/>
    <d v="2026-03-26T00:00:00"/>
    <x v="1"/>
    <s v="Entregado"/>
    <m/>
    <n v="50"/>
    <n v="50"/>
    <n v="1"/>
  </r>
  <r>
    <x v="20"/>
    <s v="Matias"/>
    <s v="Mondragon Osorio"/>
    <s v="matiasmoos@unisabana.edu.co"/>
    <x v="4"/>
    <d v="2026-03-26T00:00:00"/>
    <x v="1"/>
    <s v="Entregado"/>
    <m/>
    <n v="0"/>
    <n v="50"/>
    <n v="0"/>
  </r>
  <r>
    <x v="21"/>
    <s v="Juan David"/>
    <s v="Neuta Medina"/>
    <s v="juanneme@unisabana.edu.co"/>
    <x v="4"/>
    <d v="2026-03-26T00:00:00"/>
    <x v="1"/>
    <s v="Entregado"/>
    <m/>
    <n v="50"/>
    <n v="50"/>
    <n v="1"/>
  </r>
  <r>
    <x v="22"/>
    <s v="Laura Fernanda"/>
    <s v="Lopez Parra"/>
    <s v="lauraloppa@unisabana.edu.co"/>
    <x v="4"/>
    <d v="2026-03-26T00:00:00"/>
    <x v="1"/>
    <s v="Entregado"/>
    <m/>
    <n v="50"/>
    <n v="50"/>
    <n v="1"/>
  </r>
  <r>
    <x v="23"/>
    <s v="Lukas"/>
    <s v="Blanco Llanes"/>
    <s v="lukasblll@unisabana.edu.co"/>
    <x v="4"/>
    <d v="2026-03-26T00:00:00"/>
    <x v="1"/>
    <s v="Entregado"/>
    <m/>
    <n v="50"/>
    <n v="50"/>
    <n v="1"/>
  </r>
  <r>
    <x v="24"/>
    <s v="Juan Sebastian"/>
    <s v="Salas Hinojosa"/>
    <s v="juansahi@unisabana.edu.co"/>
    <x v="4"/>
    <d v="2026-03-26T00:00:00"/>
    <x v="1"/>
    <s v="Entregado"/>
    <m/>
    <n v="50"/>
    <n v="50"/>
    <n v="1"/>
  </r>
  <r>
    <x v="25"/>
    <s v="Avril Avril"/>
    <s v="Ariza Quitian"/>
    <s v="avrilarqu@unisabana.edu.co"/>
    <x v="4"/>
    <d v="2026-03-26T00:00:00"/>
    <x v="1"/>
    <s v="Entregado"/>
    <s v="Entrega de Samantha."/>
    <n v="50"/>
    <n v="50"/>
    <n v="1"/>
  </r>
  <r>
    <x v="26"/>
    <s v="Samuel David"/>
    <s v="Simancas Contreras"/>
    <s v="samuelsico@unisabana.edu.co"/>
    <x v="4"/>
    <d v="2026-03-26T00:00:00"/>
    <x v="1"/>
    <s v="Entregado"/>
    <m/>
    <n v="0"/>
    <n v="50"/>
    <n v="0"/>
  </r>
  <r>
    <x v="27"/>
    <s v="Maria Jose"/>
    <s v="Huertas Osorio"/>
    <s v="mariahueos@unisabana.edu.co"/>
    <x v="4"/>
    <d v="2026-03-26T00:00:00"/>
    <x v="1"/>
    <s v="Entregado"/>
    <m/>
    <n v="0"/>
    <n v="50"/>
    <n v="0"/>
  </r>
  <r>
    <x v="28"/>
    <s v="Juan Camilo"/>
    <s v="Leyton Lancheros"/>
    <s v="juanleyla@unisabana.edu.co"/>
    <x v="4"/>
    <d v="2026-03-26T00:00:00"/>
    <x v="1"/>
    <s v="Entregado"/>
    <m/>
    <n v="0"/>
    <n v="50"/>
    <n v="0"/>
  </r>
  <r>
    <x v="29"/>
    <s v="Samuel Mathias"/>
    <s v="Gonzalez Bernal"/>
    <s v="samuelgonbe@unisabana.edu.co"/>
    <x v="4"/>
    <d v="2026-03-26T00:00:00"/>
    <x v="1"/>
    <s v="Entregado"/>
    <m/>
    <n v="50"/>
    <n v="50"/>
    <n v="1"/>
  </r>
  <r>
    <x v="30"/>
    <s v="Valeria"/>
    <s v="Morales"/>
    <s v="valeriamor@unisabana.edu.co"/>
    <x v="4"/>
    <d v="2026-03-26T00:00:00"/>
    <x v="1"/>
    <s v="Entregado"/>
    <m/>
    <n v="50"/>
    <n v="50"/>
    <n v="1"/>
  </r>
  <r>
    <x v="31"/>
    <s v="Samantha"/>
    <s v="Vanegas Russi"/>
    <s v="samanthavaru@unisabana.edu.co"/>
    <x v="4"/>
    <d v="2026-03-26T00:00:00"/>
    <x v="1"/>
    <s v="Entregado"/>
    <m/>
    <n v="50"/>
    <n v="50"/>
    <n v="1"/>
  </r>
  <r>
    <x v="32"/>
    <s v="Juan Jose"/>
    <s v="Caballero Mantilla"/>
    <s v="juancabma@unisabana.edu.co"/>
    <x v="4"/>
    <d v="2026-03-26T00:00:00"/>
    <x v="1"/>
    <s v="Entregado"/>
    <m/>
    <n v="50"/>
    <n v="50"/>
    <n v="1"/>
  </r>
  <r>
    <x v="33"/>
    <s v="Daniel Camilo"/>
    <s v="Lopez Piraquive"/>
    <s v="danielloppi@unisabana.edu.co"/>
    <x v="4"/>
    <d v="2026-03-26T00:00:00"/>
    <x v="1"/>
    <s v="Entregado"/>
    <m/>
    <n v="0"/>
    <n v="50"/>
    <n v="0"/>
  </r>
  <r>
    <x v="34"/>
    <s v="Gabriela"/>
    <s v="Ruiz Perez"/>
    <s v="gabrielarupe@unisabana.edu.co"/>
    <x v="4"/>
    <d v="2026-03-26T00:00:00"/>
    <x v="1"/>
    <s v="Entregado"/>
    <m/>
    <n v="0"/>
    <n v="50"/>
    <n v="0"/>
  </r>
  <r>
    <x v="35"/>
    <s v="Juan Sebastian"/>
    <s v="Perdomo Herrera"/>
    <s v="juanperhe@unisabana.edu.co"/>
    <x v="4"/>
    <d v="2026-03-26T00:00:00"/>
    <x v="1"/>
    <s v="Entregado"/>
    <m/>
    <n v="0"/>
    <n v="50"/>
    <n v="0"/>
  </r>
  <r>
    <x v="36"/>
    <s v="Martin Martin"/>
    <s v="Trujillo Rodriguez"/>
    <s v="martintrro@unisabana.edu.co"/>
    <x v="4"/>
    <d v="2026-03-26T00:00:00"/>
    <x v="1"/>
    <s v="Entregado"/>
    <m/>
    <n v="50"/>
    <n v="50"/>
    <n v="1"/>
  </r>
  <r>
    <x v="37"/>
    <s v="Alan David"/>
    <s v="Rossoff Vanegas"/>
    <s v="alanrova@unisabana.edu.co"/>
    <x v="4"/>
    <d v="2026-03-26T00:00:00"/>
    <x v="1"/>
    <s v="Entregado"/>
    <m/>
    <n v="50"/>
    <n v="50"/>
    <n v="1"/>
  </r>
  <r>
    <x v="38"/>
    <s v="Diego Alejandro"/>
    <s v="Hermida Limas"/>
    <s v="diegoherli@unisabana.edu.co"/>
    <x v="4"/>
    <d v="2026-03-26T00:00:00"/>
    <x v="1"/>
    <s v="Entregado"/>
    <m/>
    <n v="50"/>
    <n v="50"/>
    <n v="1"/>
  </r>
  <r>
    <x v="0"/>
    <s v="Paula Andrea"/>
    <s v="Arciniegas Cardenas"/>
    <s v="paulaarcca@unisabana.edu.co"/>
    <x v="5"/>
    <d v="2026-04-01T00:00:00"/>
    <x v="2"/>
    <s v="Entregado"/>
    <s v="🔗 Retroalimentación de la Entrega: Normalización y Llaves SQL Integrantes: Valeria Morales, Isabella Carranza Tapiero, Paula Andrea Arciniegas Cárdenas. Calificación Final: 50/50 (Equivalente a 5.0) ¡Hola, equipo! Qué gusto saludarlas. He revisado detalladamente su entrega y quiero felicitarlas porque han presentado un trabajo de altísimo nivel. Se nota que no solo se limitaron a seguir las instrucciones, sino que realmente comprendieron la arquitectura detrás de una base de datos relacional profesional.Me pareció excelente la introducción en Markdown donde explican la relación Uno a Muchos (1:N). La claridad con la que justifican el uso de llaves foráneas para evitar la redundancia y garantizar la integridad referencial es impecable. Ese es el tipo de pensamiento analítico que buscamos en la EICEA: entender el &quot;porqué&quot; antes del &quot;cómo&quot;.En la parte técnica, quiero destacar tres puntos que elevaron la calidad de su tarea. Primero, la activación del PRAGMA foreign_keys = ON;, un paso que suele olvidarse pero que es vital. Segundo, el uso de executemany para insertar datos, lo cual es una práctica de optimización muy valiosa. Y tercero, mi parte favorita: el ejercicio de validación con try-except. Intentar insertar un proveedor inexistente para forzar el error y comprobar que la base de datos está &quot;blindada&quot; es una muestra de Autogestión y curiosidad técnica excepcional.El resultado del INNER JOIN es perfecto. Lograron cruzar las tablas de forma limpia y la presentación de la lista de productos en la consola es muy legible y profesional. Han construido una base sólida para el sistema de la cafetería, asegurando que los datos tengan &quot;memoria&quot; y estructura a largo plazo.Sigan con esa rigurosidad y atención al detalle. Están demostrando habilidades de arquitectura de datos que les serán de gran utilidad en el Taller del Corte 2 y en su vida profesional. ¡Excelente trabajo y disfruten su merecido descanso! Rúbrica de CalificaciónCriterio de EvaluaciónRequisito TécnicoPuntaje MáximoPuntaje ObtenidoDiseño LógicoExplicación clara de la relación 1:N e integridad referencial en Markdown.10.010.0Creación de TablasUso correcto de PK y FK con la estructura solicitada y activación de PRAGMA.10.010.0Inserción y Sanity CheckDatos coherentes e implementación de prueba de error con try-except.10.010.0Consulta JOINImplementación exitosa de INNER JOIN con salida formateada y clara.15.015.0Documentación y FormatoUso de comentarios, estructura organizada y entrega en formato .ipynb.5.05.0TOTAL50.050.0  Diego Mauricio Zuluaga RodríguezProfesor - Departamento de EconomíaUniversidad de La Sabana"/>
    <n v="50"/>
    <n v="50"/>
    <n v="1"/>
  </r>
  <r>
    <x v="1"/>
    <s v="Sofia"/>
    <s v="Giraldo Pico"/>
    <s v="sofiagipi@unisabana.edu.co"/>
    <x v="5"/>
    <d v="2026-04-01T00:00:00"/>
    <x v="2"/>
    <s v="Entregado"/>
    <s v="🔗 Retroalimentación de la Entrega: Normalización y Llaves SQLEstudiante: Sofia Giraldo Pico Calificación Final: 50/50 (Equivalente a 5.0) ¡Hola, Sofia! Qué gusto saludarte. He revisado detalladamente tu entrega y quiero felicitarte por el nivel de profesionalismo y claridad que has demostrado en este ejercicio. Has logrado capturar la esencia de la arquitectura de datos relacionales con una precisión admirable.Tu explicación sobre el diseño lógico es impecable. Lograste articular de forma sencilla por qué la relación Uno a Muchos (1:N) es la base para evitar la redundancia y proteger la integridad referencial. Es muy gratificante ver que comprendes que una base de datos no es solo un depósito de información, sino un sistema estructurado para facilitar la toma de decisiones. En la parte técnica, destaco tres puntos fundamentales que elevan la calidad de tu trabajo:El uso correcto del comando PRAGMA foreign_keys = ON;, el cual es vital para que SQLite realmente valide las relaciones.La implementación de id_producto como AUTOINCREMENT, lo que demuestra una buena práctica en el diseño de llaves primarias.El uso de la librería Pandas (pd.read_sql_query) para visualizar el resultado del INNER JOIN. Esta es una muestra de proactividad y autogestión, ya que utilizaste herramientas vistas en clases de analítica para presentar un reporte mucho más limpio y profesional.Sigue con esa curiosidad y rigor técnico. Dominar las llaves y la normalización es lo que te permitirá, en un futuro cercano, diseñar sistemas robustos para cualquier área de la economía o los negocios.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structura limpia y entrega en .ipynb.5.05.0TOTAL50.050.0  Diego Mauricio Zuluaga RodríguezProfesor - Departamento de EconomíaUniversidad de La Sabana"/>
    <n v="50"/>
    <n v="50"/>
    <n v="1"/>
  </r>
  <r>
    <x v="2"/>
    <s v="Valery"/>
    <s v="Linares Hernandez"/>
    <s v="valerylihe@unisabana.edu.co"/>
    <x v="5"/>
    <d v="2026-04-01T00:00:00"/>
    <x v="2"/>
    <s v="Entregado"/>
    <s v="🗄️ Retroalimentación de la Entrega: Tarea 1 - Clase 7 - CRUD en SQLite Grupo: Maria Juliana Mejia Quintero, Valery Linares Hernandez, Maria Jose Botero Galviz. Calificación Final: 50/50 (Equivalente a 5.0) ¡Hola, equipo! Quiero felicitarlas por este excelente trabajo. Han demostrado un dominio técnico sobresaliente de la interacción con bases de datos relacionales, que es una de las habilidades más demandadas en el mercado laboral para cualquier analista de datos o desarrollador.Me impresionó mucho la calidad de su código. La forma en que estructuraron las funciones CRUD para cada módulo (Cliente, Proveedor, Ventas) es limpia, modular y muy profesional. Han aplicado correctamente el uso de parámetros seguros (?) en cada consulta, lo cual es fundamental para la seguridad del sistema.Además, han ido un paso más allá de lo solicitado, implementando funcionalidades avanzadas como la restricción CHECK en la tabla Cliente para validar el tipo de usuario, y el manejo de excepciones try-except para capturar errores de integridad (como un email duplicado). Esto demuestra que no solo están aprendiendo a escribir código, sino a pensar como verdaderas arquitectas de software, anticipándose a los problemas.La implementación de las Llaves Foráneas (FK) y las consultas JOIN en el módulo de ventas es impecable. Lograron reconstruir la información de manera eficiente, que es el corazón de las bases de datos relacionales.Sigan con este nivel de profundidad y atención al detalle. Están construyendo un portafolio técnico muy sólido y demostrando una capacidad de autogestión y aprendizaje excepcional. ¡Felicitaciones! 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 para cada módulo.15.015.0Seguridad y RobustezUso de parámetros seguros (?) y manejo de excepciones (IntegrityError).10.010.0Pruebas y DocumentaciónPruebas ejecutables en el código y comentarios explicativos claros.10.010.0TOTAL50.050.0  Diego Mauricio Zuluaga RodríguezProfesor - Departamento de EconomíaUniversidad de La Sabana"/>
    <n v="50"/>
    <n v="50"/>
    <n v="1"/>
  </r>
  <r>
    <x v="3"/>
    <s v="Nicolas"/>
    <s v="Torres Calderon"/>
    <s v="nicolastorca@unisabana.edu.co"/>
    <x v="5"/>
    <d v="2026-04-01T00:00:00"/>
    <x v="2"/>
    <s v="Entregado"/>
    <s v="🔗 Retroalimentación de la Entrega: Normalización y Llaves SQL Integrantes: Nicolas Torres Calderon, Juan Camilo Leyton Lancheros, Cristian Bermudez. Calificación Final: 50/50 (Equivalente a 5.0) ¡Hola, equipo! Es un gusto saludarlos. He revisado detalladamente su entrega y quiero felicitarlos por la excelente calidad técnica y conceptual que han demostrado en este ejercicio de arquitectura de datos.Me pareció muy acertada la explicación inicial en el bloque de Markdown. Identificar con claridad la relación 1:N (Uno a Muchos) entre proveedores y productos es el primer paso para diseñar sistemas escalables. Entendieron perfectamente que la Llave Foránea (FK) es la herramienta que nos permite eliminar la redundancia y proteger la integridad de la información, evitando repetir datos innecesarios en cada fila.En la implementación técnica, destaco tres puntos fundamentales que demuestran su nivel de atención al detalle: primero, el uso correcto del comando PRAGMA foreign_keys = ON;, el cual es obligatorio para que SQLite valide las relaciones; segundo, la estrategia de usar DROP TABLE IF EXISTS, que facilita enormemente las pruebas y el despliegue del código sin errores de tablas duplicadas; y tercero, el uso de parámetros posicionales (?) en los INSERT, lo cual es una excelente práctica de seguridad.Finalmente, la consulta con INNER JOIN funciona a la perfección. Lograron reconstruir la información de dos tablas distintas para presentar un reporte coherente y útil para el negocio. Ver el nombre de la empresa proveedora junto al producto es el resultado de una base de datos bien normalizada.Sigan con este nivel de compromiso y rigurosidad. Dominar la estructura de las bases de datos relacionales es una de las habilidades más valoradas en el análisis de datos moderno y les servirá de base para el éxito en su Taller del Corte 2.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structura limpia y entrega en .ipynb.5.05.0TOTAL50.050.0  Diego Mauricio Zuluaga RodríguezProfesor - Departamento de EconomíaUniversidad de La Sabana"/>
    <n v="50"/>
    <n v="50"/>
    <n v="1"/>
  </r>
  <r>
    <x v="4"/>
    <s v="Cristian"/>
    <s v="Bermudez"/>
    <s v="cristianbe@unisabana.edu.co"/>
    <x v="5"/>
    <d v="2026-04-01T00:00:00"/>
    <x v="2"/>
    <s v="Entregado"/>
    <s v="⚠️ Seguimiento de Autogestión: Tarea 2 - Normalización y Llaves SQLHola Cristian,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5"/>
    <s v="Mariana"/>
    <s v="Carmona Romero"/>
    <s v="marianacarrom@unisabana.edu.co"/>
    <x v="5"/>
    <d v="2026-04-01T00:00:00"/>
    <x v="2"/>
    <s v="Entregado"/>
    <s v="⚠️ Seguimiento de Autogestión: Tarea 2 - Normalización y Llaves SQLHola Mariana,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6"/>
    <s v="Mariana"/>
    <s v="Pena Rodriguez"/>
    <s v="marianapero@unisabana.edu.co"/>
    <x v="5"/>
    <d v="2026-04-01T00:00:00"/>
    <x v="2"/>
    <s v="Entregado"/>
    <s v="🔗 Retroalimentación de la Entrega: Normalización y Llaves SQLIntegrantes: Mariana Peña Rodríguez, Matías Mondragón Osorio, Arianne Mariana Amorocho Quiroga.Calificación Final: 50/50 (Equivalente a 5.0)¡Hola, equipo! Es un gusto saludarlos. He revisado su entrega y quiero felicitarlos por la excelente calidad de su trabajo. Han logrado aterrizar conceptos complejos de arquitectura de datos en una solución práctica, limpia y profesional para nuestra &quot;Cafetería U. Sabana&quot;.Me pareció impecable su explicación en la celda de Markdown sobre la relación Uno a Muchos (1:N). Entender que un proveedor puede abastecer múltiples productos, pero que cada producto debe tener un origen rastreable, es la base de una buena gestión logística. Su justificación sobre la integridad referencial y la eliminación de la redundancia demuestra que tienen una visión clara de cómo se estructuran los datos en el mundo real para evitar errores administrativos.En la parte técnica, los felicito por no olvidar el comando PRAGMA foreign_keys = ON;. Es un detalle que a muchos se les escapa, pero que es vital para que SQLite realmente proteja las relaciones entre las tablas. Además, el uso de INSERT OR IGNORE fue una decisión muy inteligente de su parte (Autogestión), ya que permite ejecutar el código varias veces sin que el programa colapse por llaves primarias duplicadas.El resultado del INNER JOIN es exactamente lo que se solicitó. Ver en una sola tabla el nombre del producto junto al nombre de su proveedor es el &quot;momento de la verdad&quot; en las bases de datos relacionales, y ustedes lo lograron con una sintaxis SQL perfecta.Sigan con ese nivel de detalle y compromiso. Dominar las llaves y la normalización es lo que separa a un programador aficionado de un verdadero arquitecto de soluciones de datos. ¡Excelente trabajo y sigan así para el cierre del corte!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Diego Mauricio Zuluaga RodríguezProfesor - Departamento de EconomíaUniversidad de La Sabana"/>
    <n v="50"/>
    <n v="50"/>
    <n v="1"/>
  </r>
  <r>
    <x v="7"/>
    <s v="Isabella"/>
    <s v="Carranza Tapiero"/>
    <s v="isabellacata@unisabana.edu.co"/>
    <x v="5"/>
    <d v="2026-04-01T00:00:00"/>
    <x v="2"/>
    <s v="Entregado"/>
    <s v="🔗 Retroalimentación de la Entrega: Normalización y Llaves SQLIntegrantes: Valeria Morales, Isabella Carranza Tapiero, Paula Andrea Arciniegas Cárdenas.Calificación Final: 40/50 (Equivalente a 4.0 - Se restan 10 unidades por el retraso de 16 horas en la entrega)¡Hola, equipo! Qué gusto saludarlas. He revisado detalladamente su entrega y quiero felicitarlas porque han presentado un trabajo de altísimo nivel. Se nota que no solo se limitaron a seguir las instrucciones, sino que realmente comprendieron la arquitectura detrás de una base de datos relacional profesional.Me pareció excelente la introducción en Markdown donde explican la relación Uno a Muchos (1:N). La claridad con la que justifican el uso de llaves foráneas para evitar la redundancia y garantizar la integridad referencial es impecable. Ese es el tipo de pensamiento analítico que buscamos en la EICEA: entender el &quot;porqué&quot; antes del &quot;cómo&quot;.En la parte técnica, quiero destacar tres puntos que elevaron la calidad de su tarea. Primero, la activación del PRAGMA foreign_keys = ON;, un paso que suele olvidarse pero que es vital. Segundo, el uso de executemany para insertar datos, lo cual es una práctica de optimización muy valiosa. Y tercero, mi parte favorita: el ejercicio de validación con try-except. Intentar insertar un proveedor inexistente para forzar el error y comprobar que la base de datos está &quot;blindada&quot; es una muestra de Autogestión y curiosidad técnica excepcional.El resultado del INNER JOIN es perfecto. Lograron cruzar las tablas de forma limpia y la presentación de la lista de productos en la consola es muy legible y profesional. Han construido una base sólida para el sistema de la cafetería, asegurando que los datos tengan &quot;memoria&quot; y estructura a largo plazo.Sigan con esa rigurosidad y atención al detalle. Están demostrando habilidades de arquitectura de datos que les serán de gran utilidad en el Taller del Corte 2 y en su vida profesional. ¡Excelente trabajo y disfruten su merecido descanso!Rúbrica de CalificaciónCriterio de EvaluaciónRequisito TécnicoPuntaje MáximoPuntaje ObtenidoDiseño LógicoExplicación clara de la relación 1:N e integridad referencial en Markdown.10.010.0Creación de TablasUso correcto de PK y FK con la estructura solicitada y activación de PRAGMA.10.010.0Inserción y Sanity CheckDatos coherentes e implementación de prueba de error con try-except.10.010.0Consulta JOINImplementación exitosa de INNER JOIN con salida formateada y clara.15.015.0Documentación y FormatoUso de comentarios, estructura organizada y entrega en formato .ipynb.5.05.0TOTAL50.040.0Diego Mauricio Zuluaga RodríguezProfesor - Departamento de EconomíaUniversidad de La Sabana"/>
    <n v="40"/>
    <n v="50"/>
    <n v="0.8"/>
  </r>
  <r>
    <x v="8"/>
    <s v="Samuel David"/>
    <s v="Lozano Holguin"/>
    <s v="samuelloho@unisabana.edu.co"/>
    <x v="5"/>
    <d v="2026-04-01T00:00:00"/>
    <x v="2"/>
    <s v="Entregado"/>
    <s v="🔗 Retroalimentación de la Entrega: Normalización y Llaves SQLIntegrantes: Sebastián Vanoy Gutiérrez, Samuel David Lozano Holguín, Samuel Mathias González Bernal.Calificación Final: 50/50 (Equivalente a 5.0)¡Hola, equipo! He revisado su entrega y quiero felicitarlos por el nivel de profundidad y profesionalismo que han demostrado. Este es, sin duda, un trabajo de calidad excepcional que va más allá de simplemente cumplir con los requisitos.Su explicación en la celda de Markdown sobre la relación 1:N y las anomalías de actualización, inserción y eliminación es digna de un libro de texto de bases de datos. Entender por qué se normaliza es mucho más importante que saber cómo hacerlo, y ustedes lo han capturado a la perfección.En la parte técnica, su código es impecable. El uso de executemany para insertar los datos en bloque es una práctica eficiente y profesional. La sintaxis del INNER JOIN, utilizando alias (p para productos y v para proveedores), demuestra que están adoptando las convenciones estándar de SQL para escribir consultas limpias y legibles.Finalmente, la presentación del resultado de la consulta JOIN es sobresaliente. Tomarse el tiempo de formatear los encabezados y alinear las columnas con f-strings (f&quot;{nombre:&amp;lt;20}&quot;) es un detalle de calidad que marca la diferencia entre un simple script y un reporte profesional listo para ser presentado a un gerente.Sigan con este nivel de excelencia. Han demostrado una capacidad de autogestión y un rigor técnico que los prepara no solo para el Taller del Corte 2, sino para enfrentar proyectos de datos en el mundo real. ¡Felicitaciones por este gran trabajo!Rúbrica de CalificaciónCriterio de EvaluaciónRequisito TécnicoPuntaje MáximoPuntaje ObtenidoDiseño LógicoExplicación detallada de la relación 1:N, anomalías y justificación de la FK en Markdown.10.010.0Creación de TablasUso correcto de PK y FK con la estructura solicitada.10.010.0Inserción y Sanity CheckDatos coherentes insertados respetando la jerarquía de tablas.10.010.0Consulta JOINImplementación exitosa de INNER JOIN con salida visible y formato profesional.15.015.0Documentación y FormatoUso de comentarios, celdas Markdown y entrega en .ipynb.5.05.0TOTAL50.050.0Diego Mauricio Zuluaga RodríguezProfesor - Departamento de EconomíaUniversidad de La Sabana"/>
    <n v="50"/>
    <n v="50"/>
    <n v="1"/>
  </r>
  <r>
    <x v="9"/>
    <s v="Sebastian"/>
    <s v="Vanoy Gutierrez"/>
    <s v="sebastianvagu@unisabana.edu.co"/>
    <x v="5"/>
    <d v="2026-04-01T00:00:00"/>
    <x v="2"/>
    <s v="Entregado"/>
    <s v="🔗 Retroalimentación de la Entrega: Normalización y Llaves SQLIntegrantes: Sebastián Vanoy Gutiérrez, Samuel David Lozano Holguín, Samuel Mathias González Bernal.Calificación Final: 50/50 (Equivalente a 5.0)¡Hola, equipo! He revisado su entrega y quiero felicitarlos por el nivel de profundidad y profesionalismo que han demostrado. Este es, sin duda, un trabajo de calidad excepcional que va más allá de simplemente cumplir con los requisitos.Su explicación en la celda de Markdown sobre la relación 1:N y las anomalías de actualización, inserción y eliminación es digna de un libro de texto de bases de datos. Entender por qué se normaliza es mucho más importante que saber cómo hacerlo, y ustedes lo han capturado a la perfección.En la parte técnica, su código es impecable. El uso de executemany para insertar los datos en bloque es una práctica eficiente y profesional. La sintaxis del INNER JOIN, utilizando alias (p para productos y v para proveedores), demuestra que están adoptando las convenciones estándar de SQL para escribir consultas limpias y legibles.Finalmente, la presentación del resultado de la consulta JOIN es sobresaliente. Tomarse el tiempo de formatear los encabezados y alinear las columnas con f-strings (f&quot;{nombre:&amp;lt;20}&quot;) es un detalle de calidad que marca la diferencia entre un simple script y un reporte profesional listo para ser presentado a un gerente.Sigan con este nivel de excelencia. Han demostrado una capacidad de autogestión y un rigor técnico que los prepara no solo para el Taller del Corte 2, sino para enfrentar proyectos de datos en el mundo real. ¡Felicitaciones por este gran trabajo!Rúbrica de CalificaciónCriterio de EvaluaciónRequisito TécnicoPuntaje MáximoPuntaje ObtenidoDiseño LógicoExplicación detallada de la relación 1:N, anomalías y justificación de la FK en Markdown.10.010.0Creación de TablasUso correcto de PK y FK con la estructura solicitada.10.010.0Inserción y Sanity CheckDatos coherentes insertados respetando la jerarquía de tablas.10.010.0Consulta JOINImplementación exitosa de INNER JOIN con salida visible y formato profesional.15.015.0Documentación y FormatoUso de comentarios, celdas Markdown y entrega en .ipynb.5.05.0TOTAL50.050.0Diego Mauricio Zuluaga RodríguezProfesor - Departamento de EconomíaUniversidad de La Sabana"/>
    <n v="50"/>
    <n v="50"/>
    <n v="1"/>
  </r>
  <r>
    <x v="10"/>
    <s v="Jose Daniel"/>
    <s v="Escobar Hurtado"/>
    <s v="joseeshu@unisabana.edu.co"/>
    <x v="5"/>
    <d v="2026-04-01T00:00:00"/>
    <x v="2"/>
    <s v="Entregado"/>
    <s v="🔗 Retroalimentación de la Entrega: Normalización y Llaves SQL Integrantes: Juan David Neuta Medina, Laura Fernanda López Parra, José Daniel Escobar Hurtado. Calificación Final: 50/50 (Equivalente a 5.0) ¡Hola, equipo! He revisado su entrega y quiero felicitarlos por el altísimo nivel de profesionalismo y detalle técnico que han demostrado. Este es, sin duda, un trabajo de calidad excepcional que va más allá de lo solicitado.Su explicación en la celda de Markdown sobre la relación 1:N y la justificación de la Llave Foránea es de nivel universitario avanzado. La tabla comparativa que crearon para explicar los problemas de redundancia e inconsistencia es una herramienta pedagógica brillante que demuestra una comprensión profunda de la arquitectura de datos.En la parte técnica, el código es impecable. No solo cumplieron con todos los requisitos, sino que agregaron valor en cada paso:Sanity Check Proactivo: El bloque try-except para demostrar que la restricción de Llave Foránea realmente funciona es una prueba de concepto excelente. Demuestra que no solo escriben código, sino que auditan su comportamiento.Eficiencia en la Inserción: El uso de executemany para insertar los datos en bloque es la forma correcta y más eficiente de poblar una base de datos.Presentación de Datos: La consulta JOIN es perfecta, pero la forma en que formatearon la salida en consola para que se vea como una tabla real (usando f-strings y .ljust()) es un detalle de UX que marca la diferencia.Sigan con este nivel de excelencia. Han demostrado que no solo son capaces de programar, sino de diseñar, documentar y auditar sistemas de datos complejos. Este es el perfil exacto que buscan las empresas líderes en el sector. ¡Felicitaciones por un trabajo sobresaliente! Rúbrica de CalificaciónCriterio de EvaluaciónRequisito TécnicoPuntaje MáximoPuntaje ObtenidoDiseño LógicoExplicación detallada de la relación 1:N y justificación de la normalización.10.010.0Creación de TablasUso correcto de PK y FK con la estructura solicitada.10.010.0Inserción y Sanity CheckDatos coherentes insertados y prueba de la restricción de FK.10.010.0Consulta JOINImplementación exitosa de INNER JOIN con salida visible y formateada.15.015.0Documentación y FormatoUso de comentarios, Markdown y entrega en .ipynb.5.05.0TOTAL50.050.0  Diego Mauricio Zuluaga RodríguezProfesor - Departamento de EconomíaUniversidad de La Sabana"/>
    <n v="50"/>
    <n v="50"/>
    <n v="1"/>
  </r>
  <r>
    <x v="11"/>
    <s v="Maria Jose"/>
    <s v="Botero Galviz"/>
    <s v="mariabotga@unisabana.edu.co"/>
    <x v="5"/>
    <d v="2026-04-01T00:00:00"/>
    <x v="2"/>
    <s v="Entregado"/>
    <s v="⚠️ Seguimiento de Autogestión: Tarea 2 - Normalización y Llaves SQLHola María José,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12"/>
    <s v="Maria Juliana"/>
    <s v="Mejia Quintero"/>
    <s v="mariamequ@unisabana.edu.co"/>
    <x v="5"/>
    <d v="2026-04-01T00:00:00"/>
    <x v="2"/>
    <s v="Entregado"/>
    <s v="⚠️ Seguimiento de Autogestión: Tarea 2 - Normalización y Llaves SQLHola María Juliana,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13"/>
    <s v="Alejandra"/>
    <s v="Leon Vargas"/>
    <s v="alejandraleva@unisabana.edu.co"/>
    <x v="5"/>
    <d v="2026-04-01T00:00:00"/>
    <x v="2"/>
    <s v="Entregado"/>
    <s v="🔗 Retroalimentación de la Entrega: Normalización y Llaves SQL Integrantes: Alejandra León Vargas, Sofia Giraldo Pico. Calificación Final: 48/50 (Equivalente a 4.8) ¡Hola, equipo! Espero que se encuentren muy bien. He revisado su entrega y quiero felicitarlas por el excelente nivel técnico que demostraron en la estructuración de esta base de datos relacional.La explicación que incluyeron en la celda de Markdown sobre la relación 1:N (Uno a Muchos) es muy clara y va directo al punto. Entender que la normalización nos salva de duplicar información y cometer errores de actualización es la base de una buena arquitectura de software.En cuanto al código, me pareció una decisión muy interesante y válida utilizar una base de datos en memoria (':memory:') para hacer sus pruebas. Es una excelente práctica para entornos de desarrollo rápido y demuestra que comprenden cómo funciona el motor de SQLite. Además, la implementación de executemany para insertar varios registros a la vez nos indica que están investigando y optimizando su código, ¡muy bien hecho!La consulta INNER JOIN está perfectamente redactada utilizando alias (p y pr), lo cual hace que el código SQL sea muy limpio, legible y profesional. Oportunidad de Mejora (Autogestión):El único detalle en su entrega es que guardaron el archivo .ipynb sin los resultados de ejecución (las celdas de salida o outputs están vacías). Como indicaban las instrucciones, el resultado de la consulta JOIN debía ser visible en la salida de la celda. Para futuros proyectos y parciales, recuerden siempre ejecutar todo el Notebook (Run All) y guardar el archivo con las salidas visibles antes de subirlo a Teams, ya que en la vida real, los clientes o jefes necesitan ver los resultados impresos en pantalla, no solo el código fuente.Sigan con esta misma motivación y curiosidad técnica. Tienen una lógica de programación muy estructurada que les será de gran utilidad para escalar su MVP en el Taller del Corte 2. ¡Excelente trabajo, sigan así!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la sintaxis correcta.15.015.0Documentación y FormatoEntrega en .ipynb. Penalización menor por no dejar las salidas (outputs) visibles tras la ejecución.5.03.0TOTAL50.048.0  Diego Mauricio Zuluaga RodríguezProfesor - Departamento de EconomíaUniversidad de La Sabana"/>
    <n v="48"/>
    <n v="50"/>
    <n v="0.96"/>
  </r>
  <r>
    <x v="14"/>
    <s v="Alessandro Di Mauro"/>
    <s v="Bonilla Correa"/>
    <s v="alessandroboco@unisabana.edu.co"/>
    <x v="5"/>
    <d v="2026-04-01T00:00:00"/>
    <x v="2"/>
    <s v="Entregado"/>
    <s v="⚠️ Seguimiento de Autogestión: Tarea 2 - Normalización y Llaves SQLHola Alessandro,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15"/>
    <s v="Arianne Mariana"/>
    <s v="Amorocho Quiroga"/>
    <s v="arianneamqu@unisabana.edu.co"/>
    <x v="5"/>
    <d v="2026-04-01T00:00:00"/>
    <x v="2"/>
    <s v="Entregado"/>
    <s v="🔗 Retroalimentación de la Entrega: Normalización y Llaves SQL Integrantes: Mariana Peña Rodríguez, Matías Mondragón Osorio, Arianne Mariana Amorocho Quiroga. Calificación Final: 50/50 (Equivalente a 5.0) ¡Hola, equipo! Es un gusto saludarlos. He revisado su entrega y quiero felicitarlos por la excelente calidad de su trabajo. Han logrado aterrizar conceptos complejos de arquitectura de datos en una solución práctica, limpia y profesional para nuestra &quot;Cafetería U. Sabana&quot;.Me pareció impecable su explicación en la celda de Markdown sobre la relación Uno a Muchos (1:N). Entender que un proveedor puede abastecer múltiples productos, pero que cada producto debe tener un origen rastreable, es la base de una buena gestión logística. Su justificación sobre la integridad referencial y la eliminación de la redundancia demuestra que tienen una visión clara de cómo se estructuran los datos en el mundo real para evitar errores administrativos.En la parte técnica, los felicito por no olvidar el comando PRAGMA foreign_keys = ON;. Es un detalle que a muchos se les escapa, pero que es vital para que SQLite realmente proteja las relaciones entre las tablas. Además, el uso de INSERT OR IGNORE fue una decisión muy inteligente de su parte (Autogestión), ya que permite ejecutar el código varias veces sin que el programa colapse por llaves primarias duplicadas.El resultado del INNER JOIN es exactamente lo que se solicitó. Ver en una sola tabla el nombre del producto junto al nombre de su proveedor es el &quot;momento de la verdad&quot; en las bases de datos relacionales, y ustedes lo lograron con una sintaxis SQL perfecta.Sigan con ese nivel de detalle y compromiso. Dominar las llaves y la normalización es lo que separa a un programador aficionado de un verdadero arquitecto de soluciones de datos. ¡Excelente trabajo y sigan así para el cierre del corte!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  Diego Mauricio Zuluaga RodríguezProfesor - Departamento de EconomíaUniversidad de La Sabana"/>
    <n v="50"/>
    <n v="50"/>
    <n v="1"/>
  </r>
  <r>
    <x v="16"/>
    <s v="Maria Juliana"/>
    <s v="Herrera Pulido"/>
    <s v="mariahepu@unisabana.edu.co"/>
    <x v="5"/>
    <d v="2026-04-01T00:00:00"/>
    <x v="2"/>
    <s v="Entregado"/>
    <s v="🔗 Retroalimentación de la Entrega: Normalización y Llaves SQL Integrantes: María Juliana Herrera Pulido, Mariana Carmona Romero. Calificación Final: 50/50 (Equivalente a 5.0) ¡Hola, equipo! He revisado su trabajo y quiero felicitarlas por la excelente ejecución. Han logrado implementar uno de los conceptos más importantes de la arquitectura de bases de datos: la relación entre tablas.Me gustó mucho cómo estructuraron su Notebook, separando cada paso con celdas de Markdown. Esto no solo hace que el código sea más fácil de leer, sino que demuestra una gran capacidad de organización y autogestión. Su explicación del diseño lógico fue clara y precisa, demostrando que entienden perfectamente por qué la normalización es crucial para evitar la redundancia y mantener la integridad de los datos.En la parte técnica, el código es impecable. Recordaron activar el soporte para llaves foráneas con PRAGMA, crearon las tablas con la estructura correcta y utilizaron parámetros seguros (?) para la inserción de datos, lo cual es una práctica de seguridad fundamental.Finalmente, su consulta INNER JOIN es perfecta. Lograron cruzar la información de ambas tablas y presentar un reporte que demuestra el poder de las bases de datos relacionales para reconstruir la información de negocio.Sigan con este nivel de dedicación y atención al detalle. Dominar la arquitectura de datos es una habilidad muy valiosa en el mercado laboral, y ustedes están en el camino correcto para convertirse en profesionales muy competentes.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celdas Markdown y entrega en .ipynb.5.05.0TOTAL50.050.0  Diego Mauricio Zuluaga RodríguezProfesor - Departamento de EconomíaUniversidad de La Sabana"/>
    <n v="50"/>
    <n v="50"/>
    <n v="1"/>
  </r>
  <r>
    <x v="17"/>
    <s v="Simon Gustavo"/>
    <s v="Restrepo Alvarez"/>
    <s v="simonreal@unisabana.edu.co"/>
    <x v="5"/>
    <d v="2026-04-01T00:00:00"/>
    <x v="2"/>
    <s v="Entregado"/>
    <s v="🔗 Retroalimentación de la Entrega: Normalización y Llaves SQL Integrantes: Simón Gustavo Restrepo Alvarez, Mateo Pérez Daza, Diego Alejandro Hermida Limas. Calificación Final: 50/50 (Equivalente a 5.0) ¡Hola, equipo! He revisado su trabajo y quiero felicitarlos por la excelente ejecución. Han logrado implementar un modelo de datos relacional que es limpio, eficiente y sigue todas las buenas prácticas que hemos discutido en clase.Me gustó mucho cómo en su celda de Markdown fueron directamente al grano, explicando la relación 1:N y justificando el uso de la llave foránea para evitar la redundancia. Esa capacidad de síntesis es muy valiosa en el mundo profesional.Técnicamente, el código es impecable. El uso de DROP TABLE IF EXISTS es una excelente práctica para asegurar que su script se pueda ejecutar múltiples veces sin generar errores, lo cual demuestra un pensamiento de &quot;Sanity Check&quot; muy avanzado. Además, no olvidaron el PRAGMA foreign_keys = ON;, que es el seguro de vida para la integridad de los datos.La inserción de datos usando los parámetros seguros (?) y la consulta final con INNER JOIN son perfectas. El resultado demuestra que entendieron cómo reconstruir la información que estaba separada en dos tablas distintas, que es la esencia de las bases de datos relacionales.Sigan con ese nivel de precisión y enfoque en la calidad del código. Están construyendo una base muy sólida para el Taller del Corte 2 y para cualquier proyecto de datos que enfrenten en el futuro.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  Diego Mauricio Zuluaga RodríguezProfesor - Departamento de EconomíaUniversidad de La Sabana"/>
    <n v="50"/>
    <n v="50"/>
    <n v="1"/>
  </r>
  <r>
    <x v="18"/>
    <s v="Daniel Felipe"/>
    <s v="Camacho Pedraza"/>
    <s v="danielcampe@unisabana.edu.co"/>
    <x v="5"/>
    <d v="2026-04-01T00:00:00"/>
    <x v="2"/>
    <s v="Entregado"/>
    <s v="🔗 Retroalimentación de la Entrega: Normalización y Llaves SQL Integrantes: Samuel David Simancas Contreras, Juan Sebastián Perdomo Herrera, Daniel Felipe Camacho Pedraza. Calificación Final: 45/50 (Equivalente a 4.5) ¡Hola, equipo! He revisado su entrega y quiero felicitarlos por el esfuerzo y la lógica aplicada. Han logrado construir un modelo de datos relacional funcional, demostrando que comprenden los conceptos de Llaves Primarias, Foráneas y la importancia de la normalización para evitar la redundancia de datos.La explicación sobre la relación Uno a Muchos (1:N) es correcta y precisa. En la parte técnica, la creación de las tablas, la inserción de datos usando parámetros seguros (?) y la consulta INNER JOIN son impecables. El resultado final es exactamente el esperado y demuestra que las tablas están correctamente relacionadas.Sin embargo, hay dos detalles importantes de Autogestión y buenas prácticas que debemos corregir para futuros proyectos. Primero, la explicación lógica inicial la incluyeron en una celda de código comentada, cuando el requerimiento era usar una celda de Markdown para separar claramente el diseño del código. Segundo, y más crítico, no incluyeron el comando PRAGMA foreign_keys = ON; al inicio de la conexión. Aunque su código funciona, sin este comando, SQLite no valida activamente las relaciones, lo que podría permitir insertar un producto con un NIT de proveedor que no existe, rompiendo la integridad de los datos.A pesar de estos detalles, el trabajo es muy sólido y demuestra un gran avance. ¡Sigan así, prestando atención a estos pequeños pero importantes detalles, y tendrán un excelente resultado en el Taller del Corte 2! Rúbrica de CalificaciónCriterio de EvaluaciónRequisito TécnicoPuntaje MáximoPuntaje ObtenidoDiseño LógicoExplicación correcta de la relación 1:N.10.010.0Creación de TablasUso correcto de PK y FK con la estructura solicitada.10.010.0Inserción y Sanity CheckDatos coherentes insertados respetando la jerarquía de tablas.10.010.0Consulta JOINImplementación exitosa de INNER JOIN con salida visible.15.015.0Documentación y FormatoNo se usó Markdown para el diseño y faltó el comando PRAGMA.5.00.0TOTAL50.045.0  Diego Mauricio Zuluaga RodríguezProfesor - Departamento de EconomíaUniversidad de La Sabana"/>
    <n v="45"/>
    <n v="50"/>
    <n v="0.9"/>
  </r>
  <r>
    <x v="19"/>
    <s v="Mateo"/>
    <s v="Perez Daza"/>
    <s v="mateopeda@unisabana.edu.co"/>
    <x v="5"/>
    <d v="2026-04-01T00:00:00"/>
    <x v="2"/>
    <s v="Entregado"/>
    <s v="🔗 Retroalimentación de la Entrega: Normalización y Llaves SQLIntegrantes: Simón Gustavo Restrepo Alvarez, Mateo Pérez Daza, Diego Alejandro Hermida Limas.Calificación Final: 30/50 (Equivalente a 3.0 - Se restan 20 puntos por entregar 5 días tarde)¡Hola, equipo! He revisado su trabajo y quiero felicitarlos por la excelente ejecución. Han logrado implementar un modelo de datos relacional que es limpio, eficiente y sigue todas las buenas prácticas que hemos discutido en clase.Me gustó mucho cómo en su celda de Markdown fueron directamente al grano, explicando la relación 1:N y justificando el uso de la llave foránea para evitar la redundancia. Esa capacidad de síntesis es muy valiosa en el mundo profesional.Técnicamente, el código es impecable. El uso de DROP TABLE IF EXISTS es una excelente práctica para asegurar que su script se pueda ejecutar múltiples veces sin generar errores, lo cual demuestra un pensamiento de &quot;Sanity Check&quot; muy avanzado. Además, no olvidaron el PRAGMA foreign_keys = ON;, que es el seguro de vida para la integridad de los datos.La inserción de datos usando los parámetros seguros (?) y la consulta final con INNER JOIN son perfectas. El resultado demuestra que entendieron cómo reconstruir la información que estaba separada en dos tablas distintas, que es la esencia de las bases de datos relacionales.Sigan con ese nivel de precisión y enfoque en la calidad del código. Están construyendo una base muy sólida para el Taller del Corte 2 y para cualquier proyecto de datos que enfrenten en el futuro. ¡Excelente trabajo!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30.0Diego Mauricio Zuluaga RodríguezProfesor - Departamento de EconomíaUniversidad de La Sabana"/>
    <n v="30"/>
    <n v="50"/>
    <n v="0.6"/>
  </r>
  <r>
    <x v="20"/>
    <s v="Matias"/>
    <s v="Mondragon Osorio"/>
    <s v="matiasmoos@unisabana.edu.co"/>
    <x v="5"/>
    <d v="2026-04-01T00:00:00"/>
    <x v="2"/>
    <s v="Entregado"/>
    <s v="🔗 Retroalimentación de la Entrega: Normalización y Llaves SQLIntegrantes: Mariana Peña Rodríguez, Matías Mondragón Osorio, Arianne Mariana Amorocho Quiroga.Calificación Final: 40/50 (Equivalente a 4.0 - Se restan 10 unidades por el retraso de 2 días en la entrega)¡Hola, equipo! Es un gusto saludarlos. He revisado su entrega y quiero felicitarlos por la excelente calidad de su trabajo. Han logrado aterrizar conceptos complejos de arquitectura de datos en una solución práctica, limpia y profesional para nuestra &quot;Cafetería U. Sabana&quot;.Me pareció impecable su explicación en la celda de Markdown sobre la relación Uno a Muchos (1:N). Entender que un proveedor puede abastecer múltiples productos, pero que cada producto debe tener un origen rastreable, es la base de una buena gestión logística. Su justificación sobre la integridad referencial y la eliminación de la redundancia demuestra que tienen una visión clara de cómo se estructuran los datos en el mundo real para evitar errores administrativos.En la parte técnica, los felicito por no olvidar el comando PRAGMA foreign_keys = ON;. Es un detalle que a muchos se les escapa, pero que es vital para que SQLite realmente proteja las relaciones entre las tablas. Además, el uso de INSERT OR IGNORE fue una decisión muy inteligente de su parte (Autogestión), ya que permite ejecutar el código varias veces sin que el programa colapse por llaves primarias duplicadas.El resultado del INNER JOIN es exactamente lo que se solicitó. Ver en una sola tabla el nombre del producto junto al nombre de su proveedor es el &quot;momento de la verdad&quot; en las bases de datos relacionales, y ustedes lo lograron con una sintaxis SQL perfecta.Sigan con ese nivel de detalle y compromiso. Dominar las llaves y la normalización es lo que separa a un programador aficionado de un verdadero arquitecto de soluciones de datos. ¡Excelente trabajo y sigan así para el cierre del corte!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Diego Mauricio Zuluaga RodríguezProfesor - Departamento de EconomíaUniversidad de La Sabana"/>
    <n v="50"/>
    <n v="50"/>
    <n v="1"/>
  </r>
  <r>
    <x v="21"/>
    <s v="Juan David"/>
    <s v="Neuta Medina"/>
    <s v="juanneme@unisabana.edu.co"/>
    <x v="5"/>
    <d v="2026-04-01T00:00:00"/>
    <x v="2"/>
    <s v="Entregado"/>
    <s v="🔗 Retroalimentación de la Entrega: Normalización y Llaves SQLIntegrantes: Juan David Neuta Medina, Laura Fernanda López Parra, José Daniel Escobar Hurtado.Calificación Final: 50/50 (Equivalente a 5.0)¡Hola, equipo! He revisado su entrega y quiero felicitarlos por el altísimo nivel de profesionalismo y detalle técnico que han demostrado. Este es, sin duda, un trabajo de calidad excepcional que va más allá de lo solicitado.Su explicación en la celda de Markdown sobre la relación 1:N y la justificación de la Llave Foránea es de nivel universitario avanzado. La tabla comparativa que crearon para explicar los problemas de redundancia e inconsistencia es una herramienta pedagógica brillante que demuestra una comprensión profunda de la arquitectura de datos.En la parte técnica, el código es impecable. No solo cumplieron con todos los requisitos, sino que agregaron valor en cada paso:Sanity Check Proactivo: El bloque try-except para demostrar que la restricción de Llave Foránea realmente funciona es una prueba de concepto excelente. Demuestra que no solo escriben código, sino que auditan su comportamiento.Eficiencia en la Inserción: El uso de executemany para insertar los datos en bloque es la forma correcta y más eficiente de poblar una base de datos.Presentación de Datos: La consulta JOIN es perfecta, pero la forma en que formatearon la salida en consola para que se vea como una tabla real (usando f-strings y .ljust()) es un detalle de UX que marca la diferencia.Sigan con este nivel de excelencia. Han demostrado que no solo son capaces de programar, sino de diseñar, documentar y auditar sistemas de datos complejos. Este es el perfil exacto que buscan las empresas líderes en el sector. ¡Felicitaciones por un trabajo sobresaliente!Rúbrica de CalificaciónCriterio de EvaluaciónRequisito TécnicoPuntaje MáximoPuntaje ObtenidoDiseño LógicoExplicación detallada de la relación 1:N y justificación de la normalización.10.010.0Creación de TablasUso correcto de PK y FK con la estructura solicitada.10.010.0Inserción y Sanity CheckDatos coherentes insertados y prueba de la restricción de FK.10.010.0Consulta JOINImplementación exitosa de INNER JOIN con salida visible y formateada.15.015.0Documentación y FormatoUso de comentarios, Markdown y entrega en .ipynb.5.05.0TOTAL50.050.0Diego Mauricio Zuluaga RodríguezProfesor - Departamento de EconomíaUniversidad de La Sabana"/>
    <n v="50"/>
    <n v="50"/>
    <n v="1"/>
  </r>
  <r>
    <x v="22"/>
    <s v="Laura Fernanda"/>
    <s v="Lopez Parra"/>
    <s v="lauraloppa@unisabana.edu.co"/>
    <x v="5"/>
    <d v="2026-04-01T00:00:00"/>
    <x v="2"/>
    <s v="Entregado"/>
    <s v="🔗 Retroalimentación de la Entrega: Normalización y Llaves SQLIntegrantes: Juan David Neuta Medina, Laura Fernanda López Parra, José Daniel Escobar Hurtado.Calificación Final: 50/50 (Equivalente a 5.0)¡Hola, equipo! He revisado su entrega y quiero felicitarlos por el altísimo nivel de profesionalismo y detalle técnico que han demostrado. Este es, sin duda, un trabajo de calidad excepcional que va más allá de lo solicitado.Su explicación en la celda de Markdown sobre la relación 1:N y la justificación de la Llave Foránea es de nivel universitario avanzado. La tabla comparativa que crearon para explicar los problemas de redundancia e inconsistencia es una herramienta pedagógica brillante que demuestra una comprensión profunda de la arquitectura de datos.En la parte técnica, el código es impecable. No solo cumplieron con todos los requisitos, sino que agregaron valor en cada paso:Sanity Check Proactivo: El bloque try-except para demostrar que la restricción de Llave Foránea realmente funciona es una prueba de concepto excelente. Demuestra que no solo escriben código, sino que auditan su comportamiento.Eficiencia en la Inserción: El uso de executemany para insertar los datos en bloque es la forma correcta y más eficiente de poblar una base de datos.Presentación de Datos: La consulta JOIN es perfecta, pero la forma en que formatearon la salida en consola para que se vea como una tabla real (usando f-strings y .ljust()) es un detalle de UX que marca la diferencia.Sigan con este nivel de excelencia. Han demostrado que no solo son capaces de programar, sino de diseñar, documentar y auditar sistemas de datos complejos. Este es el perfil exacto que buscan las empresas líderes en el sector. ¡Felicitaciones por un trabajo sobresaliente!Rúbrica de CalificaciónCriterio de EvaluaciónRequisito TécnicoPuntaje MáximoPuntaje ObtenidoDiseño LógicoExplicación detallada de la relación 1:N y justificación de la normalización.10.010.0Creación de TablasUso correcto de PK y FK con la estructura solicitada.10.010.0Inserción y Sanity CheckDatos coherentes insertados y prueba de la restricción de FK.10.010.0Consulta JOINImplementación exitosa de INNER JOIN con salida visible y formateada.15.015.0Documentación y FormatoUso de comentarios, Markdown y entrega en .ipynb.5.05.0TOTAL50.050.0Diego Mauricio Zuluaga RodríguezProfesor - Departamento de EconomíaUniversidad de La Sabana"/>
    <n v="50"/>
    <n v="50"/>
    <n v="1"/>
  </r>
  <r>
    <x v="23"/>
    <s v="Lukas"/>
    <s v="Blanco Llanes"/>
    <s v="lukasblll@unisabana.edu.co"/>
    <x v="5"/>
    <d v="2026-04-01T00:00:00"/>
    <x v="2"/>
    <s v="Entregado"/>
    <s v="🔗 Retroalimentación de la Entrega: Normalización y Llaves SQL Integrantes: Juan Sebastian Salas Hinojosa, Alan David Rossoff Vanegas, Lukas Blanco Llanes. Calificación Final: 50/50 (Equivalente a 5.0) ¡Hola, equipo! Es un verdadero gusto revisar una entrega de este nivel. Han superado con creces las expectativas de la tarea, transformando un ejercicio de bases de datos en una aplicación funcional, interactiva y profesional. Se nota un esfuerzo excepcional y una coordinación de equipo impecable.Lo primero que quiero destacar es la Arquitectura del Sistema. Su documentación en Markdown, incluyendo el diagrama de relaciones y las tablas de entidades, es de nivel profesional. Han comprendido perfectamente la importancia de la normalización y cómo las Llaves Primarias (PK) y Foráneas (FK) actúan como el pegamento que mantiene la integridad de los datos en la &quot;Cafetería U. Sabana&quot;.En el apartado técnico, la implementación de la interfaz visual mediante ipywidgets es brillante. No solo cumplieron con el CRUD en SQL, sino que crearon formularios y botones que facilitan la interacción con el usuario, lo cual es un valor agregado inmenso. Además, el uso de pandas para visualizar las tablas y el panel de resumen estadístico demuestra que ya están pensando como analistas de datos reales.La seguridad fue otro punto fuerte. Es excelente ver que incluyeron una sección dedicada a la prevención de inyección SQL mediante el uso de parámetros ?. En el mundo laboral, un código que funciona pero es inseguro no sirve; ustedes han demostrado que pueden construir soluciones robustas y protegidas desde el diseño.Finalmente, la lógica de sus consultas JOIN y el manejo de la integridad referencial con PRAGMA foreign_keys = ON fue impecable. Han dejado el sistema listo para ser escalado. Sigan con esa curiosidad técnica y ese rigor; tienen un potencial enorme para liderar proyectos de desarrollo y analítica de alta complejidad. ¡Felicitaciones! Rúbrica de CalificaciónCriterio de EvaluaciónRequisito TécnicoPuntaje MáximoPuntaje ObtenidoDiseño LógicoExplicación de relaciones, arquitectura y normalización en Markdown.10.010.0Creación de TablasUso perfecto de PK y FK con restricciones (CHECK, UNIQUE, NOT NULL).10.010.0Operaciones CRUDImplementación funcional y visual de las 4 operaciones para todos los módulos.10.010.0Consulta JOIN y AnálisisUso exitoso de JOINs y generación de métricas/resumen del sistema.15.015.0Seguridad y FormatoPrevención de inyección SQL, documentación exhaustiva y uso de .ipynb.5.05.0TOTAL50.050.0  Diego Mauricio Zuluaga RodríguezProfesor - Departamento de EconomíaUniversidad de La Sabana"/>
    <n v="50"/>
    <n v="50"/>
    <n v="1"/>
  </r>
  <r>
    <x v="24"/>
    <s v="Juan Sebastian"/>
    <s v="Salas Hinojosa"/>
    <s v="juansahi@unisabana.edu.co"/>
    <x v="5"/>
    <d v="2026-04-01T00:00:00"/>
    <x v="2"/>
    <s v="Entregado"/>
    <s v="🔗 Retroalimentación de la Entrega: Normalización y Llaves SQLIntegrantes: Juan Sebastian Salas Hinojosa, Alan David Rossoff Vanegas, Lukas Blanco Llanes.Calificación Final: 50/50 (Equivalente a 5.0)¡Hola, equipo! Es un verdadero gusto revisar una entrega de este nivel. Han superado con creces las expectativas de la tarea, transformando un ejercicio de bases de datos en una aplicación funcional, interactiva y profesional. Se nota un esfuerzo excepcional y una coordinación de equipo impecable.Lo primero que quiero destacar es la Arquitectura del Sistema. Su documentación en Markdown, incluyendo el diagrama de relaciones y las tablas de entidades, es de nivel profesional. Han comprendido perfectamente la importancia de la normalización y cómo las Llaves Primarias (PK) y Foráneas (FK) actúan como el pegamento que mantiene la integridad de los datos en la &quot;Cafetería U. Sabana&quot;.En el apartado técnico, la implementación de la interfaz visual mediante ipywidgets es brillante. No solo cumplieron con el CRUD en SQL, sino que crearon formularios y botones que facilitan la interacción con el usuario, lo cual es un valor agregado inmenso. Además, el uso de pandas para visualizar las tablas y el panel de resumen estadístico demuestra que ya están pensando como analistas de datos reales.La seguridad fue otro punto fuerte. Es excelente ver que incluyeron una sección dedicada a la prevención de inyección SQL mediante el uso de parámetros ?. En el mundo laboral, un código que funciona pero es inseguro no sirve; ustedes han demostrado que pueden construir soluciones robustas y protegidas desde el diseño.Finalmente, la lógica de sus consultas JOIN y el manejo de la integridad referencial con PRAGMA foreign_keys = ON fue impecable. Han dejado el sistema listo para ser escalado. Sigan con esa curiosidad técnica y ese rigor; tienen un potencial enorme para liderar proyectos de desarrollo y analítica de alta complejidad. ¡Felicitaciones!Rúbrica de CalificaciónCriterio de EvaluaciónRequisito TécnicoPuntaje MáximoPuntaje ObtenidoDiseño LógicoExplicación de relaciones, arquitectura y normalización en Markdown.10.010.0Creación de TablasUso perfecto de PK y FK con restricciones (CHECK, UNIQUE, NOT NULL).10.010.0Operaciones CRUDImplementación funcional y visual de las 4 operaciones para todos los módulos.10.010.0Consulta JOIN y AnálisisUso exitoso de JOINs y generación de métricas/resumen del sistema.15.015.0Seguridad y FormatoPrevención de inyección SQL, documentación exhaustiva y uso de .ipynb.5.05.0TOTAL50.050.0Diego Mauricio Zuluaga RodríguezProfesor - Departamento de EconomíaUniversidad de La Sabana"/>
    <n v="50"/>
    <n v="50"/>
    <n v="1"/>
  </r>
  <r>
    <x v="25"/>
    <s v="Avril Avril"/>
    <s v="Ariza Quitian"/>
    <s v="avrilarqu@unisabana.edu.co"/>
    <x v="5"/>
    <d v="2026-04-01T00:00:00"/>
    <x v="2"/>
    <s v="Entregado"/>
    <s v="Retroalimentación de la Entrega: Normalización y Llaves SQL Integrantes: Samantha Vanegas Russi, Avril Ariza Quitian. Calificación Final: 28/50 (Equivalente a 2.8) ¡Hola,_x000a_ equipo! Espero que se encuentren muy bien. He revisado su entrega y _x000a_quiero compartirles mis comentarios. Tienen una base conceptual _x000a_excelente, pero tuvimos un par de tropiezos técnicos en la ejecución y _x000a_en la gestión del tiempo que impactaron el resultado final.Primero,_x000a_ quiero destacar lo positivo: su diseño lógico en la celda de Markdown _x000a_es impecable. Explicaron con total claridad por qué la relación es 1:N y_x000a_ justificaron perfectamente el uso de la Llave Foránea para evitar _x000a_redundancia y mantener la integridad referencial. Se nota que entienden _x000a_el &quot;porqué&quot; detrás de la arquitectura de datos, lo cual es la habilidad _x000a_más importante de un CTO.Sin_x000a_ embargo, al momento de ejecutar el código, se presentaron dos errores _x000a_(Sanity Checks) que debemos corregir para el futuro. En la celda de _x000a_inserción de datos, obtuvieron un IntegrityError: UNIQUE constraint failed: proveedores.nit._x000a_ Esto ocurre porque ejecutaron la celda más de una vez y, como el NIT es_x000a_ una Llave Primaria única, SQLite bloquea el intento de crear el mismo _x000a_proveedor dos veces. Para evitar esto, recuerden usar INSERT OR IGNORE o agregar un DROP TABLE IF EXISTS proveedores al inicio de su script.El segundo error ocurrió en la celda de la consulta JOIN. Escribieron la sintaxis SQL del INNER JOIN de manera perfecta, pero incluyeron un import pandas as pd_x000a_ al inicio de la celda. Como no tenían la librería instalada en ese _x000a_entorno (o no era necesaria para este ejercicio nativo de SQLite), el _x000a_programa colapsó con un ModuleNotFoundError_x000a_ y no pudimos ver el resultado impreso del JOIN, lo cual era un _x000a_requisito de la rúbrica. En la vida real, un import innecesario puede _x000a_detener todo un reporte de producción.Finalmente,_x000a_ debo aplicar la regla de Autogestión del curso. La tarea fue entregada _x000a_el miércoles 8 de abril a las 4:30 p.m., superando la fecha límite _x000a_establecida. Por este motivo, el sistema aplica una penalización de -15 _x000a_puntos sobre la nota obtenida. Recuerden que el cumplimiento de los _x000a_cronogramas es tan importante como el código mismo.Tienen_x000a_ todo el potencial y la lógica necesaria para dominar las bases de _x000a_datos. Tomen estos errores como un gran aprendizaje para blindar su _x000a_código en el Taller del Corte 2. ¡Mucho ánimo y a seguir practicand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insertados, pero con error de ejecución (IntegrityError) por duplicidad de PK.10.08.0Consulta JOINSintaxis SQL correcta, pero salida no visible por error de importación (ModuleNotFoundError).15.010.0Documentación y FormatoUso de comentarios y entrega en .ipynb.5.05.0Penalización por RetrasoEntrega extemporánea (Miércoles 8 de abril, 4:30 p.m.).-15.0-15.0TOTAL50.028.0  Diego Mauricio Zuluaga RodríguezProfesor - Departamento de EconomíaUniversidad de La Sabana"/>
    <n v="28"/>
    <n v="50"/>
    <n v="0.56000000000000005"/>
  </r>
  <r>
    <x v="26"/>
    <s v="Samuel David"/>
    <s v="Simancas Contreras"/>
    <s v="samuelsico@unisabana.edu.co"/>
    <x v="5"/>
    <d v="2026-04-01T00:00:00"/>
    <x v="2"/>
    <s v="Entregado"/>
    <s v="⚠️ Seguimiento de Autogestión: Tarea 2 - Normalización y Llaves SQLHola Samuel,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27"/>
    <s v="Maria Jose"/>
    <s v="Huertas Osorio"/>
    <s v="mariahueos@unisabana.edu.co"/>
    <x v="5"/>
    <d v="2026-04-01T00:00:00"/>
    <x v="2"/>
    <s v="Entregado"/>
    <s v="⚠️ Seguimiento de Autogestión: Tarea 2 - Normalización y Llaves SQLHola María José,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28"/>
    <s v="Juan Camilo"/>
    <s v="Leyton Lancheros"/>
    <s v="juanleyla@unisabana.edu.co"/>
    <x v="5"/>
    <d v="2026-04-01T00:00:00"/>
    <x v="2"/>
    <s v="Entregado"/>
    <s v="⚠️ Seguimiento de Autogestión: Tarea 2 - Normalización y Llaves SQLHola Juan Camilo,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29"/>
    <s v="Samuel Mathias"/>
    <s v="Gonzalez Bernal"/>
    <s v="samuelgonbe@unisabana.edu.co"/>
    <x v="5"/>
    <d v="2026-04-01T00:00:00"/>
    <x v="2"/>
    <s v="Entregado"/>
    <s v="🔗 Retroalimentación de la Entrega: Normalización y Llaves SQL Integrantes: Sebastián Vanoy Gutiérrez, Samuel David Lozano Holguín, Samuel Mathias González Bernal. Calificación Final: 50/50 (Equivalente a 5.0) ¡Hola, equipo! He revisado su entrega y quiero felicitarlos por el nivel de profundidad y profesionalismo que han demostrado. Este es, sin duda, un trabajo de calidad excepcional que va más allá de simplemente cumplir con los requisitos.Su explicación en la celda de Markdown sobre la relación 1:N y las anomalías de actualización, inserción y eliminación es digna de un libro de texto de bases de datos. Entender por qué se normaliza es mucho más importante que saber cómo hacerlo, y ustedes lo han capturado a la perfección.En la parte técnica, su código es impecable. El uso de executemany para insertar los datos en bloque es una práctica eficiente y profesional. La sintaxis del INNER JOIN, utilizando alias (p para productos y v para proveedores), demuestra que están adoptando las convenciones estándar de SQL para escribir consultas limpias y legibles.Finalmente, la presentación del resultado de la consulta JOIN es sobresaliente. Tomarse el tiempo de formatear los encabezados y alinear las columnas con f-strings (f&quot;{nombre:&amp;lt;20}&quot;) es un detalle de calidad que marca la diferencia entre un simple script y un reporte profesional listo para ser presentado a un gerente.Sigan con este nivel de excelencia. Han demostrado una capacidad de autogestión y un rigor técnico que los prepara no solo para el Taller del Corte 2, sino para enfrentar proyectos de datos en el mundo real. ¡Felicitaciones por este gran trabajo! Rúbrica de CalificaciónCriterio de EvaluaciónRequisito TécnicoPuntaje MáximoPuntaje ObtenidoDiseño LógicoExplicación detallada de la relación 1:N, anomalías y justificación de la FK en Markdown.10.010.0Creación de TablasUso correcto de PK y FK con la estructura solicitada.10.010.0Inserción y Sanity CheckDatos coherentes insertados respetando la jerarquía de tablas.10.010.0Consulta JOINImplementación exitosa de INNER JOIN con salida visible y formato profesional.15.015.0Documentación y FormatoUso de comentarios, celdas Markdown y entrega en .ipynb.5.05.0TOTAL50.050.0  Diego Mauricio Zuluaga RodríguezProfesor - Departamento de EconomíaUniversidad de La Sabana"/>
    <n v="50"/>
    <n v="50"/>
    <n v="1"/>
  </r>
  <r>
    <x v="30"/>
    <s v="Valeria"/>
    <s v="Morales"/>
    <s v="valeriamor@unisabana.edu.co"/>
    <x v="5"/>
    <d v="2026-04-01T00:00:00"/>
    <x v="2"/>
    <s v="Entregado"/>
    <s v="🔗 Retroalimentación de la Entrega: Normalización y Llaves SQLIntegrantes: Valeria Morales, Isabella Carranza Tapiero, Paula Andrea Arciniegas Cárdenas.Calificación Final: 50/50 (Equivalente a 5.0)¡Hola, equipo! Qué gusto saludarlas. He revisado detalladamente su entrega y quiero felicitarlas porque han presentado un trabajo de altísimo nivel. Se nota que no solo se limitaron a seguir las instrucciones, sino que realmente comprendieron la arquitectura detrás de una base de datos relacional profesional.Me pareció excelente la introducción en Markdown donde explican la relación Uno a Muchos (1:N). La claridad con la que justifican el uso de llaves foráneas para evitar la redundancia y garantizar la integridad referencial es impecable. Ese es el tipo de pensamiento analítico que buscamos en la EICEA: entender el &quot;porqué&quot; antes del &quot;cómo&quot;.En la parte técnica, quiero destacar tres puntos que elevaron la calidad de su tarea. Primero, la activación del PRAGMA foreign_keys = ON;, un paso que suele olvidarse pero que es vital. Segundo, el uso de executemany para insertar datos, lo cual es una práctica de optimización muy valiosa. Y tercero, mi parte favorita: el ejercicio de validación con try-except. Intentar insertar un proveedor inexistente para forzar el error y comprobar que la base de datos está &quot;blindada&quot; es una muestra de Autogestión y curiosidad técnica excepcional.El resultado del INNER JOIN es perfecto. Lograron cruzar las tablas de forma limpia y la presentación de la lista de productos en la consola es muy legible y profesional. Han construido una base sólida para el sistema de la cafetería, asegurando que los datos tengan &quot;memoria&quot; y estructura a largo plazo.Sigan con esa rigurosidad y atención al detalle. Están demostrando habilidades de arquitectura de datos que les serán de gran utilidad en el Taller del Corte 2 y en su vida profesional. ¡Excelente trabajo y disfruten su merecido descanso!Rúbrica de CalificaciónCriterio de EvaluaciónRequisito TécnicoPuntaje MáximoPuntaje ObtenidoDiseño LógicoExplicación clara de la relación 1:N e integridad referencial en Markdown.10.010.0Creación de TablasUso correcto de PK y FK con la estructura solicitada y activación de PRAGMA.10.010.0Inserción y Sanity CheckDatos coherentes e implementación de prueba de error con try-except.10.010.0Consulta JOINImplementación exitosa de INNER JOIN con salida formateada y clara.15.015.0Documentación y FormatoUso de comentarios, estructura organizada y entrega en formato .ipynb.5.05.0TOTAL50.050.0Diego Mauricio Zuluaga RodríguezProfesor - Departamento de EconomíaUniversidad de La Sabana"/>
    <n v="50"/>
    <n v="50"/>
    <n v="1"/>
  </r>
  <r>
    <x v="31"/>
    <s v="Samantha"/>
    <s v="Vanegas Russi"/>
    <s v="samanthavaru@unisabana.edu.co"/>
    <x v="5"/>
    <d v="2026-04-01T00:00:00"/>
    <x v="2"/>
    <s v="Entregado"/>
    <s v="Retroalimentación de la Entrega: Normalización y Llaves SQLIntegrantes: Samantha Vanegas Russi, Avril Ariza Quitian.Calificación Final: 28/50 (Equivalente a 2.8)¡Hola, equipo! Espero que se encuentren muy bien. He revisado su entrega y quiero compartirles mis comentarios. Tienen una base conceptual excelente, pero tuvimos un par de tropiezos técnicos en la ejecución y en la gestión del tiempo que impactaron el resultado final.Primero, quiero destacar lo positivo: su diseño lógico en la celda de Markdown es impecable. Explicaron con total claridad por qué la relación es 1:N y justificaron perfectamente el uso de la Llave Foránea para evitar redundancia y mantener la integridad referencial. Se nota que entienden el &quot;porqué&quot; detrás de la arquitectura de datos, lo cual es la habilidad más importante de un CTO.Sin embargo, al momento de ejecutar el código, se presentaron dos errores (Sanity Checks) que debemos corregir para el futuro. En la celda de inserción de datos, obtuvieron un IntegrityError: UNIQUE constraint failed: proveedores.nit. Esto ocurre porque ejecutaron la celda más de una vez y, como el NIT es una Llave Primaria única, SQLite bloquea el intento de crear el mismo proveedor dos veces. Para evitar esto, recuerden usar INSERT OR IGNORE o agregar un DROP TABLE IF EXISTS proveedores al inicio de su script.El segundo error ocurrió en la celda de la consulta JOIN. Escribieron la sintaxis SQL del INNER JOIN de manera perfecta, pero incluyeron un import pandas as pd al inicio de la celda. Como no tenían la librería instalada en ese entorno (o no era necesaria para este ejercicio nativo de SQLite), el programa colapsó con un ModuleNotFoundError y no pudimos ver el resultado impreso del JOIN, lo cual era un requisito de la rúbrica. En la vida real, un import innecesario puede detener todo un reporte de producción.Finalmente, debo aplicar la regla de Autogestión del curso. La tarea fue entregada el miércoles 8 de abril a las 4:30 p.m., superando la fecha límite establecida. Por este motivo, el sistema aplica una penalización de -15 puntos sobre la nota obtenida. Recuerden que el cumplimiento de los cronogramas es tan importante como el código mismo.Tienen todo el potencial y la lógica necesaria para dominar las bases de datos. Tomen estos errores como un gran aprendizaje para blindar su código en el Taller del Corte 2. ¡Mucho ánimo y a seguir practicando!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insertados, pero con error de ejecución (IntegrityError) por duplicidad de PK.10.08.0Consulta JOINSintaxis SQL correcta, pero salida no visible por error de importación (ModuleNotFoundError).15.010.0Documentación y FormatoUso de comentarios y entrega en .ipynb.5.05.0Penalización por RetrasoEntrega extemporánea (Miércoles 8 de abril, 4:30 p.m.).-15.0-15.0TOTAL50.028.0Diego Mauricio Zuluaga RodríguezProfesor - Departamento de EconomíaUniversidad de La Sabana"/>
    <n v="28"/>
    <n v="50"/>
    <n v="0.56000000000000005"/>
  </r>
  <r>
    <x v="32"/>
    <s v="Juan Jose"/>
    <s v="Caballero Mantilla"/>
    <s v="juancabma@unisabana.edu.co"/>
    <x v="5"/>
    <d v="2026-04-01T00:00:00"/>
    <x v="2"/>
    <s v="Entregado"/>
    <s v="🔗 Retroalimentación de la Entrega: Normalización y Llaves SQL Integrantes: Martin Martin Trujillo Rodriguez, Daniel Camilo Lopez Piraquive, Juan Jose Caballero Mantilla. Calificación Final: 50/50 (Equivalente a 5.0) ¡Hola, equipo! He revisado su entrega y quiero felicitarlos por el excelente trabajo técnico y la atención al detalle que demostraron. Han logrado implementar un modelo de datos relacional robusto, limpio y profesional.Me gustó mucho cómo abordaron la limpieza de la base de datos al inicio del script con DROP TABLE IF EXISTS. Es una estrategia de &quot;programación defensiva&quot; muy inteligente que asegura que su código se pueda ejecutar múltiples veces sin generar errores por tablas duplicadas. Esto demuestra que están pensando no solo en la solución, sino también en la mantenibilidad y las pruebas del sistema.Su diseño lógico en la celda de Markdown es claro y va directo al punto, justificando perfectamente la necesidad de la Llave Foránea para evitar la redundancia de datos. La implementación de executemany para insertar los datos en bloque es una optimización excelente que demuestra que están investigando más allá de lo visto en clase.Finalmente, el resultado de su consulta INNER JOIN es impecable. El uso de alias para las tablas (p y pr) y el formateo de la salida en una tabla bien alineada son detalles que marcan la diferencia y le dan un toque muy profesional a la presentación de los datos.Están construyendo una base técnica muy sólida que les será de gran utilidad no solo para el Taller del Corte 2, sino para su futuro profesional en el análisis de datos. ¡Sigan con esa curiosidad y rigor!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 y profesional.15.015.0Documentación y FormatoUso de comentarios, Markdown y entrega en .ipynb.5.05.0TOTAL50.050.0  Diego Mauricio Zuluaga RodríguezProfesor - Departamento de EconomíaUniversidad de La Sabana"/>
    <n v="50"/>
    <n v="50"/>
    <n v="1"/>
  </r>
  <r>
    <x v="33"/>
    <s v="Daniel Camilo"/>
    <s v="Lopez Piraquive"/>
    <s v="danielloppi@unisabana.edu.co"/>
    <x v="5"/>
    <d v="2026-04-01T00:00:00"/>
    <x v="2"/>
    <s v="Entregado"/>
    <s v="🔗 Retroalimentación de la Entrega: Normalización y Llaves SQLIntegrantes: Martin Martin Trujillo Rodriguez, Daniel Camilo Lopez Piraquive, Juan Jose Caballero Mantilla.Calificación Final: 50/50 (Equivalente a 5.0)¡Hola, equipo! He revisado su entrega y quiero felicitarlos por el excelente trabajo técnico y la atención al detalle que demostraron. Han logrado implementar un modelo de datos relacional robusto, limpio y profesional.Me gustó mucho cómo abordaron la limpieza de la base de datos al inicio del script con DROP TABLE IF EXISTS. Es una estrategia de &quot;programación defensiva&quot; muy inteligente que asegura que su código se pueda ejecutar múltiples veces sin generar errores por tablas duplicadas. Esto demuestra que están pensando no solo en la solución, sino también en la mantenibilidad y las pruebas del sistema.Su diseño lógico en la celda de Markdown es claro y va directo al punto, justificando perfectamente la necesidad de la Llave Foránea para evitar la redundancia de datos. La implementación de executemany para insertar los datos en bloque es una optimización excelente que demuestra que están investigando más allá de lo visto en clase.Finalmente, el resultado de su consulta INNER JOIN es impecable. El uso de alias para las tablas (p y pr) y el formateo de la salida en una tabla bien alineada son detalles que marcan la diferencia y le dan un toque muy profesional a la presentación de los datos.Están construyendo una base técnica muy sólida que les será de gran utilidad no solo para el Taller del Corte 2, sino para su futuro profesional en el análisis de datos. ¡Sigan con esa curiosidad y rigor!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 y profesional.15.015.0Documentación y FormatoUso de comentarios, Markdown y entrega en .ipynb.5.05.0TOTAL50.050.0Diego Mauricio Zuluaga RodríguezProfesor - Departamento de EconomíaUniversidad de La Sabana"/>
    <n v="50"/>
    <n v="50"/>
    <n v="1"/>
  </r>
  <r>
    <x v="34"/>
    <s v="Gabriela"/>
    <s v="Ruiz Perez"/>
    <s v="gabrielarupe@unisabana.edu.co"/>
    <x v="5"/>
    <d v="2026-04-01T00:00:00"/>
    <x v="2"/>
    <s v="Entregado"/>
    <s v="🔗 Retroalimentación de la Entrega: Normalización y Llaves SQL Integrantes: Gabriela Ruiz Perez, Maria Jose Huertas Osorio, Alessandro Di Mauro Bonilla Correa. Calificación Final: 50/50 (Equivalente a 5.0) ¡Hola, Gabriela, Maria Jose y Alessandro! Es un gusto saludarlos. He revisado detalladamente su entrega y quiero felicitarlos por el excelente trabajo que realizaron en este ejercicio de arquitectura de datos. Han logrado aplicar con precisión los conceptos de normalización que discutimos en clase, lo cual es fundamental para construir sistemas robustos.Me pareció muy acertada la explicación que incluyeron en su celda de Markdown. Identificaron correctamente la relación Uno a Muchos (1:N) entre proveedores y productos, y justificaron de manera clara por qué el uso de una llave foránea es la solución ideal para evitar la redundancia. Esta capacidad de análisis previo es lo que define a un buen arquitecto de software: entender el problema antes de escribir la primera línea de código.En la parte técnica, los felicito por no olvidar el comando PRAGMA foreign_keys = ON;. Como mencionamos en la sesión, SQLite requiere esta instrucción explícita para activar las restricciones de integridad, y ver que la incluyeron demuestra una gran atención al detalle. La estructura de sus tablas es impecable y el uso de AUTOINCREMENT en la tabla de productos es una excelente práctica para gestionar identificadores únicos sin errores manuales.El resultado de su consulta INNER JOIN es perfecto. Lograron cruzar la información de ambas tablas para presentar un reporte coherente donde se visualiza el producto junto a su proveedor responsable. Este es el &quot;corazón&quot; de las bases de datos relacionales y ustedes lo han dominado con éxito.Sigan con ese mismo entusiasmo y rigor técnico. Están construyendo una base muy sólida que les facilitará enormemente el desarrollo de su Taller del Corte 2. ¡Excelente trabajo de equipo y sigan así!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o Markdown y entrega en formato .ipynb.5.05.0TOTAL50.050.0Diego Mauricio Zuluaga RodríguezProfesor - Departamento de EconomíaUniversidad de La Sabana"/>
    <n v="50"/>
    <n v="50"/>
    <n v="1"/>
  </r>
  <r>
    <x v="35"/>
    <s v="Juan Sebastian"/>
    <s v="Perdomo Herrera"/>
    <s v="juanperhe@unisabana.edu.co"/>
    <x v="5"/>
    <d v="2026-04-01T00:00:00"/>
    <x v="2"/>
    <s v="Entregado"/>
    <s v="⚠️ Seguimiento de Autogestión: Tarea 2 - Normalización y Llaves SQLHola Juan Sebastían,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36"/>
    <s v="Martin Martin"/>
    <s v="Trujillo Rodriguez"/>
    <s v="martintrro@unisabana.edu.co"/>
    <x v="5"/>
    <d v="2026-04-01T00:00:00"/>
    <x v="2"/>
    <s v="Entregado"/>
    <s v="🔗 Retroalimentación de la Entrega: Normalización y Llaves SQLIntegrantes: Martin Martin Trujillo Rodriguez, Daniel Camilo Lopez Piraquive, Juan Jose Caballero Mantilla.Calificación Final: 50/50 (Equivalente a 5.0)¡Hola, equipo! He revisado su entrega y quiero felicitarlos por el excelente trabajo técnico y la atención al detalle que demostraron. Han logrado implementar un modelo de datos relacional robusto, limpio y profesional.Me gustó mucho cómo abordaron la limpieza de la base de datos al inicio del script con DROP TABLE IF EXISTS. Es una estrategia de &quot;programación defensiva&quot; muy inteligente que asegura que su código se pueda ejecutar múltiples veces sin generar errores por tablas duplicadas. Esto demuestra que están pensando no solo en la solución, sino también en la mantenibilidad y las pruebas del sistema.Su diseño lógico en la celda de Markdown es claro y va directo al punto, justificando perfectamente la necesidad de la Llave Foránea para evitar la redundancia de datos. La implementación de executemany para insertar los datos en bloque es una optimización excelente que demuestra que están investigando más allá de lo visto en clase.Finalmente, el resultado de su consulta INNER JOIN es impecable. El uso de alias para las tablas (p y pr) y el formateo de la salida en una tabla bien alineada son detalles que marcan la diferencia y le dan un toque muy profesional a la presentación de los datos.Están construyendo una base técnica muy sólida que les será de gran utilidad no solo para el Taller del Corte 2, sino para su futuro profesional en el análisis de datos. ¡Sigan con esa curiosidad y rigor!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 y profesional.15.015.0Documentación y FormatoUso de comentarios, Markdown y entrega en .ipynb.5.05.0TOTAL50.050.0Diego Mauricio Zuluaga RodríguezProfesor - Departamento de EconomíaUniversidad de La Sabana"/>
    <n v="50"/>
    <n v="50"/>
    <n v="1"/>
  </r>
  <r>
    <x v="37"/>
    <s v="Alan David"/>
    <s v="Rossoff Vanegas"/>
    <s v="alanrova@unisabana.edu.co"/>
    <x v="5"/>
    <d v="2026-04-01T00:00:00"/>
    <x v="2"/>
    <s v="Entregado"/>
    <s v="⚠️ Seguimiento de Autogestión: Tarea 2 - Normalización y Llaves SQLHola Alan, espero que estés descansando en este cierre del corte 2.Revisando los registros de Teams, noté que no realizaste la entrega de la Tarea 2 - Clase 7 (Arquitectura Relacional: Normalización y Llaves), cuyo buzón cerró el pasado miércoles 1 de abril.Como hemos hablado durante el semestre, la autogestión es una competencia innegociable en la EICEA. Más allá de la nota de este checkpoint, me preocupa tu preparación técnica. Entender cómo conectar tablas usando Llaves Primarias (PK) y Foráneas (FK) con la cláusula JOIN es el corazón de la arquitectura que necesitas para tu Taller del Corte 2 (30%), que deben entregar este miércoles 8 de abril. Si las bases de datos no están normalizadas, el código de tu proyecto colapsará.No dejes que este tropiezo defina tu resultado en el corte. Te invito a que, de forma autónoma y por tu propio aprendizaje, realices el ejercicio antes de nuestra próxima clase. Dominar este tema es vital no solo para el taller, sino para el Segundo Parcial (50%) del próximo 15 de abril.Todavía tienes en tus manos el 80% de la nota del corte. Organiza tu tiempo, apóyate en tu equipo y asegúrate de llegar con la preparación necesaria.Nos vemos este miércoles a las 16:00 en punto en el salón. ¡Mucho ánimo y a cerrar el corte con toda la energía!Atentamente,Diego Mauricio Zuluaga RodríguezProfesor - Departamento de EconomíaUniversidad de La Sabana"/>
    <n v="0"/>
    <n v="50"/>
    <n v="0"/>
  </r>
  <r>
    <x v="38"/>
    <s v="Diego Alejandro"/>
    <s v="Hermida Limas"/>
    <s v="diegoherli@unisabana.edu.co"/>
    <x v="5"/>
    <d v="2026-04-01T00:00:00"/>
    <x v="2"/>
    <s v="Entregado"/>
    <s v="🔗 Retroalimentación de la Entrega: Normalización y Llaves SQL Integrantes: Simón Gustavo Restrepo Alvarez, Mateo Pérez Daza, Diego Alejandro Hermida Limas. Calificación Final: 50/50 (Equivalente a 5.0) ¡Hola, equipo! He revisado su trabajo y quiero felicitarlos por la excelente ejecución. Han logrado implementar un modelo de datos relacional que es limpio, eficiente y sigue todas las buenas prácticas que hemos discutido en clase.Me gustó mucho cómo en su celda de Markdown fueron directamente al grano, explicando la relación 1:N y justificando el uso de la llave foránea para evitar la redundancia. Esa capacidad de síntesis es muy valiosa en el mundo profesional.Técnicamente, el código es impecable. El uso de DROP TABLE IF EXISTS es una excelente práctica para asegurar que su script se pueda ejecutar múltiples veces sin generar errores, lo cual demuestra un pensamiento de &quot;Sanity Check&quot; muy avanzado. Además, no olvidaron el PRAGMA foreign_keys = ON;, que es el seguro de vida para la integridad de los datos.La inserción de datos usando los parámetros seguros (?) y la consulta final con INNER JOIN son perfectas. El resultado demuestra que entendieron cómo reconstruir la información que estaba separada en dos tablas distintas, que es la esencia de las bases de datos relacionales.Sigan con ese nivel de precisión y enfoque en la calidad del código. Están construyendo una base muy sólida para el Taller del Corte 2 y para cualquier proyecto de datos que enfrenten en el futuro. ¡Excelente trabajo! Rúbrica de CalificaciónCriterio de EvaluaciónRequisito TécnicoPuntaje MáximoPuntaje ObtenidoDiseño LógicoExplicación clara de la relación 1:N e integridad referencial en Markdown.10.010.0Creación de TablasUso correcto de PK y FK con la estructura solicitada.10.010.0Inserción y Sanity CheckDatos coherentes insertados respetando la jerarquía de tablas.10.010.0Consulta JOINImplementación exitosa de INNER JOIN con salida visible.15.015.0Documentación y FormatoUso de comentarios, etiquetas XML o Markdown y entrega en .ipynb.5.05.0TOTAL50.050.0  Diego Mauricio Zuluaga RodríguezProfesor - Departamento de EconomíaUniversidad de La Sabana"/>
    <n v="50"/>
    <n v="50"/>
    <n v="1"/>
  </r>
  <r>
    <x v="0"/>
    <s v="Paula Andrea"/>
    <s v="Arciniegas Cardenas"/>
    <s v="paulaarcca@unisabana.edu.co"/>
    <x v="6"/>
    <d v="2026-04-01T00:00:00"/>
    <x v="2"/>
    <s v="Entregado"/>
    <s v="🗄️ Calificación: Tarea 1 - Clase 7 - CRUD en SQLite Integrantes: Valeria Morales, Isabella Carranza Tapiero y Paula Andrea Arciniegas Cárdenas. Calificación Final: 50/50 (5.0) ¡Hola, equipo! Qué gusto saludarlas. He revisado detalladamente su entrega y quiero felicitarlas por el excelente nivel técnico que han demostrado en este ejercicio. Han logrado capturar la esencia de la persistencia de datos, transformando un código que antes &quot;olvidaba&quot; todo al cerrarse, en un sistema con memoria sólida y estructurada.Uno de los puntos más destacados de su trabajo es la rigurosidad con la que aplicaron el comando PRAGMA foreign_keys = ON. Muchas veces este detalle se pasa por alto, pero es lo que realmente garantiza que las relaciones entre sus tablas (como la de Ventas con Clientes y Productos) funcionen con integridad profesional. Sin esto, la base de datos sería solo un conjunto de tablas aisladas.Me pareció muy acertado y profesional el uso de cursor.lastrowid en las pruebas finales. Esta es una técnica avanzada que demuestra que entienden cómo fluye la información en tiempo real: capturan el ID que la base de datos acaba de generar automáticamente para usarlo de inmediato en la siguiente transacción. Eso es &quot;Sanity Check&quot; de alto nivel.El código está impecablemente documentado y el uso de los parámetros ? para evitar la inyección SQL cumple con los estándares de seguridad que exigimos en el curso. Han construido una base muy fuerte para el Taller del Corte 2. Sigan con esa misma disciplina y atención al detalle; tienen todo para ser las mejores CTOs de sus proyectos.¡Excelente trabajo y disfruten su merecido descanso de Semana Santa! 📊 Rúbrica de Calificación (Total: 50 puntos)CriterioDescripciónPuntaje MáximoPuntaje ObtenidoEstructura y RelacionesCreación correcta de tablas con PK, AUTOINCREMENT y al menos 2 FK funcionales.15.015.0Operaciones CRUDImplementación completa de Crear, Leer, Actualizar y Eliminar para todos los módulos.15.015.0Seguridad SQLUso correcto de parámetros seguros (?) para prevenir inyecciones.10.010.0Pruebas y ValidaciónInclusión de un bloque de pruebas funcional que demuestra el éxito de cada operación.5.05.0Documentación y FormatoComentarios claros en cada celda y entrega en formato .ipynb.5.05.0TOTAL50.050.0 Diego Mauricio Zuluaga Rodríguez Profesor - Departamento de Economía Universidad de La Sabana"/>
    <n v="50"/>
    <n v="50"/>
    <n v="1"/>
  </r>
  <r>
    <x v="1"/>
    <s v="Sofia"/>
    <s v="Giraldo Pico"/>
    <s v="sofiagipi@unisabana.edu.co"/>
    <x v="6"/>
    <d v="2026-04-01T00:00:00"/>
    <x v="2"/>
    <s v="Entregado"/>
    <s v="🗄️ Retroalimentación de la Entrega: Taller 1 - CRUD en SQLiteIntegrante: Sofia Giraldo Pico Calificación Final: 50/50 (Equivalente a 5.0) ¡Hola, Sofia! He revisado detalladamente tu entrega y quiero felicitarte por el excelente nivel técnico y de organización que demostraste en este ejercicio de bases de datos. Puntos destacados de tu trabajo:Arquitectura y Seguridad: Implementaste correctamente el uso de parámetros seguros (?) en todas las consultas, lo cual es vital para prevenir inyección SQL. Además, el uso de PRAGMA foreign_keys = ON; demuestra que entiendes la importancia de la integridad referencial en sistemas relacionales.Dominio de SQL: Me llamó mucho la atención el uso de la restricción CHECK(tipo_cliente IN (...)) en la creación de la tabla cliente. Este es un detalle de nivel avanzado que asegura que la base de datos solo acepte valores válidos, reduciendo errores humanos desde el motor mismo.Integración con Pandas: El uso de pd.read_sql_query para la operación de lectura (Read) es una práctica muy profesional. Facilita enormemente la visualización de los datos y prepara el terreno para el análisis de información que veremos más adelante.Pruebas y Verificación: Las pruebas CRUD son completas y fáciles de seguir. El valor agregado de incluir un INNER JOIN al final para verificar que las relaciones entre ventas, clientes y productos funcionan correctamente es un excelente &quot;Sanity Check&quot;.Documentación: El notebook está muy bien estructurado. Las celdas de Markdown explican claramente el diseño lógico y el propósito de cada bloque de código, cumpliendo con creces el requisito de autogestión.Motivación: Has logrado construir un sistema de persistencia de datos sólido y profesional. Este dominio de las operaciones CRUD y las relaciones entre tablas es la base fundamental para cualquier analista que busque automatizar procesos de negocio. Sigue con esa atención al detalle y esa curiosidad técnica; vas por un excelente camino en el curso. ¡Felicitaciones!Rúbrica de CalificaciónCriterio de EvaluaciónRequisito TécnicoPuntaje MáximoPuntaje ObtenidoCreación de TablasDefinición correcta de PK, FK y tipos de datos en los 3 módulos.15.015.0Operaciones CRUDImplementación funcional de Create, Read, Update y Delete para cada entidad.15.015.0Seguridad y PruebasUso de parámetros ? y ejecución de pruebas visibles en el notebook.10.010.0Documentación y AutogestiónExplicación lógica en Markdown y comentarios en el código.10.010.0TOTAL50.050.0Diego Mauricio Zuluaga Rodríguez Profesor - Departamento de Economía Universidad de La Sabana"/>
    <n v="50"/>
    <n v="50"/>
    <n v="1"/>
  </r>
  <r>
    <x v="2"/>
    <s v="Valery"/>
    <s v="Linares Hernandez"/>
    <s v="valerylihe@unisabana.edu.co"/>
    <x v="6"/>
    <d v="2026-04-01T00:00:00"/>
    <x v="2"/>
    <s v="Entregado"/>
    <s v="⚠️ Seguimiento de Autogestión: Tarea CRUD en SQLiteHola Valery,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3"/>
    <s v="Nicolas"/>
    <s v="Torres Calderon"/>
    <s v="nicolastorca@unisabana.edu.co"/>
    <x v="6"/>
    <d v="2026-04-01T00:00:00"/>
    <x v="2"/>
    <s v="Entregado"/>
    <s v="🗄️ Retroalimentación de la Entrega: Tarea 1 - Clase 7 - CRUD en SQLite Integrantes: Nicolas Torres Calderon, Juan Camilo Leyton Lancheros y Cristian Bermudez. Calificación Final: 46/50 (Equivalente a 4.6) ¡Hola, equipo! Espero que se encuentren muy bien. Quiero felicitarlos por la entrega de esta tarea. Han logrado construir un sistema de persistencia de datos funcional y completo, cubriendo todas las entidades solicitadas para la &quot;Cafetería U. Sabana&quot;. Es muy gratificante ver cómo han aplicado los conceptos de bases de datos relacionales para darle una estructura profesional a su código.Un punto muy positivo es que implementaron las operaciones CRUD para cada uno de los cuatro módulos (Cliente, Proveedor, Producto y Ventas). Además, el uso de los marcadores de posición ? en las consultas demuestra que tienen clara la importancia de la seguridad para prevenir ataques de inyección SQL, lo cual es una práctica fundamental en el desarrollo de software moderno.Las pruebas que incluyeron al final del Notebook son excelentes porque permiten verificar, en una sola ejecución, que todo el ciclo de vida de los datos (crear, leer, actualizar y borrar) funciona correctamente. El hecho de que el código corra sin errores y produzca las salidas esperadas habla muy bien de su atención al detalle técnico.Para que sus próximos proyectos sean aún más robustos, les dejo dos recomendaciones de mejora:Documentación: Aunque el código es claro, la rúbrica solicitaba explicar la lógica de cada sección. En futuras entregas, traten de usar celdas de Markdown o comentarios más detallados que expliquen el &quot;porqué&quot; de las funciones, no solo el &quot;qué&quot;.Integridad Referencial: Aunque definieron las Llaves Foráneas (FK) en el CREATE TABLE, recuerden que en SQLite es necesario ejecutar el comando cursor.execute(&quot;PRAGMA foreign_keys = ON;&quot;) justo después de abrir la conexión para que el motor realmente obligue a respetar esas relaciones (por ejemplo, evitar que se borre un cliente que tiene ventas asociadas).Sigan con ese gran ánimo. Tienen una base técnica muy fuerte y están más que listos para enfrentar el reto de escalar su MVP en el Taller del Corte 2. ¡Buen trabajo! Rúbrica de CalificaciónCriterio de EvaluaciónRequisito TécnicoPuntaje MáximoPuntaje ObtenidoCreación de Tablas y RelacionesTablas creadas correctamente con PK y FK definidas en el esquema.15.015.0Operaciones CRUDImplementación funcional de las 4 operaciones para todos los módulos.15.015.0Seguridad y RobustezUso correcto de parámetros seguros (?) para evitar inyección SQL.10.09.0Pruebas y DocumentaciónPresencia de pruebas ejecutables. Se penaliza la falta de comentarios explicativos detallados.10.07.0TOTAL50.046.0  Diego Mauricio Zuluaga RodríguezProfesor - Departamento de EconomíaUniversidad de La Sabana"/>
    <n v="46"/>
    <n v="50"/>
    <n v="0.92"/>
  </r>
  <r>
    <x v="4"/>
    <s v="Cristian"/>
    <s v="Bermudez"/>
    <s v="cristianbe@unisabana.edu.co"/>
    <x v="6"/>
    <d v="2026-04-01T00:00:00"/>
    <x v="2"/>
    <s v="Entregado"/>
    <s v="⚠️ Seguimiento de Autogestión: Tarea CRUD en SQLiteHola Cristian,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5"/>
    <s v="Mariana"/>
    <s v="Carmona Romero"/>
    <s v="marianacarrom@unisabana.edu.co"/>
    <x v="6"/>
    <d v="2026-04-01T00:00:00"/>
    <x v="2"/>
    <s v="Entregado"/>
    <s v="⚠️ Seguimiento de Autogestión: Tarea CRUD en SQLiteHola Mariana,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6"/>
    <s v="Mariana"/>
    <s v="Pena Rodriguez"/>
    <s v="marianapero@unisabana.edu.co"/>
    <x v="6"/>
    <d v="2026-04-01T00:00:00"/>
    <x v="2"/>
    <s v="Entregado"/>
    <s v="🗄️ Retroalimentación de la Entrega: Tarea 1 - Clase 7 - CRUD en SQLiteGrupo: Mariana Peña Rodríguez, Matías Mondragón Osorio, Arianne Mariana Amorocho Quiroga.Calificación Final: 50/50 (Equivalente a 5.0)¡Excelente trabajo, equipo! Han demostrado una comprensión sólida de cómo interactuar con bases de datos relacionales desde Python. La persistencia de datos es un pilar fundamental en cualquier proyecto de software, y ustedes han logrado implementarla de forma segura y estructurada.Me complace ver que aplicaron correctamente el uso de parámetros seguros (?) en sus consultas SQL. Esta es una práctica profesional innegociable para prevenir ataques de Inyección SQL, y ustedes la dominaron a la perfección. Además, la inclusión del bloque try-except para capturar el sqlite3.IntegrityError cuando un email se repite demuestra que están pensando en la robustez del sistema y en la experiencia del usuario final.La estructura de sus tablas es correcta y el uso de PRAGMA foreign_keys = ON; asegura que las relaciones entre Ventas, Cliente y Producto se respeten a nivel de motor de base de datos. Las pruebas de ejecución (Sanity Check) al final del Notebook confirman que sus funciones CRUD operan exactamente como se espera.Sigan con este nivel de rigurosidad técnica. Este conocimiento será la base de su Taller del Corte 2, donde escalarán su MVP a una arquitectura profesional. ¡Están haciendo un gran trabajo como futuros CTOs!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15.015.0Seguridad y RobustezUso de parámetros seguros (?) y manejo de excepciones (IntegrityError).10.010.0Pruebas y DocumentaciónPruebas ejecutables en el código y comentarios explicativos claros.10.010.0TOTAL50.050.0Diego Mauricio Zuluaga RodríguezProfesor - Departamento de EconomíaUniversidad de La Sabana"/>
    <n v="50"/>
    <n v="50"/>
    <n v="1"/>
  </r>
  <r>
    <x v="7"/>
    <s v="Isabella"/>
    <s v="Carranza Tapiero"/>
    <s v="isabellacata@unisabana.edu.co"/>
    <x v="6"/>
    <d v="2026-04-01T00:00:00"/>
    <x v="2"/>
    <s v="Entregado"/>
    <s v="🗄️ Calificación: Tarea 1 - Clase 7 - CRUD en SQLiteIntegrantes: Valeria Morales, Isabella Carranza Tapiero y Paula Andrea Arciniegas Cárdenas.Calificación Final: 50/50 (5.0)¡Hola, equipo! Qué gusto saludarlas. He revisado detalladamente su entrega y quiero felicitarlas por el excelente nivel técnico que han demostrado en este ejercicio. Han logrado capturar la esencia de la persistencia de datos, transformando un código que antes &quot;olvidaba&quot; todo al cerrarse, en un sistema con memoria sólida y estructurada.Uno de los puntos más destacados de su trabajo es la rigurosidad con la que aplicaron el comando PRAGMA foreign_keys = ON. Muchas veces este detalle se pasa por alto, pero es lo que realmente garantiza que las relaciones entre sus tablas (como la de Ventas con Clientes y Productos) funcionen con integridad profesional. Sin esto, la base de datos sería solo un conjunto de tablas aisladas.Me pareció muy acertado y profesional el uso de cursor.lastrowid en las pruebas finales. Esta es una técnica avanzada que demuestra que entienden cómo fluye la información en tiempo real: capturan el ID que la base de datos acaba de generar automáticamente para usarlo de inmediato en la siguiente transacción. Eso es &quot;Sanity Check&quot; de alto nivel.El código está impecablemente documentado y el uso de los parámetros ? para evitar la inyección SQL cumple con los estándares de seguridad que exigimos en el curso. Han construido una base muy fuerte para el Taller del Corte 2. Sigan con esa misma disciplina y atención al detalle; tienen todo para ser las mejores CTOs de sus proyectos.¡Excelente trabajo y disfruten su merecido descanso de Semana Santa!📊 Rúbrica de Calificación (Total: 50 puntos)CriterioDescripciónPuntaje MáximoPuntaje ObtenidoEstructura y RelacionesCreación correcta de tablas con PK, AUTOINCREMENT y al menos 2 FK funcionales.15.015.0Operaciones CRUDImplementación completa de Crear, Leer, Actualizar y Eliminar para todos los módulos.15.015.0Seguridad SQLUso correcto de parámetros seguros (?) para prevenir inyecciones.10.010.0Pruebas y ValidaciónInclusión de un bloque de pruebas funcional que demuestra el éxito de cada operación.5.05.0Documentación y FormatoComentarios claros en cada celda y entrega en formato .ipynb.5.05.0TOTAL50.050.0Diego Mauricio Zuluaga RodríguezProfesor - Departamento de EconomíaUniversidad de La Sabana"/>
    <n v="50"/>
    <n v="50"/>
    <n v="1"/>
  </r>
  <r>
    <x v="8"/>
    <s v="Samuel David"/>
    <s v="Lozano Holguin"/>
    <s v="samuelloho@unisabana.edu.co"/>
    <x v="6"/>
    <d v="2026-04-01T00:00:00"/>
    <x v="2"/>
    <s v="Entregado"/>
    <s v="🗄️ Calificación: Tarea 1 - Clase 7 - CRUD en SQLiteIntegrantes: Sebastián Vanoy Gutiérrez, Samuel David Lozano Holguín, Samuel Mathias González Bernal.Calificación Final: 50/50 (Equivalente a 5.0)¡Hola, equipo! Qué gusto saludarles. He revisado detalladamente su entrega y quiero empezar felicitándoles por el nivel técnico demostrado. Han ido un paso más allá de lo básico, integrando conceptos avanzados que no solo cumplen con la tarea, sino que demuestran una mentalidad de desarrolladores profesionales.Me pareció excelente el uso de conn.row_factory = sqlite3.Row. Esta es una práctica de alto nivel que permite acceder a los datos por el nombre de la columna en lugar de por índice, lo que hace que el código sea mucho más legible y menos propenso a errores. Además, la implementación del CHECK en la tabla de clientes para restringir los tipos permitidos ('Estudiante', 'Profesor', 'Admin') es un detalle de validación de datos impecable que protege la integridad de la base de datos desde su creación.En cuanto a la funcionalidad CRUD, el trabajo es impecable. El uso de los parámetros seguros (?) para evitar la inyección SQL es correcto en todas las funciones. También destaco la función leer_ventas, donde utilizaron de forma magistral la cláusula INNER JOIN para cruzar las tablas de ventas, clientes y productos. Esto permite que el reporte final sea verdaderamente útil para un usuario de negocios, mostrando nombres reales en lugar de simples números de ID.La documentación mediante docstrings y comentarios es clara y facilita mucho el seguimiento de la lógica. Las pruebas de ejecución son exhaustivas y cubren todos los escenarios de creación, consulta, actualización y borrado, demostrando que el sistema es robusto y está listo para ser escalado.Sigan con esa curiosidad técnica y ese rigor. Tienen una base muy sólida para el proyecto final del Corte 2, donde deberán integrar esta persistencia de datos con la lógica de objetos que ya dominan. ¡Excelente trabajo, emprendedores!📊 Rúbrica de CalificaciónCriterio de EvaluaciónRequisito TécnicoPuntaje MáximoPuntaje ObtenidoCreación de Tablas y RelacionesTablas creadas con tipos correctos, PK, AUTOINCREMENT y al menos 2 FK funcionales.15.015.0Operaciones CRUD CompletasImplementación funcional de Create, Read, Update y Delete para todos los módulos.15.015.0Seguridad y RobustezUso de parámetros seguros (?) y validaciones adicionales (como el uso de CHECK).10.010.0Pruebas y DocumentaciónPruebas de ejecución claras para cada operación y código bien comentado.10.010.0TOTAL50.050.0Diego Mauricio Zuluaga RodríguezProfesor - Departamento de EconomíaUniversidad de La Sabana"/>
    <n v="50"/>
    <n v="50"/>
    <n v="1"/>
  </r>
  <r>
    <x v="9"/>
    <s v="Sebastian"/>
    <s v="Vanoy Gutierrez"/>
    <s v="sebastianvagu@unisabana.edu.co"/>
    <x v="6"/>
    <d v="2026-04-01T00:00:00"/>
    <x v="2"/>
    <s v="Entregado"/>
    <s v="🗄️ Calificación: Tarea 1 - Clase 7 - CRUD en SQLiteIntegrantes: Sebastián Vanoy Gutiérrez, Samuel David Lozano Holguín, Samuel Mathias González Bernal.Calificación Final: 50/50 (Equivalente a 5.0)¡Hola, equipo! Qué gusto saludarles. He revisado detalladamente su entrega y quiero empezar felicitándoles por el nivel técnico demostrado. Han ido un paso más allá de lo básico, integrando conceptos avanzados que no solo cumplen con la tarea, sino que demuestran una mentalidad de desarrolladores profesionales.Me pareció excelente el uso de conn.row_factory = sqlite3.Row. Esta es una práctica de alto nivel que permite acceder a los datos por el nombre de la columna en lugar de por índice, lo que hace que el código sea mucho más legible y menos propenso a errores. Además, la implementación del CHECK en la tabla de clientes para restringir los tipos permitidos ('Estudiante', 'Profesor', 'Admin') es un detalle de validación de datos impecable que protege la integridad de la base de datos desde su creación.En cuanto a la funcionalidad CRUD, el trabajo es impecable. El uso de los parámetros seguros (?) para evitar la inyección SQL es correcto en todas las funciones. También destaco la función leer_ventas, donde utilizaron de forma magistral la cláusula INNER JOIN para cruzar las tablas de ventas, clientes y productos. Esto permite que el reporte final sea verdaderamente útil para un usuario de negocios, mostrando nombres reales en lugar de simples números de ID.La documentación mediante docstrings y comentarios es clara y facilita mucho el seguimiento de la lógica. Las pruebas de ejecución son exhaustivas y cubren todos los escenarios de creación, consulta, actualización y borrado, demostrando que el sistema es robusto y está listo para ser escalado.Sigan con esa curiosidad técnica y ese rigor. Tienen una base muy sólida para el proyecto final del Corte 2, donde deberán integrar esta persistencia de datos con la lógica de objetos que ya dominan. ¡Excelente trabajo, emprendedores!📊 Rúbrica de CalificaciónCriterio de EvaluaciónRequisito TécnicoPuntaje MáximoPuntaje ObtenidoCreación de Tablas y RelacionesTablas creadas con tipos correctos, PK, AUTOINCREMENT y al menos 2 FK funcionales.15.015.0Operaciones CRUD CompletasImplementación funcional de Create, Read, Update y Delete para todos los módulos.15.015.0Seguridad y RobustezUso de parámetros seguros (?) y validaciones adicionales (como el uso de CHECK).10.010.0Pruebas y DocumentaciónPruebas de ejecución claras para cada operación y código bien comentado.10.010.0TOTAL50.050.0Diego Mauricio Zuluaga RodríguezProfesor - Departamento de EconomíaUniversidad de La Sabana"/>
    <n v="50"/>
    <n v="50"/>
    <n v="1"/>
  </r>
  <r>
    <x v="10"/>
    <s v="Jose Daniel"/>
    <s v="Escobar Hurtado"/>
    <s v="joseeshu@unisabana.edu.co"/>
    <x v="6"/>
    <d v="2026-04-01T00:00:00"/>
    <x v="2"/>
    <s v="Entregado"/>
    <s v="🚀 Calificación Tarea 1 - Clase 7: CRUD en SQLite Integrantes: Juan David Neuta Medina, Laura Fernanda Lopez Parra, Jose Daniel Escobar Hurtado. Calificación Final: 50/50 (Equivalente a 5.0) ¡Hola, equipo! Qué gusto saludarles. He revisado detalladamente su entrega y debo decir que han realizado un trabajo excepcional, de nivel profesional. Han demostrado no solo que comprenden la sintaxis de SQL en Python, sino que tienen la capacidad de aplicar lógica de negocio real a una arquitectura de datos.Me impresionó gratamente la profundidad que le dieron al módulo de Ventas. No se limitaron a insertar una fila; implementaron validaciones de stock antes de vender y, lo más avanzado, programaron la actualización y eliminación de ventas de modo que el inventario se restaure o ajuste automáticamente. Ese manejo de la consistencia de datos es lo que separa a un programador básico de un verdadero arquitecto de software.Otro punto muy alto fue el uso de la cláusula JOIN en la lectura de ventas. Mostrar los nombres reales de los clientes y productos en lugar de solo los IDs numéricos es fundamental para que un sistema sea útil para el usuario final (UX). Además, el manejo de errores con try-except para capturar violaciones de unicidad en los correos y restricciones de llaves foráneas demuestra que su código es robusto y &quot;a prueba de balas&quot;.Sigan con este nivel de compromiso y atención al detalle. Tienen una base técnica sumamente sólida para enfrentar el Taller del Corte 2. Este archivo que construyeron hoy es prácticamente el motor que necesitan para que su Startup sea exitosa. ¡Felicitaciones por este gran resultado! Rúbrica de CalificaciónCriterio de EvaluaciónRequisito TécnicoPuntaje MáximoPuntaje ObtenidoCreación de Tablas y RelacionesTablas creadas con tipos correctos, PK, FK y activación de PRAGMA.15.015.0Operaciones CRUDImplementación funcional de Create, Read, Update y Delete en todos los módulos.15.015.0Seguridad y RobustezUso de parámetros seguros (?) y manejo avanzado de lógica de stock y excepciones.10.010.0Pruebas y DocumentaciónPruebas exhaustivas, formato visual impecable y comentarios claros.10.010.0TOTAL50.050.0  Diego Mauricio Zuluaga RodríguezProfesor - Departamento de EconomíaUniversidad de La Sabana"/>
    <n v="50"/>
    <n v="50"/>
    <n v="1"/>
  </r>
  <r>
    <x v="11"/>
    <s v="Maria Jose"/>
    <s v="Botero Galviz"/>
    <s v="mariabotga@unisabana.edu.co"/>
    <x v="6"/>
    <d v="2026-04-01T00:00:00"/>
    <x v="2"/>
    <s v="Entregado"/>
    <s v="🗄️ Retroalimentación: CRUD en SQLite — Cafetería U. Sabana Integrantes: Maria Juliana Mejia Quintero, Valery Linares Hernandez, Maria Jose Botero Galviz. Calificación Final: 48/50 (Equivalente a 4.8) ¡Hola, equipo! Qué gusto leer un trabajo tan bien estructurado. Han demostrado un dominio muy sólido de la persistencia de datos y una capacidad analítica que va más allá de lo básico. Se nota que se tomaron el tiempo de planear la arquitectura de la base de datos antes de lanzarse a escribir el código.Quiero destacar especialmente el uso de la restricción CHECK en la tabla de Clientes para validar el tipo_cliente. Es un detalle de nivel profesional que asegura que la base de datos solo acepte valores válidos desde su origen. Asimismo, la lógica implementada en el módulo de Ventas es brillante: el hecho de que el sistema busque automáticamente el precio en la tabla de Productos para calcular el total, en lugar de pedírselo al usuario, demuestra un pensamiento de arquitectura de software muy maduro.La implementación de los JOIN en la consulta de ventas es impecable, permitiendo transformar IDs numéricos en información legible y útil para un administrador de la cafetería. También es muy valioso que hayan incluido el manejo de excepciones con IntegrityError, lo que blinda al sistema contra correos duplicados o fallos en las llaves foráneas.El único detalle que impidió la nota perfecta fue un pequeño error de &quot;Autogestión&quot; en la última celda de pruebas. Noté que definieron las funciones con nombres como obtener_ventas, editar_venta y borrar_venta, pero en la celda final intentaron ejecutarlas como leer_ventas, actualizar_venta y eliminar_venta. Esto genera un error de ejecución (NameError) que habrían detectado con un último &quot;Sanity Check&quot; antes de entregar.Más allá de ese detalle técnico menor, el trabajo es de una calidad excepcional. Tienen una base técnica muy fuerte para enfrentar el Taller del Corte 2. Sigan con esa curiosidad y ese rigor en la validación de datos, ¡van por un excelente camino! Rúbrica de CalificaciónCriterio de EvaluaciónRequisito TécnicoPuntaje MáximoPuntaje ObtenidoCreación de Tablas y RelacionesEstructura correcta, uso de PK/FK y restricciones (CHECK/UNIQUE).15.015.0Operaciones CRUDImplementación de las 4 funciones por módulo con lógica de negocio.15.014.0Seguridad y RobustezUso de parámetros seguros (?) y manejo de try-except.10.010.0Pruebas y DocumentaciónComentarios claros y batería de pruebas (con observación de nombres).10.09.0TOTAL50.048.0  Diego Mauricio Zuluaga RodríguezProfesor - Departamento de EconomíaUniversidad de La Sabana"/>
    <n v="48"/>
    <n v="50"/>
    <n v="0.96"/>
  </r>
  <r>
    <x v="12"/>
    <s v="Maria Juliana"/>
    <s v="Mejia Quintero"/>
    <s v="mariamequ@unisabana.edu.co"/>
    <x v="6"/>
    <d v="2026-04-01T00:00:00"/>
    <x v="2"/>
    <s v="Entregado"/>
    <s v="🗄️ Retroalimentación: CRUD en SQLite — Cafetería U. SabanaIntegrantes: Maria Juliana Mejia Quintero, Valery Linares Hernandez, Maria Jose Botero Galviz.Calificación Final: 48/50 (Equivalente a 4.8)¡Hola, equipo! Qué gusto leer un trabajo tan bien estructurado. Han demostrado un dominio muy sólido de la persistencia de datos y una capacidad analítica que va más allá de lo básico. Se nota que se tomaron el tiempo de planear la arquitectura de la base de datos antes de lanzarse a escribir el código.Quiero destacar especialmente el uso de la restricción CHECK en la tabla de Clientes para validar el tipo_cliente. Es un detalle de nivel profesional que asegura que la base de datos solo acepte valores válidos desde su origen. Asimismo, la lógica implementada en el módulo de Ventas es brillante: el hecho de que el sistema busque automáticamente el precio en la tabla de Productos para calcular el total, en lugar de pedírselo al usuario, demuestra un pensamiento de arquitectura de software muy maduro.La implementación de los JOIN en la consulta de ventas es impecable, permitiendo transformar IDs numéricos en información legible y útil para un administrador de la cafetería. También es muy valioso que hayan incluido el manejo de excepciones con IntegrityError, lo que blinda al sistema contra correos duplicados o fallos en las llaves foráneas.El único detalle que impidió la nota perfecta fue un pequeño error de &quot;Autogestión&quot; en la última celda de pruebas. Noté que definieron las funciones con nombres como obtener_ventas, editar_venta y borrar_venta, pero en la celda final intentaron ejecutarlas como leer_ventas, actualizar_venta y eliminar_venta. Esto genera un error de ejecución (NameError) que habrían detectado con un último &quot;Sanity Check&quot; antes de entregar.Más allá de ese detalle técnico menor, el trabajo es de una calidad excepcional. Tienen una base técnica muy fuerte para enfrentar el Taller del Corte 2. Sigan con esa curiosidad y ese rigor en la validación de datos, ¡van por un excelente camino!Rúbrica de CalificaciónCriterio de EvaluaciónRequisito TécnicoPuntaje MáximoPuntaje ObtenidoCreación de Tablas y RelacionesEstructura correcta, uso de PK/FK y restricciones (CHECK/UNIQUE).15.015.0Operaciones CRUDImplementación de las 4 funciones por módulo con lógica de negocio.15.014.0Seguridad y RobustezUso de parámetros seguros (?) y manejo de try-except.10.010.0Pruebas y DocumentaciónComentarios claros y batería de pruebas (con observación de nombres).10.09.0TOTAL50.048.0Diego Mauricio Zuluaga RodríguezProfesor - Departamento de EconomíaUniversidad de La Sabana"/>
    <n v="48"/>
    <n v="50"/>
    <n v="0.96"/>
  </r>
  <r>
    <x v="13"/>
    <s v="Alejandra"/>
    <s v="Leon Vargas"/>
    <s v="alejandraleva@unisabana.edu.co"/>
    <x v="6"/>
    <d v="2026-04-01T00:00:00"/>
    <x v="2"/>
    <s v="Entregado"/>
    <s v="⚠️ Seguimiento de Autogestión: Tarea CRUD en SQLiteHola Alejandra,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14"/>
    <s v="Alessandro Di Mauro"/>
    <s v="Bonilla Correa"/>
    <s v="alessandroboco@unisabana.edu.co"/>
    <x v="6"/>
    <d v="2026-04-01T00:00:00"/>
    <x v="2"/>
    <s v="Entregado"/>
    <s v="⚠️ Seguimiento de Autogestión: Tarea CRUD en SQLiteHola Alessandro ,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15"/>
    <s v="Arianne Mariana"/>
    <s v="Amorocho Quiroga"/>
    <s v="arianneamqu@unisabana.edu.co"/>
    <x v="6"/>
    <d v="2026-04-01T00:00:00"/>
    <x v="2"/>
    <s v="Entregado"/>
    <s v="🗄️ Retroalimentación de la Entrega: Tarea 1 - Clase 7 - CRUD en SQLiteGrupo: Mariana Peña Rodríguez, Matías Mondragón Osorio, Arianne Mariana Amorocho Quiroga. Calificación Final: 50/50 (Equivalente a 5.0) ¡Excelente trabajo, equipo! Han demostrado una comprensión sólida de cómo interactuar con bases de datos relacionales desde Python. La persistencia de datos es un pilar fundamental en cualquier proyecto de software, y ustedes han logrado implementarla de forma segura y estructurada.Me complace ver que aplicaron correctamente el uso de parámetros seguros (?) en sus consultas SQL. Esta es una práctica profesional innegociable para prevenir ataques de Inyección SQL, y ustedes la dominaron a la perfección. Además, la inclusión del bloque try-except para capturar el sqlite3.IntegrityError cuando un email se repite demuestra que están pensando en la robustez del sistema y en la experiencia del usuario final.La estructura de sus tablas es correcta y el uso de PRAGMA foreign_keys = ON; asegura que las relaciones entre Ventas, Cliente y Producto se respeten a nivel de motor de base de datos. Las pruebas de ejecución (Sanity Check) al final del Notebook confirman que sus funciones CRUD operan exactamente como se espera.Sigan con este nivel de rigurosidad técnica. Este conocimiento será la base de su Taller del Corte 2, donde escalarán su MVP a una arquitectura profesional. ¡Están haciendo un gran trabajo como futuros CTOs! 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15.015.0Seguridad y RobustezUso de parámetros seguros (?) y manejo de excepciones (IntegrityError).10.010.0Pruebas y DocumentaciónPruebas ejecutables en el código y comentarios explicativos claros.10.010.0TOTAL50.050.0 Diego Mauricio Zuluaga RodríguezProfesor - Departamento de EconomíaUniversidad de La Sabana"/>
    <n v="50"/>
    <n v="50"/>
    <n v="1"/>
  </r>
  <r>
    <x v="16"/>
    <s v="Maria Juliana"/>
    <s v="Herrera Pulido"/>
    <s v="mariahepu@unisabana.edu.co"/>
    <x v="6"/>
    <d v="2026-04-01T00:00:00"/>
    <x v="2"/>
    <s v="Entregado"/>
    <s v="🗄️ Retroalimentación de la Entrega: Tarea 1 - Clase 7 - CRUD en SQLite Integrantes: Maria Juliana Herrera Pulido y Mariana Carmona Romero. Calificación Final: 48/50 (Equivalente a 4.8) ¡Hola, Juliana y Mariana! Qué buen trabajo han presentado. Han logrado estructurar de manera muy clara y organizada las operaciones fundamentales de una base de datos relacional para nuestro proyecto de la cafetería. El uso de Markdown para separar cada sección hace que el código sea muy fácil de seguir y auditar, lo cual es una excelente práctica de documentación.Técnicamente, la creación de las tablas es impecable. Utilizaron correctamente los tipos de datos, las llaves primarias con autoincremento y, muy importante, las llaves foráneas para relacionar las ventas con los clientes y productos. Esto demuestra que han comprendido cómo se conecta la información en un entorno relacional para evitar la redundancia.Un punto muy positivo es el uso de los marcadores de posición ? en las consultas. Como vimos en clase, esta es la barrera principal contra ataques de inyección SQL, y aplicarlo en todas sus funciones CRUD les da un perfil de desarrolladoras muy profesional y consciente de la seguridad de la información.Noté en las pruebas de la sección de Clientes que el programa arrojó un error de IntegrityError: UNIQUE constraint failed. ¡No se asusten por eso! En realidad, ese error es la prueba de que su base de datos quedó bien configurada, ya que intentaron registrar un correo que ya existía y el sistema lo impidió. Sin embargo, para obtener la nota máxima en robustez, el siguiente paso es &quot;atrapar&quot; ese error con un bloque try-except (como lo mencionamos en la clase de manejo de errores) para que el programa le dé un mensaje amable al usuario en lugar de detenerse abruptamente.Las pruebas de Proveedores y Ventas funcionaron a la perfección y muestran un flujo lógico completo. Están muy cerca de dominar por completo la persistencia de datos. Sigan con esa curiosidad y ese orden; estas bases son las que les permitirán construir el Taller del Corte 2 con total éxito. ¡Felicitaciones por este gran avance! Rúbrica de CalificaciónCriterio de EvaluaciónRequisito TécnicoPuntaje MáximoPuntaje ObtenidoCreación de Tablas y RelacionesTablas bien definidas con PK, FK y restricciones de integridad (UNIQUE/NOT NULL).15.015.0Operaciones CRUDImplementación funcional de las 4 operaciones para cada entidad solicitada.15.015.0Seguridad (Placeholders)Uso correcto de ? para prevenir inyección SQL en todas las funciones.10.010.0Pruebas y RobustezEjecución de pruebas evidenciada. Se resta un margen pequeño por el crash no manejado en la celda 17.10.08.0TOTAL50.048.0  Diego Mauricio Zuluaga RodríguezProfesor - Departamento de EconomíaUniversidad de La Sabana"/>
    <n v="48"/>
    <n v="50"/>
    <n v="0.96"/>
  </r>
  <r>
    <x v="17"/>
    <s v="Simon Gustavo"/>
    <s v="Restrepo Alvarez"/>
    <s v="simonreal@unisabana.edu.co"/>
    <x v="6"/>
    <d v="2026-04-01T00:00:00"/>
    <x v="2"/>
    <s v="Entregado"/>
    <s v="🗄️ Calificación Tarea 1 - Clase 7: CRUD en SQLiteIntegrantes: Simon Gustavo Restrepo Alvarez, Mateo Perez Daza y Diego Alejandro Hermida Limas.Calificación Final: 50/50 (Equivalente a 5.0)¡Hola, equipo! Qué gusto saludarles. He revisado detalladamente su entrega y quiero felicitarlos porque han realizado un trabajo impecable. Se nota que hubo una planeación concienzuda y que comprendieron a la perfección cómo llevar la lógica de nuestra cafetería a un entorno de persistencia real con SQLite.Un punto que me pareció excelente y que demuestra un nivel de autogestión superior fue la inclusión de las sentencias DROP TABLE IF EXISTS. Aunque parece un detalle menor, en el mundo del desarrollo es una práctica muy útil para entornos de prueba, ya que permite ejecutar el notebook varias veces desde cero sin que el programa colapse porque las tablas ya existen. Eso es pensar como programadores profesionales.La implementación de las operaciones CRUD para los cuatro módulos (Clientes, Proveedores, Productos y Ventas) es totalmente funcional. El uso de consultas parametrizadas con el símbolo ? es el estándar de seguridad que buscamos para proteger la base de datos, y ustedes lo aplicaron correctamente en cada función. Además, activar el PRAGMA foreign_keys = ON; fue el toque final necesario para que las relaciones entre ventas, clientes y productos no fueran solo nombres, sino vínculos reales y protegidos.Como pequeña recomendación para su crecimiento técnico, en el módulo de Ventas podrían haber incluido una función de actualización (UPDATE), aunque entiendo que en registros transaccionales no siempre es común modificar una venta ya realizada. Sin embargo, para efectos de un CRUD completo, siempre es bueno tener la herramienta lista.Sigan con ese entusiasmo y esa rigurosidad. Están muy bien preparados para el Taller del Corte 2, donde el reto será integrar todo esto en una arquitectura de objetos aún más robusta. ¡Excelente camino el que están construyendo!Rúbrica de CalificaciónCriterio de EvaluaciónRequisito TécnicoPuntaje MáximoPuntaje ObtenidoCreación de Tablas y RelacionesTablas bien definidas con tipos de datos correctos y Llaves Foráneas (FK) funcionales.15.015.0Operaciones CRUDImplementación completa de Crear, Leer, Actualizar y Eliminar para los módulos solicitados.15.015.0Seguridad y ParámetrosUso correcto de ? para evitar inyección SQL en todas las consultas.10.010.0Pruebas y DocumentaciónEjecución exitosa de las pruebas en el Notebook y claridad en las explicaciones.10.010.0TOTAL50.050.0Diego Mauricio Zuluaga RodríguezProfesor - Departamento de EconomíaUniversidad de La Sabana"/>
    <n v="50"/>
    <n v="50"/>
    <n v="1"/>
  </r>
  <r>
    <x v="18"/>
    <s v="Daniel Felipe"/>
    <s v="Camacho Pedraza"/>
    <s v="danielcampe@unisabana.edu.co"/>
    <x v="6"/>
    <d v="2026-04-01T00:00:00"/>
    <x v="2"/>
    <s v="Entregado"/>
    <s v="🗄️ Retroalimentación de la Entrega: Tarea 1 - Clase 7 - CRUD en SQLiteGrupo: Samuel David Simancas Contreras, Juan Sebastian Perdomo Herrera, Daniel Felipe Camacho Pedraza. Calificación Final: 40/50 (Equivalente a 4.0) ¡Hola, equipo! Han realizado un buen trabajo estructurando las funciones CRUD para las diferentes entidades del sistema &quot;Cafetería U. Sabana&quot;. El código demuestra que comprenden cómo interactuar con SQLite desde Python y cómo utilizar parámetros seguros (?) para proteger la base de datos contra inyecciones SQL. Puntos Destacados:Creación de Tablas y Relaciones: La estructura de las tablas es correcta y la implementación de las Llaves Foráneas (FK) en la tabla Ventas está muy bien definida, respetando la integridad referencial con PRAGMA foreign_keys = ON;.Integración POO - SQL: Me pareció excelente el enfoque que le dieron a las funciones crear_producto_db y leer_productos_db. El hecho de que la función de lectura recupere los datos de la base de datos y los convierta nuevamente en objetos instanciados de la clase Producto es una práctica avanzada y muy profesional.Seguridad: El uso de parámetros seguros en todas las consultas INSERT, UPDATE y DELETE es impecable.Oportunidades de Mejora (Autogestión):Pruebas de Ejecución: La rúbrica exigía incluir pruebas ejecutables de cada operación. Aunque definieron todas las funciones correctamente, el Notebook no contiene ninguna celda donde se llamen a estas funciones para insertar, leer, actualizar o eliminar datos reales. Un código no probado es un código que no se puede auditar.Documentación: Faltó incluir comentarios (#) explicando la lógica de cada sección, así como celdas Markdown que contextualizaran el trabajo realizado. Recuerden que el código debe ser legible tanto para la máquina como para otros desarrolladores.CRUD de Ventas: Definieron la tabla Ventas, pero faltaron las funciones CRUD específicas para esta entidad.Motivación: Tienen una excelente base técnica y la lógica de integración entre POO y SQL que demostraron es de muy alto nivel. Para el Taller del Corte 2, asegúrense de documentar su código y de incluir pruebas exhaustivas que demuestren que su sistema funciona de principio a fin. ¡Sigan adelante, tienen un gran potencial! 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 (Faltó el CRUD de Ventas).15.010.0Seguridad y RobustezUso de parámetros seguros (?) en las consultas.10.010.0Pruebas y DocumentaciónPruebas ejecutables en el código y comentarios explicativos claros (Ausentes en la entrega).10.05.0TOTAL50.040.0  Diego Mauricio Zuluaga RodríguezProfesor - Departamento de EconomíaUniversidad de La Sabana"/>
    <n v="40"/>
    <n v="50"/>
    <n v="0.8"/>
  </r>
  <r>
    <x v="19"/>
    <s v="Mateo"/>
    <s v="Perez Daza"/>
    <s v="mateopeda@unisabana.edu.co"/>
    <x v="6"/>
    <d v="2026-04-01T00:00:00"/>
    <x v="2"/>
    <s v="Entregado"/>
    <s v="🗄️ Calificación Tarea 1 - Clase 7: CRUD en SQLiteIntegrantes: Simon Gustavo Restrepo Alvarez, Mateo Perez Daza y Diego Alejandro Hermida Limas.Calificación Final: 30/50 (Equivalente a 4.0 - Se restan 20 puntos por entregar 5 días tarde)¡Hola, equipo! Qué gusto saludarles. He revisado detalladamente su entrega y quiero felicitarlos porque han realizado un trabajo impecable. Se nota que hubo una planeación concienzuda y que comprendieron a la perfección cómo llevar la lógica de nuestra cafetería a un entorno de persistencia real con SQLite.Un punto que me pareció excelente y que demuestra un nivel de autogestión superior fue la inclusión de las sentencias DROP TABLE IF EXISTS. Aunque parece un detalle menor, en el mundo del desarrollo es una práctica muy útil para entornos de prueba, ya que permite ejecutar el notebook varias veces desde cero sin que el programa colapse porque las tablas ya existen. Eso es pensar como programadores profesionales.La implementación de las operaciones CRUD para los cuatro módulos (Clientes, Proveedores, Productos y Ventas) es totalmente funcional. El uso de consultas parametrizadas con el símbolo ? es el estándar de seguridad que buscamos para proteger la base de datos, y ustedes lo aplicaron correctamente en cada función. Además, activar el PRAGMA foreign_keys = ON; fue el toque final necesario para que las relaciones entre ventas, clientes y productos no fueran solo nombres, sino vínculos reales y protegidos.Como pequeña recomendación para su crecimiento técnico, en el módulo de Ventas podrían haber incluido una función de actualización (UPDATE), aunque entiendo que en registros transaccionales no siempre es común modificar una venta ya realizada. Sin embargo, para efectos de un CRUD completo, siempre es bueno tener la herramienta lista.Sigan con ese entusiasmo y esa rigurosidad. Están muy bien preparados para el Taller del Corte 2, donde el reto será integrar todo esto en una arquitectura de objetos aún más robusta. ¡Excelente camino el que están construyendo!Rúbrica de CalificaciónCriterio de EvaluaciónRequisito TécnicoPuntaje MáximoPuntaje ObtenidoCreación de Tablas y RelacionesTablas bien definidas con tipos de datos correctos y Llaves Foráneas (FK) funcionales.15.015.0Operaciones CRUDImplementación completa de Crear, Leer, Actualizar y Eliminar para los módulos solicitados.15.015.0Seguridad y ParámetrosUso correcto de ? para evitar inyección SQL en todas las consultas.10.010.0Pruebas y DocumentaciónEjecución exitosa de las pruebas en el Notebook y claridad en las explicaciones.10.010.0TOTAL50.030.0Diego Mauricio Zuluaga RodríguezProfesor - Departamento de EconomíaUniversidad de La Sabana"/>
    <n v="30"/>
    <n v="50"/>
    <n v="0.6"/>
  </r>
  <r>
    <x v="20"/>
    <s v="Matias"/>
    <s v="Mondragon Osorio"/>
    <s v="matiasmoos@unisabana.edu.co"/>
    <x v="6"/>
    <d v="2026-04-01T00:00:00"/>
    <x v="2"/>
    <s v="Entregado"/>
    <s v="🗄️ Retroalimentación de la Entrega: Tarea 1 - Clase 7 - CRUD en SQLiteGrupo: Mariana Peña Rodríguez, Matías Mondragón Osorio, Arianne Mariana Amorocho Quiroga.Calificación Final: 40/50 (Equivalente a 4.0 - Se restan 10 puntos por entrega tardía de 2 días).¡Excelente trabajo, equipo! Han demostrado una comprensión sólida de cómo interactuar con bases de datos relacionales desde Python. La persistencia de datos es un pilar fundamental en cualquier proyecto de software, y ustedes han logrado implementarla de forma segura y estructurada.Me complace ver que aplicaron correctamente el uso de parámetros seguros (?) en sus consultas SQL. Esta es una práctica profesional innegociable para prevenir ataques de Inyección SQL, y ustedes la dominaron a la perfección. Además, la inclusión del bloque try-except para capturar el sqlite3.IntegrityError cuando un email se repite demuestra que están pensando en la robustez del sistema y en la experiencia del usuario final.La estructura de sus tablas es correcta y el uso de PRAGMA foreign_keys = ON; asegura que las relaciones entre Ventas, Cliente y Producto se respeten a nivel de motor de base de datos. Las pruebas de ejecución (Sanity Check) al final del Notebook confirman que sus funciones CRUD operan exactamente como se espera.Sigan con este nivel de rigurosidad técnica. Este conocimiento será la base de su Taller del Corte 2, donde escalarán su MVP a una arquitectura profesional. ¡Están haciendo un gran trabajo como futuros CTOs!Rúbrica de CalificaciónCriterio de EvaluaciónRequisito TécnicoPuntaje MáximoPuntaje ObtenidoCreación de Tablas y RelacionesTablas creadas con los tipos de datos correctos y al menos 2 Llaves Foráneas (FK) implementadas.15.015.0Operaciones CRUDImplementación funcional de Create, Read, Update y Delete.15.015.0Seguridad y RobustezUso de parámetros seguros (?) y manejo de excepciones (IntegrityError).10.010.0Pruebas y DocumentaciónPruebas ejecutables en el código y comentarios explicativos claros.10.010.0TOTAL50.040.0Diego Mauricio Zuluaga RodríguezProfesor - Departamento de EconomíaUniversidad de La Sabana"/>
    <n v="40"/>
    <n v="50"/>
    <n v="0.8"/>
  </r>
  <r>
    <x v="21"/>
    <s v="Juan David"/>
    <s v="Neuta Medina"/>
    <s v="juanneme@unisabana.edu.co"/>
    <x v="6"/>
    <d v="2026-04-01T00:00:00"/>
    <x v="2"/>
    <s v="Entregado"/>
    <s v="🚀 Calificación Tarea 1 - Clase 7: CRUD en SQLiteIntegrantes: Juan David Neuta Medina, Laura Fernanda Lopez Parra, Jose Daniel Escobar Hurtado.Calificación Final: 50/50 (Equivalente a 5.0)¡Hola, equipo! Qué gusto saludarles. He revisado detalladamente su entrega y debo decir que han realizado un trabajo excepcional, de nivel profesional. Han demostrado no solo que comprenden la sintaxis de SQL en Python, sino que tienen la capacidad de aplicar lógica de negocio real a una arquitectura de datos.Me impresionó gratamente la profundidad que le dieron al módulo de Ventas. No se limitaron a insertar una fila; implementaron validaciones de stock antes de vender y, lo más avanzado, programaron la actualización y eliminación de ventas de modo que el inventario se restaure o ajuste automáticamente. Ese manejo de la consistencia de datos es lo que separa a un programador básico de un verdadero arquitecto de software.Otro punto muy alto fue el uso de la cláusula JOIN en la lectura de ventas. Mostrar los nombres reales de los clientes y productos en lugar de solo los IDs numéricos es fundamental para que un sistema sea útil para el usuario final (UX). Además, el manejo de errores con try-except para capturar violaciones de unicidad en los correos y restricciones de llaves foráneas demuestra que su código es robusto y &quot;a prueba de balas&quot;.Sigan con este nivel de compromiso y atención al detalle. Tienen una base técnica sumamente sólida para enfrentar el Taller del Corte 2. Este archivo que construyeron hoy es prácticamente el motor que necesitan para que su Startup sea exitosa. ¡Felicitaciones por este gran resultado!Rúbrica de CalificaciónCriterio de EvaluaciónRequisito TécnicoPuntaje MáximoPuntaje ObtenidoCreación de Tablas y RelacionesTablas creadas con tipos correctos, PK, FK y activación de PRAGMA.15.015.0Operaciones CRUDImplementación funcional de Create, Read, Update y Delete en todos los módulos.15.015.0Seguridad y RobustezUso de parámetros seguros (?) y manejo avanzado de lógica de stock y excepciones.10.010.0Pruebas y DocumentaciónPruebas exhaustivas, formato visual impecable y comentarios claros.10.010.0TOTAL50.050.0Diego Mauricio Zuluaga RodríguezProfesor - Departamento de EconomíaUniversidad de La Sabana"/>
    <n v="50"/>
    <n v="50"/>
    <n v="1"/>
  </r>
  <r>
    <x v="22"/>
    <s v="Laura Fernanda"/>
    <s v="Lopez Parra"/>
    <s v="lauraloppa@unisabana.edu.co"/>
    <x v="6"/>
    <d v="2026-04-01T00:00:00"/>
    <x v="2"/>
    <s v="Entregado"/>
    <s v="🚀 Calificación Tarea 1 - Clase 7: CRUD en SQLiteIntegrantes: Juan David Neuta Medina, Laura Fernanda Lopez Parra, Jose Daniel Escobar Hurtado.Calificación Final: 50/50 (Equivalente a 5.0)¡Hola, equipo! Qué gusto saludarles. He revisado detalladamente su entrega y debo decir que han realizado un trabajo excepcional, de nivel profesional. Han demostrado no solo que comprenden la sintaxis de SQL en Python, sino que tienen la capacidad de aplicar lógica de negocio real a una arquitectura de datos.Me impresionó gratamente la profundidad que le dieron al módulo de Ventas. No se limitaron a insertar una fila; implementaron validaciones de stock antes de vender y, lo más avanzado, programaron la actualización y eliminación de ventas de modo que el inventario se restaure o ajuste automáticamente. Ese manejo de la consistencia de datos es lo que separa a un programador básico de un verdadero arquitecto de software.Otro punto muy alto fue el uso de la cláusula JOIN en la lectura de ventas. Mostrar los nombres reales de los clientes y productos en lugar de solo los IDs numéricos es fundamental para que un sistema sea útil para el usuario final (UX). Además, el manejo de errores con try-except para capturar violaciones de unicidad en los correos y restricciones de llaves foráneas demuestra que su código es robusto y &quot;a prueba de balas&quot;.Sigan con este nivel de compromiso y atención al detalle. Tienen una base técnica sumamente sólida para enfrentar el Taller del Corte 2. Este archivo que construyeron hoy es prácticamente el motor que necesitan para que su Startup sea exitosa. ¡Felicitaciones por este gran resultado!Rúbrica de CalificaciónCriterio de EvaluaciónRequisito TécnicoPuntaje MáximoPuntaje ObtenidoCreación de Tablas y RelacionesTablas creadas con tipos correctos, PK, FK y activación de PRAGMA.15.015.0Operaciones CRUDImplementación funcional de Create, Read, Update y Delete en todos los módulos.15.015.0Seguridad y RobustezUso de parámetros seguros (?) y manejo avanzado de lógica de stock y excepciones.10.010.0Pruebas y DocumentaciónPruebas exhaustivas, formato visual impecable y comentarios claros.10.010.0TOTAL50.050.0Diego Mauricio Zuluaga RodríguezProfesor - Departamento de EconomíaUniversidad de La Sabana"/>
    <n v="50"/>
    <n v="50"/>
    <n v="1"/>
  </r>
  <r>
    <x v="23"/>
    <s v="Lukas"/>
    <s v="Blanco Llanes"/>
    <s v="lukasblll@unisabana.edu.co"/>
    <x v="6"/>
    <d v="2026-04-01T00:00:00"/>
    <x v="2"/>
    <s v="Entregado"/>
    <s v="🗄️ Retroalimentación de la Entrega: Tarea 1 - Clase 7 - CRUD en SQLiteIntegrantes: Juan Sebastian Salas Hinojosa, Alan David Rossoff Vanegas, Lukas Blanco Llanes. Calificación Final: 50/50 (Equivalente a 5.0) ¡Hola, equipo! Qué gusto saludarles. He revisado a fondo su entrega y debo decir que han realizado un trabajo de un nivel técnico excepcional. No solo cumplieron con los requisitos básicos de la tarea, sino que demostraron una atención al detalle que es fundamental para cualquier analista de datos o arquitecto de software profesional.Me llamó gratamente la atención el uso de restricciones avanzadas en la creación de las tablas, específicamente el CHECK(tipo_cliente IN (...)). Esto garantiza que la base de datos sea íntegra desde su origen, evitando que se ingresen categorías que no existen en el negocio. Es un &quot;Sanity Check&quot; preventivo de gran valor.En el módulo de Ventas (Carrito de Compras), su lógica es impecable. El hecho de que la función crear_venta busque primero el precio en la tabla de productos para calcular el total automáticamente, y que la función actualizar_venta recalcule ese total si cambia la cantidad, demuestra que entienden perfectamente cómo debe fluir la información en un sistema real. Además, el uso de JOIN en las consultas de lectura para mostrar nombres en lugar de simples números de ID hace que el reporte sea verdaderamente útil para un usuario final.La seguridad mediante el uso de parámetros ? y el manejo de excepciones con IntegrityError cierran con broche de oro una entrega muy robusta. Han demostrado que dominan la persistencia de datos y la arquitectura relacional, lo cual les da una ventaja competitiva enorme para el Taller del Corte 2.Sigan con esa curiosidad técnica y ese rigor. Están construyendo una base muy sólida para lo que resta del semestre. ¡Felicitaciones por este excelente resultado! Rúbrica de CalificaciónCriterio de EvaluaciónRequisito TécnicoPuntaje MáximoPuntaje ObtenidoCreación de Tablas y RelacionesTablas normalizadas, uso correcto de PK/FK y activación de PRAGMA.15.015.0Operaciones CRUDImplementación funcional y lógica de las 4 operaciones en todos los módulos.15.015.0Seguridad y RobustezUso de parámetros seguros y validación de existencia de registros.10.010.0Pruebas y DocumentaciónBatería de pruebas exhaustiva y comentarios claros en el código.10.010.0TOTAL50.050.0  Diego Mauricio Zuluaga RodríguezProfesor - Departamento de EconomíaUniversidad de La Sabana"/>
    <n v="50"/>
    <n v="50"/>
    <n v="1"/>
  </r>
  <r>
    <x v="24"/>
    <s v="Juan Sebastian"/>
    <s v="Salas Hinojosa"/>
    <s v="juansahi@unisabana.edu.co"/>
    <x v="6"/>
    <d v="2026-04-01T00:00:00"/>
    <x v="2"/>
    <s v="Entregado"/>
    <s v="🗄️ Retroalimentación de la Entrega: Tarea 1 - Clase 7 - CRUD en SQLiteIntegrantes: Juan Sebastian Salas Hinojosa, Alan David Rossoff Vanegas, Lukas Blanco Llanes.Calificación Final: 50/50 (Equivalente a 5.0)¡Hola, equipo! Qué gusto saludarles. He revisado a fondo su entrega y debo decir que han realizado un trabajo de un nivel técnico excepcional. No solo cumplieron con los requisitos básicos de la tarea, sino que demostraron una atención al detalle que es fundamental para cualquier analista de datos o arquitecto de software profesional.Me llamó gratamente la atención el uso de restricciones avanzadas en la creación de las tablas, específicamente el CHECK(tipo_cliente IN (...)). Esto garantiza que la base de datos sea íntegra desde su origen, evitando que se ingresen categorías que no existen en el negocio. Es un &quot;Sanity Check&quot; preventivo de gran valor.En el módulo de Ventas (Carrito de Compras), su lógica es impecable. El hecho de que la función crear_venta busque primero el precio en la tabla de productos para calcular el total automáticamente, y que la función actualizar_venta recalcule ese total si cambia la cantidad, demuestra que entienden perfectamente cómo debe fluir la información en un sistema real. Además, el uso de JOIN en las consultas de lectura para mostrar nombres en lugar de simples números de ID hace que el reporte sea verdaderamente útil para un usuario final.La seguridad mediante el uso de parámetros ? y el manejo de excepciones con IntegrityError cierran con broche de oro una entrega muy robusta. Han demostrado que dominan la persistencia de datos y la arquitectura relacional, lo cual les da una ventaja competitiva enorme para el Taller del Corte 2.Sigan con esa curiosidad técnica y ese rigor. Están construyendo una base muy sólida para lo que resta del semestre. ¡Felicitaciones por este excelente resultado!Rúbrica de CalificaciónCriterio de EvaluaciónRequisito TécnicoPuntaje MáximoPuntaje ObtenidoCreación de Tablas y RelacionesTablas normalizadas, uso correcto de PK/FK y activación de PRAGMA.15.015.0Operaciones CRUDImplementación funcional y lógica de las 4 operaciones en todos los módulos.15.015.0Seguridad y RobustezUso de parámetros seguros y validación de existencia de registros.10.010.0Pruebas y DocumentaciónBatería de pruebas exhaustiva y comentarios claros en el código.10.010.0TOTAL50.050.0Diego Mauricio Zuluaga RodríguezProfesor - Departamento de EconomíaUniversidad de La Sabana"/>
    <n v="50"/>
    <n v="50"/>
    <n v="1"/>
  </r>
  <r>
    <x v="25"/>
    <s v="Avril Avril"/>
    <s v="Ariza Quitian"/>
    <s v="avrilarqu@unisabana.edu.co"/>
    <x v="6"/>
    <d v="2026-04-01T00:00:00"/>
    <x v="2"/>
    <s v="Entregado"/>
    <s v="🗄️ Retroalimentación de la Entrega: Tarea 1 - Clase 7 - CRUD en SQLite Integrantes del Grupo: Samantha Vanegas Russi, Avril Ariza Quitian. Calificación Final: 23/50 (Equivalente a 2.3) (Nota: Se aplicó una penalización de -10 puntos por entrega extemporánea). ¡Hola, equipo! Espero que se encuentren muy bien. He revisado su entrega y quiero compartirles mis comentarios para que sigamos mejorando en este proceso de aprendizaje.Primero, quiero destacar su iniciativa y capacidad de investigación. Noté que al final de su Notebook incluyeron configuraciones avanzadas como timeout=20 y PRAGMA journal_mode = WAL. Esto me demuestra que se enfrentaron al famoso error de base de datos bloqueada (database is locked) y buscaron activamente cómo solucionarlo. ¡Esa es la actitud de unas verdaderas CTOs! Además, aplicaron correctamente los parámetros seguros (?) en sus consultas, lo cual es excelente para la seguridad del sistema.Sin embargo, el código presentó varios errores de ejecución que detuvieron el programa. El primero fue un IntegrityError al intentar crear un cliente con un correo que ya existía; para evitar que el programa colapse aquí, es vital usar un bloque try-except.El segundo error fue un OperationalError: no such table: main.Producto. Aunque crearon la tabla de Ventas con sus Llaves Foráneas, olvidaron incluir el código para crear la tabla Producto antes de intentar insertar datos en ella o relacionarla. Recuerden que en SQL el orden importa mucho: no podemos hacer referencia a una tabla que aún no existe.También noté la ausencia de documentación y comentarios explicativos en el código, lo cual era un requisito de la rúbrica. Comentar el código no solo es para el profesor, es para que ustedes mismas entiendan su lógica cuando vuelvan a leer el archivo semanas después.Finalmente, debo mencionar el aspecto de la Autogestión. La tarea fue entregada el miércoles 8 de abril a las 4:28 p.m., superando la fecha límite establecida. En el desarrollo de software y en los negocios, el cumplimiento de los tiempos de entrega es tan importante como que el código funcione. Por respeto a las reglas del juego, se aplica la penalización correspondiente de -10 puntos.No se desanimen por los errores técnicos, son parte fundamental de aprender a programar. Tienen una buena base lógica, solo necesitan afinar los detalles, estructurar mejor el orden de ejecución y planificar sus tiempos. ¡Mucho ánimo para los próximos retos, sé que tienen el potencial para lograr la excelencia! Rúbrica de Calificación Criterio de EvaluaciónRequisito TécnicoPuntaje MáximoPuntaje ObtenidoCreación de Tablas y RelacionesTablas creadas con los tipos de datos correctos y FK. (Faltó crear la tabla Producto, lo que rompió la ejecución).15.010.0Operaciones CRUDImplementación de Create, Read, Update y Delete. (Las funciones están bien estructuradas lógicamente).15.012.0Seguridad y RobustezUso de parámetros seguros (?) y manejo de excepciones. (Faltó el try-except para el IntegrityError).10.07.0Pruebas y DocumentaciónPruebas ejecutables y comentarios explicativos. (Las pruebas colapsaron y faltó documentación).10.04.0Penalización por AutogestiónEntrega extemporánea (8 de abril a las 4:28 p.m.).-10.0-10.0TOTAL50.023.0  Diego Mauricio Zuluaga RodríguezProfesor - Departamento de EconomíaUniversidad de La Sabana"/>
    <n v="23"/>
    <n v="50"/>
    <n v="0.46"/>
  </r>
  <r>
    <x v="26"/>
    <s v="Samuel David"/>
    <s v="Simancas Contreras"/>
    <s v="samuelsico@unisabana.edu.co"/>
    <x v="6"/>
    <d v="2026-04-01T00:00:00"/>
    <x v="2"/>
    <s v="Entregado"/>
    <s v="⚠️ Seguimiento de Autogestión: Tarea CRUD en SQLiteHola Samuel,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27"/>
    <s v="Maria Jose"/>
    <s v="Huertas Osorio"/>
    <s v="mariahueos@unisabana.edu.co"/>
    <x v="6"/>
    <d v="2026-04-01T00:00:00"/>
    <x v="2"/>
    <s v="Entregado"/>
    <s v="⚠️ Seguimiento de Autogestión: Tarea CRUD en SQLiteHola Maria Jose,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28"/>
    <s v="Juan Camilo"/>
    <s v="Leyton Lancheros"/>
    <s v="juanleyla@unisabana.edu.co"/>
    <x v="6"/>
    <d v="2026-04-01T00:00:00"/>
    <x v="2"/>
    <s v="Entregado"/>
    <s v="⚠️ Seguimiento de Autogestión: Tarea CRUD en SQLiteHola Juan Camilo,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29"/>
    <s v="Samuel Mathias"/>
    <s v="Gonzalez Bernal"/>
    <s v="samuelgonbe@unisabana.edu.co"/>
    <x v="6"/>
    <d v="2026-04-01T00:00:00"/>
    <x v="2"/>
    <s v="Entregado"/>
    <s v="🗄️ Calificación: Tarea 1 - Clase 7 - CRUD en SQLite Integrantes: Sebastián Vanoy Gutiérrez, Samuel David Lozano Holguín, Samuel Mathias González Bernal. Calificación Final: 50/50 (Equivalente a 5.0) ¡Hola, equipo! Qué gusto saludarles. He revisado detalladamente su entrega y quiero empezar felicitándoles por el nivel técnico demostrado. Han ido un paso más allá de lo básico, integrando conceptos avanzados que no solo cumplen con la tarea, sino que demuestran una mentalidad de desarrolladores profesionales.Me pareció excelente el uso de conn.row_factory = sqlite3.Row. Esta es una práctica de alto nivel que permite acceder a los datos por el nombre de la columna en lugar de por índice, lo que hace que el código sea mucho más legible y menos propenso a errores. Además, la implementación del CHECK en la tabla de clientes para restringir los tipos permitidos ('Estudiante', 'Profesor', 'Admin') es un detalle de validación de datos impecable que protege la integridad de la base de datos desde su creación.En cuanto a la funcionalidad CRUD, el trabajo es impecable. El uso de los parámetros seguros (?) para evitar la inyección SQL es correcto en todas las funciones. También destaco la función leer_ventas, donde utilizaron de forma magistral la cláusula INNER JOIN para cruzar las tablas de ventas, clientes y productos. Esto permite que el reporte final sea verdaderamente útil para un usuario de negocios, mostrando nombres reales en lugar de simples números de ID.La documentación mediante docstrings y comentarios es clara y facilita mucho el seguimiento de la lógica. Las pruebas de ejecución son exhaustivas y cubren todos los escenarios de creación, consulta, actualización y borrado, demostrando que el sistema es robusto y está listo para ser escalado.Sigan con esa curiosidad técnica y ese rigor. Tienen una base muy sólida para el proyecto final del Corte 2, donde deberán integrar esta persistencia de datos con la lógica de objetos que ya dominan. ¡Excelente trabajo, emprendedores! 📊 Rúbrica de CalificaciónCriterio de EvaluaciónRequisito TécnicoPuntaje MáximoPuntaje ObtenidoCreación de Tablas y RelacionesTablas creadas con tipos correctos, PK, AUTOINCREMENT y al menos 2 FK funcionales.15.015.0Operaciones CRUD CompletasImplementación funcional de Create, Read, Update y Delete para todos los módulos.15.015.0Seguridad y RobustezUso de parámetros seguros (?) y validaciones adicionales (como el uso de CHECK).10.010.0Pruebas y DocumentaciónPruebas de ejecución claras para cada operación y código bien comentado.10.010.0TOTAL50.050.0  Diego Mauricio Zuluaga RodríguezProfesor - Departamento de EconomíaUniversidad de La Sabana"/>
    <n v="50"/>
    <n v="50"/>
    <n v="1"/>
  </r>
  <r>
    <x v="30"/>
    <s v="Valeria"/>
    <s v="Morales"/>
    <s v="valeriamor@unisabana.edu.co"/>
    <x v="6"/>
    <d v="2026-04-01T00:00:00"/>
    <x v="2"/>
    <s v="Entregado"/>
    <s v="🗄️ Calificación: Tarea 1 - Clase 7 - CRUD en SQLiteIntegrantes: Valeria Morales, Isabella Carranza Tapiero y Paula Andrea Arciniegas Cárdenas.Calificación Final: 50/50 (5.0)¡Hola, equipo! Qué gusto saludarlas. He revisado detalladamente su entrega y quiero felicitarlas por el excelente nivel técnico que han demostrado en este ejercicio. Han logrado capturar la esencia de la persistencia de datos, transformando un código que antes &quot;olvidaba&quot; todo al cerrarse, en un sistema con memoria sólida y estructurada.Uno de los puntos más destacados de su trabajo es la rigurosidad con la que aplicaron el comando PRAGMA foreign_keys = ON. Muchas veces este detalle se pasa por alto, pero es lo que realmente garantiza que las relaciones entre sus tablas (como la de Ventas con Clientes y Productos) funcionen con integridad profesional. Sin esto, la base de datos sería solo un conjunto de tablas aisladas.Me pareció muy acertado y profesional el uso de cursor.lastrowid en las pruebas finales. Esta es una técnica avanzada que demuestra que entienden cómo fluye la información en tiempo real: capturan el ID que la base de datos acaba de generar automáticamente para usarlo de inmediato en la siguiente transacción. Eso es &quot;Sanity Check&quot; de alto nivel.El código está impecablemente documentado y el uso de los parámetros ? para evitar la inyección SQL cumple con los estándares de seguridad que exigimos en el curso. Han construido una base muy fuerte para el Taller del Corte 2. Sigan con esa misma disciplina y atención al detalle; tienen todo para ser las mejores CTOs de sus proyectos.¡Excelente trabajo y disfruten su merecido descanso de Semana Santa!📊 Rúbrica de Calificación (Total: 50 puntos)CriterioDescripciónPuntaje MáximoPuntaje ObtenidoEstructura y RelacionesCreación correcta de tablas con PK, AUTOINCREMENT y al menos 2 FK funcionales.15.015.0Operaciones CRUDImplementación completa de Crear, Leer, Actualizar y Eliminar para todos los módulos.15.015.0Seguridad SQLUso correcto de parámetros seguros (?) para prevenir inyecciones.10.010.0Pruebas y ValidaciónInclusión de un bloque de pruebas funcional que demuestra el éxito de cada operación.5.05.0Documentación y FormatoComentarios claros en cada celda y entrega en formato .ipynb.5.05.0TOTAL50.050.0Diego Mauricio Zuluaga RodríguezProfesor - Departamento de EconomíaUniversidad de La Sabana"/>
    <n v="50"/>
    <n v="50"/>
    <n v="1"/>
  </r>
  <r>
    <x v="31"/>
    <s v="Samantha"/>
    <s v="Vanegas Russi"/>
    <s v="samanthavaru@unisabana.edu.co"/>
    <x v="6"/>
    <d v="2026-04-01T00:00:00"/>
    <x v="2"/>
    <s v="Entregado"/>
    <s v="🗄️ Retroalimentación de la Entrega: Tarea 1 - Clase 7 - CRUD en SQLiteIntegrantes del Grupo: Samantha Vanegas Russi, Avril Ariza Quitian.Calificación Final: 23/50 (Equivalente a 2.3)(Nota: Se aplicó una penalización de -10 puntos por entrega extemporánea).¡Hola, equipo! Espero que se encuentren muy bien. He revisado su entrega y quiero compartirles mis comentarios para que sigamos mejorando en este proceso de aprendizaje.Primero, quiero destacar su iniciativa y capacidad de investigación. Noté que al final de su Notebook incluyeron configuraciones avanzadas como timeout=20 y PRAGMA journal_mode = WAL. Esto me demuestra que se enfrentaron al famoso error de base de datos bloqueada (database is locked) y buscaron activamente cómo solucionarlo. ¡Esa es la actitud de unas verdaderas CTOs! Además, aplicaron correctamente los parámetros seguros (?) en sus consultas, lo cual es excelente para la seguridad del sistema.Sin embargo, el código presentó varios errores de ejecución que detuvieron el programa. El primero fue un IntegrityError al intentar crear un cliente con un correo que ya existía; para evitar que el programa colapse aquí, es vital usar un bloque try-except.El segundo error fue un OperationalError: no such table: main.Producto. Aunque crearon la tabla de Ventas con sus Llaves Foráneas, olvidaron incluir el código para crear la tabla Producto antes de intentar insertar datos en ella o relacionarla. Recuerden que en SQL el orden importa mucho: no podemos hacer referencia a una tabla que aún no existe.También noté la ausencia de documentación y comentarios explicativos en el código, lo cual era un requisito de la rúbrica. Comentar el código no solo es para el profesor, es para que ustedes mismas entiendan su lógica cuando vuelvan a leer el archivo semanas después.Finalmente, debo mencionar el aspecto de la Autogestión. La tarea fue entregada el miércoles 8 de abril a las 4:28 p.m., superando la fecha límite establecida. En el desarrollo de software y en los negocios, el cumplimiento de los tiempos de entrega es tan importante como que el código funcione. Por respeto a las reglas del juego, se aplica la penalización correspondiente de -10 puntos.No se desanimen por los errores técnicos, son parte fundamental de aprender a programar. Tienen una buena base lógica, solo necesitan afinar los detalles, estructurar mejor el orden de ejecución y planificar sus tiempos. ¡Mucho ánimo para los próximos retos, sé que tienen el potencial para lograr la excelencia!Rúbrica de CalificaciónCriterio de EvaluaciónRequisito TécnicoPuntaje MáximoPuntaje ObtenidoCreación de Tablas y RelacionesTablas creadas con los tipos de datos correctos y FK. (Faltó crear la tabla Producto, lo que rompió la ejecución).15.010.0Operaciones CRUDImplementación de Create, Read, Update y Delete. (Las funciones están bien estructuradas lógicamente).15.012.0Seguridad y RobustezUso de parámetros seguros (?) y manejo de excepciones. (Faltó el try-except para el IntegrityError).10.07.0Pruebas y DocumentaciónPruebas ejecutables y comentarios explicativos. (Las pruebas colapsaron y faltó documentación).10.04.0Penalización por AutogestiónEntrega extemporánea (8 de abril a las 4:28 p.m.).-10.0-10.0TOTAL50.023.0Diego Mauricio Zuluaga RodríguezProfesor - Departamento de EconomíaUniversidad de La Sabana"/>
    <n v="23"/>
    <n v="50"/>
    <n v="0.46"/>
  </r>
  <r>
    <x v="32"/>
    <s v="Juan Jose"/>
    <s v="Caballero Mantilla"/>
    <s v="juancabma@unisabana.edu.co"/>
    <x v="6"/>
    <d v="2026-04-01T00:00:00"/>
    <x v="2"/>
    <s v="Entregado"/>
    <s v="🗄️ Retroalimentación de la Entrega: CRUD y Arquitectura Relacional en SQLite Integrantes: Martin Martin Trujillo Rodriguez, Daniel Camilo Lopez Piraquive, Juan Jose Caballero Mantilla. Calificación Final: 46/50 (Equivalente a 4.6) ¡Hola, equipo! Qué gusto saludarlos. He revisado detalladamente su entrega y quiero empezar felicitándolos por la limpieza y el orden de su código. Se nota que hay una intención clara de profesionalismo en la forma en que presentan los resultados, especialmente con ese reporte final tan bien tabulado que facilita enormemente el &quot;Sanity Check&quot; de los datos.Un punto muy valioso en su desarrollo fue la implementación del bloque de &quot;Limpieza Total&quot; al inicio. El uso de DROP TABLE IF EXISTS es una práctica excelente durante la fase de desarrollo, ya que les permite iterar y probar el código sin que los errores de &quot;tabla ya existente&quot; o datos duplicados bloqueen la ejecución. Además, la activación de PRAGMA foreign_keys = ON; demuestra que entendieron la importancia de que el motor de la base de datos sea quien vigile la integridad de las relaciones.Técnicamente, el uso de executemany para la inserción de datos es impecable. Es la forma más eficiente de poblar una base de datos y el uso de los placeholders ? garantiza que su aplicación sea segura contra ataques de inyección SQL. El INNER JOIN que realizaron para el reporte final está perfectamente estructurado, logrando cruzar la información de productos con sus respectivos proveedores de manera lógica y natural.Como única observación para alcanzar la excelencia total, noté que se centraron principalmente en la relación entre Productos y Proveedores (que era el núcleo de la Tarea 2). Sin embargo, la instrucción de la Tarea 1 solicitaba replicar el CRUD también para las entidades de Cliente y Ventas. Aunque la lógica que aplicaron es totalmente escalable a esos módulos, para esta entrega específica nos faltó cubrir esas tablas adicionales que se pedían en el enunciado original.Sigan con ese nivel de detalle. Tienen una capacidad muy clara para estructurar bases de datos relacionales y eso es una ventaja competitiva inmensa en el mundo de la analítica y la economía. ¡Están muy bien preparados para el reto de escalabilidad que se viene en el Taller del Corte 2! Rúbrica de CalificaciónCriterio de EvaluaciónRequisito TécnicoPuntaje MáximoPuntaje ObtenidoCreación de Tablas y RelacionesTablas con PK/FK y tipos de datos correctos.15.015.0Operaciones CRUDImplementación de creación, lectura y borrado funcional.15.011.0Seguridad y RobustezUso de parámetros seguros (?) y placeholders.10.010.0Pruebas y DocumentaciónReporte final profesional y código organizado.10.010.0TOTAL50.046.0  Diego Mauricio Zuluaga RodríguezProfesor - Departamento de EconomíaUniversidad de La Sabana"/>
    <n v="46"/>
    <n v="50"/>
    <n v="0.92"/>
  </r>
  <r>
    <x v="33"/>
    <s v="Daniel Camilo"/>
    <s v="Lopez Piraquive"/>
    <s v="danielloppi@unisabana.edu.co"/>
    <x v="6"/>
    <d v="2026-04-01T00:00:00"/>
    <x v="2"/>
    <s v="Entregado"/>
    <s v="🗄️ Retroalimentación de la Entrega: CRUD y Arquitectura Relacional en SQLiteIntegrantes: Martin Martin Trujillo Rodriguez, Daniel Camilo Lopez Piraquive, Juan Jose Caballero Mantilla.Calificación Final: 46/50 (Equivalente a 4.6)¡Hola, equipo! Qué gusto saludarlos. He revisado detalladamente su entrega y quiero empezar felicitándolos por la limpieza y el orden de su código. Se nota que hay una intención clara de profesionalismo en la forma en que presentan los resultados, especialmente con ese reporte final tan bien tabulado que facilita enormemente el &quot;Sanity Check&quot; de los datos.Un punto muy valioso en su desarrollo fue la implementación del bloque de &quot;Limpieza Total&quot; al inicio. El uso de DROP TABLE IF EXISTS es una práctica excelente durante la fase de desarrollo, ya que les permite iterar y probar el código sin que los errores de &quot;tabla ya existente&quot; o datos duplicados bloqueen la ejecución. Además, la activación de PRAGMA foreign_keys = ON; demuestra que entendieron la importancia de que el motor de la base de datos sea quien vigile la integridad de las relaciones.Técnicamente, el uso de executemany para la inserción de datos es impecable. Es la forma más eficiente de poblar una base de datos y el uso de los placeholders ? garantiza que su aplicación sea segura contra ataques de inyección SQL. El INNER JOIN que realizaron para el reporte final está perfectamente estructurado, logrando cruzar la información de productos con sus respectivos proveedores de manera lógica y natural.Como única observación para alcanzar la excelencia total, noté que se centraron principalmente en la relación entre Productos y Proveedores (que era el núcleo de la Tarea 2). Sin embargo, la instrucción de la Tarea 1 solicitaba replicar el CRUD también para las entidades de Cliente y Ventas. Aunque la lógica que aplicaron es totalmente escalable a esos módulos, para esta entrega específica nos faltó cubrir esas tablas adicionales que se pedían en el enunciado original.Sigan con ese nivel de detalle. Tienen una capacidad muy clara para estructurar bases de datos relacionales y eso es una ventaja competitiva inmensa en el mundo de la analítica y la economía. ¡Están muy bien preparados para el reto de escalabilidad que se viene en el Taller del Corte 2!Rúbrica de CalificaciónCriterio de EvaluaciónRequisito TécnicoPuntaje MáximoPuntaje ObtenidoCreación de Tablas y RelacionesTablas con PK/FK y tipos de datos correctos.15.015.0Operaciones CRUDImplementación de creación, lectura y borrado funcional.15.011.0Seguridad y RobustezUso de parámetros seguros (?) y placeholders.10.010.0Pruebas y DocumentaciónReporte final profesional y código organizado.10.010.0TOTAL50.046.0Diego Mauricio Zuluaga RodríguezProfesor - Departamento de EconomíaUniversidad de La Sabana"/>
    <n v="46"/>
    <n v="50"/>
    <n v="0.92"/>
  </r>
  <r>
    <x v="34"/>
    <s v="Gabriela"/>
    <s v="Ruiz Perez"/>
    <s v="gabrielarupe@unisabana.edu.co"/>
    <x v="6"/>
    <d v="2026-04-01T00:00:00"/>
    <x v="2"/>
    <s v="Entregado"/>
    <s v="⚠️ Seguimiento de Autogestión: Tarea CRUD en SQLiteHola Gabriela,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35"/>
    <s v="Juan Sebastian"/>
    <s v="Perdomo Herrera"/>
    <s v="juanperhe@unisabana.edu.co"/>
    <x v="6"/>
    <d v="2026-04-01T00:00:00"/>
    <x v="2"/>
    <s v="Entregado"/>
    <s v="⚠️ Seguimiento de Autogestión: Tarea CRUD en SQLiteHola Juan Sebastián,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36"/>
    <s v="Martin Martin"/>
    <s v="Trujillo Rodriguez"/>
    <s v="martintrro@unisabana.edu.co"/>
    <x v="6"/>
    <d v="2026-04-01T00:00:00"/>
    <x v="2"/>
    <s v="Entregado"/>
    <s v="🗄️ Retroalimentación de la Entrega: CRUD y Arquitectura Relacional en SQLiteIntegrantes: Martin Martin Trujillo Rodriguez, Daniel Camilo Lopez Piraquive, Juan Jose Caballero Mantilla.Calificación Final: 46/50 (Equivalente a 4.6)¡Hola, equipo! Qué gusto saludarlos. He revisado detalladamente su entrega y quiero empezar felicitándolos por la limpieza y el orden de su código. Se nota que hay una intención clara de profesionalismo en la forma en que presentan los resultados, especialmente con ese reporte final tan bien tabulado que facilita enormemente el &quot;Sanity Check&quot; de los datos.Un punto muy valioso en su desarrollo fue la implementación del bloque de &quot;Limpieza Total&quot; al inicio. El uso de DROP TABLE IF EXISTS es una práctica excelente durante la fase de desarrollo, ya que les permite iterar y probar el código sin que los errores de &quot;tabla ya existente&quot; o datos duplicados bloqueen la ejecución. Además, la activación de PRAGMA foreign_keys = ON; demuestra que entendieron la importancia de que el motor de la base de datos sea quien vigile la integridad de las relaciones.Técnicamente, el uso de executemany para la inserción de datos es impecable. Es la forma más eficiente de poblar una base de datos y el uso de los placeholders ? garantiza que su aplicación sea segura contra ataques de inyección SQL. El INNER JOIN que realizaron para el reporte final está perfectamente estructurado, logrando cruzar la información de productos con sus respectivos proveedores de manera lógica y natural.Como única observación para alcanzar la excelencia total, noté que se centraron principalmente en la relación entre Productos y Proveedores (que era el núcleo de la Tarea 2). Sin embargo, la instrucción de la Tarea 1 solicitaba replicar el CRUD también para las entidades de Cliente y Ventas. Aunque la lógica que aplicaron es totalmente escalable a esos módulos, para esta entrega específica nos faltó cubrir esas tablas adicionales que se pedían en el enunciado original.Sigan con ese nivel de detalle. Tienen una capacidad muy clara para estructurar bases de datos relacionales y eso es una ventaja competitiva inmensa en el mundo de la analítica y la economía. ¡Están muy bien preparados para el reto de escalabilidad que se viene en el Taller del Corte 2!Rúbrica de CalificaciónCriterio de EvaluaciónRequisito TécnicoPuntaje MáximoPuntaje ObtenidoCreación de Tablas y RelacionesTablas con PK/FK y tipos de datos correctos.15.015.0Operaciones CRUDImplementación de creación, lectura y borrado funcional.15.011.0Seguridad y RobustezUso de parámetros seguros (?) y placeholders.10.010.0Pruebas y DocumentaciónReporte final profesional y código organizado.10.010.0TOTAL50.046.0Diego Mauricio Zuluaga RodríguezProfesor - Departamento de EconomíaUniversidad de La Sabana"/>
    <n v="46"/>
    <n v="50"/>
    <n v="0.92"/>
  </r>
  <r>
    <x v="37"/>
    <s v="Alan David"/>
    <s v="Rossoff Vanegas"/>
    <s v="alanrova@unisabana.edu.co"/>
    <x v="6"/>
    <d v="2026-04-01T00:00:00"/>
    <x v="2"/>
    <s v="Entregado"/>
    <s v="⚠️ Seguimiento de Autogestión: Tarea CRUD en SQLiteHola Alan, espero que estés teniendo un buen fin de semana.Al revisar el centro de calificaciones en Teams, noté con preocupación que no realizaste la entrega de la Tarea 1 - Clase 7 (CRUD en SQLite), la cual venció el pasado miércoles 1 de abril.Como hemos conversado en clase, la autogestión y el cumplimiento del cronograma son pilares fundamentales de nuestro curso. Más allá de la calificación, este ejercicio es el cimiento técnico que necesitas para que tu Taller del Corte 2 (30%) funcione correctamente. Sin dominar las operaciones CRUD, el escalamiento de tu MVP será una tarea muy compleja.Te animo a no bajar la guardia. Estamos a solo cuatro días de la entrega final del taller (miércoles 8 de abril) y a poco tiempo del parcial. Mi recomendación es que realices el ejercicio de forma autónoma lo antes posible para que valides tu lógica y llegues preparado a la sesión del miércoles.¡Ánimo! Todavía queda el porcentaje más alto del corte en juego y confío en que puedes retomar el ritmo de excelencia que traíamos.Nos vemos el miércoles a las 4:00 p.m. en el salón.Atentamente,Diego Mauricio Zuluaga RodríguezProfesor - Departamento de EconomíaUniversidad de La Sabana"/>
    <n v="0"/>
    <n v="50"/>
    <n v="0"/>
  </r>
  <r>
    <x v="38"/>
    <s v="Diego Alejandro"/>
    <s v="Hermida Limas"/>
    <s v="diegoherli@unisabana.edu.co"/>
    <x v="6"/>
    <d v="2026-04-01T00:00:00"/>
    <x v="2"/>
    <s v="Entregado"/>
    <s v="🗄️ Calificación Tarea 1 - Clase 7: CRUD en SQLite Integrantes: Simon Gustavo Restrepo Alvarez, Mateo Perez Daza y Diego Alejandro Hermida Limas. Calificación Final: 50/50 (Equivalente a 5.0) ¡Hola, equipo! Qué gusto saludarles. He revisado detalladamente su entrega y quiero felicitarlos porque han realizado un trabajo impecable. Se nota que hubo una planeación concienzuda y que comprendieron a la perfección cómo llevar la lógica de nuestra cafetería a un entorno de persistencia real con SQLite.Un punto que me pareció excelente y que demuestra un nivel de autogestión superior fue la inclusión de las sentencias DROP TABLE IF EXISTS. Aunque parece un detalle menor, en el mundo del desarrollo es una práctica muy útil para entornos de prueba, ya que permite ejecutar el notebook varias veces desde cero sin que el programa colapse porque las tablas ya existen. Eso es pensar como programadores profesionales.La implementación de las operaciones CRUD para los cuatro módulos (Clientes, Proveedores, Productos y Ventas) es totalmente funcional. El uso de consultas parametrizadas con el símbolo ? es el estándar de seguridad que buscamos para proteger la base de datos, y ustedes lo aplicaron correctamente en cada función. Además, activar el PRAGMA foreign_keys = ON; fue el toque final necesario para que las relaciones entre ventas, clientes y productos no fueran solo nombres, sino vínculos reales y protegidos.Como pequeña recomendación para su crecimiento técnico, en el módulo de Ventas podrían haber incluido una función de actualización (UPDATE), aunque entiendo que en registros transaccionales no siempre es común modificar una venta ya realizada. Sin embargo, para efectos de un CRUD completo, siempre es bueno tener la herramienta lista.Sigan con ese entusiasmo y esa rigurosidad. Están muy bien preparados para el Taller del Corte 2, donde el reto será integrar todo esto en una arquitectura de objetos aún más robusta. ¡Excelente camino el que están construyendo! Rúbrica de CalificaciónCriterio de EvaluaciónRequisito TécnicoPuntaje MáximoPuntaje ObtenidoCreación de Tablas y RelacionesTablas bien definidas con tipos de datos correctos y Llaves Foráneas (FK) funcionales.15.015.0Operaciones CRUDImplementación completa de Crear, Leer, Actualizar y Eliminar para los módulos solicitados.15.015.0Seguridad y ParámetrosUso correcto de ? para evitar inyección SQL en todas las consultas.10.010.0Pruebas y DocumentaciónEjecución exitosa de las pruebas en el Notebook y claridad en las explicaciones.10.010.0TOTAL50.050.0  Diego Mauricio Zuluaga RodríguezProfesor - Departamento de EconomíaUniversidad de La Sabana"/>
    <n v="50"/>
    <n v="50"/>
    <n v="1"/>
  </r>
  <r>
    <x v="0"/>
    <s v="Paula Andrea"/>
    <s v="Arciniegas Cardenas"/>
    <s v="paulaarcca@unisabana.edu.co"/>
    <x v="7"/>
    <d v="2026-04-08T00:00:00"/>
    <x v="3"/>
    <s v="Entregado"/>
    <s v="🚀 Retroalimentación de la Entrega: Taller Corte 2 - Arquitectura Profesional Integrantes: Paula Andrea Arciniegas Cárdenas, Valeria Morales, Isabella Carranza Tapiero. Proyecto: Ruta Óptima App - Sistema Logístico Calificación Final: 50/50 (Equivalente a 5.0) ¡Hola, equipo! Qué excelente trabajo han realizado. Han logrado tomar el MVP del primer corte y transformarlo en una verdadera aplicación de software con una arquitectura sólida y escalable. Se nota el esfuerzo, la dedicación y, sobre todo, la excelente autogestión que tuvieron como grupo.Quiero destacar primero su trabajo de planeación. Los diagramas que incluyeron en la carpeta design/ (el Diagrama de Clases y el Modelo Entidad-Relación) son de nivel profesional. Como hemos hablado en clase, un buen CTO no escribe código a ciegas; ustedes planearon su estructura de 3 tablas y su jerarquía de herencia antes de programar, y eso se reflejó en un código limpio y sin improvisaciones.En cuanto a la Programación Orientada a Objetos (POO), la implementación es impecable. Cumplieron con creces al crear las clases padre (Cliente, Paquete, Envio) y sus respectivas clases hijas. El uso de atributos privados (__nombre, __peso) junto con los métodos Getters y Setters demuestra que comprendieron a la perfección el concepto de Encapsulamiento para proteger la información de su negocio.Sobre la persistencia de datos y SQL, lograron un CRUD completamente funcional y robusto. La inserción de los 5 registros iniciales (la Regla de Oro) funcionó perfectamente. Además, la consulta JOIN que cruza las tres tablas para mostrar el reporte de envíos es exactamente el tipo de consultas que un analista de datos necesita para conectar esta base de datos con herramientas como Power BI en el futuro.Como un pequeño &quot;Sanity Check&quot; o consejo técnico para sus futuros proyectos: noté que definieron muy bien las Llaves Foráneas (FK) al crear las tablas, pero en SQLite es altamente recomendable ejecutar el comando cursor.execute(&quot;PRAGMA foreign_keys = ON;&quot;) justo después de conectarse a la base de datos. Esto obliga al motor a respetar esas relaciones y evitar que alguien borre un cliente que ya tiene paquetes asignados. De igual forma, el manejo de errores con try-except que implementaron blindó muy bien el sistema.Las felicito por este gran resultado. Tienen todas las bases técnicas y lógicas para afrontar el Segundo Parcial con total tranquilidad. Sigan trabajando con esta misma disciplina y atención al detalle, ¡tienen un gran futuro como líderes en tecnología y negocios! Criterio de EvaluaciónDescripción TécnicaPuntaje MáximoPuntaje ObtenidoLógica y Diseño (Arquitectura)Diagrama de Clases y Modelo ERD impecables en la carpeta design/. Excelente planeación.10.010.0POO y EncapsulamientoSuperan el requisito de 3 Clases Padre y 3 Hijos. Uso perfecto de self, encapsulamiento (__) y métodos get/set.15.015.0SQL y Relaciones (CRUD)Tablas normalizadas con PK/FK, 4 operaciones CRUD funcionales, JOIN de 3 tablas y datos mínimos insertados.15.015.0Robustez y GitHubExcelente uso de try-except en todo el menú y operaciones. Repositorio público con README profesional.10.010.0TOTAL50.050.0  Diego Mauricio Zuluaga RodríguezProfesor - Departamento de EconomíaUniversidad de La Sabana"/>
    <n v="50"/>
    <n v="50"/>
    <n v="1"/>
  </r>
  <r>
    <x v="1"/>
    <s v="Sofia"/>
    <s v="Giraldo Pico"/>
    <s v="sofiagipi@unisabana.edu.co"/>
    <x v="7"/>
    <d v="2026-04-08T00:00:00"/>
    <x v="3"/>
    <s v="Entregado"/>
    <s v="⚠️ Seguimiento de entrega: Taller Corte 2Hola Sofía,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
    <n v="35"/>
    <n v="50"/>
    <n v="0"/>
  </r>
  <r>
    <x v="2"/>
    <s v="Valery"/>
    <s v="Linares Hernandez"/>
    <s v="valerylihe@unisabana.edu.co"/>
    <x v="7"/>
    <d v="2026-04-08T00:00:00"/>
    <x v="3"/>
    <s v="Entregado"/>
    <s v="🚀 Retroalimentación de la Entrega: Taller Corte 2 - Arquitectura ProfesionalIntegrantes: María Juliana Mejía Quintero, Valery Linares Hernández, María José Botero Galviz.Calificación Final: 23/50 (Equivalente a 2.3)¡Hola, equipo! Espero que se encuentren muy bien. He revisado detalladamente su proyecto de la &quot;Pastelería&quot; y quiero compartirles mis comentarios. Valoro mucho el esfuerzo que hicieron para conectar Python con SQLite, ya que dar ese salto de la memoria RAM a una base de datos real es uno de los pasos más difíciles del curso.Puntos a destacar (Lo positivo):Lograron implementar correctamente la creación de la base de datos y las tablas con sus respectivas Llaves Primarias (PK) y Foráneas (FK). La consulta INNER JOIN que construyeron en la función ver_pedidos_completos() funciona a la perfección y demuestra que entienden cómo se relacionan los datos en un modelo relacional. Además, la inclusión de bloques try-except al momento de guardar en la base de datos es una excelente práctica de robustez.Oportunidades de Mejora (Por qué la calificación):Como Arquitectos de Software, debemos seguir los requerimientos técnicos al pie de la letra. En esta entrega hubo varias omisiones críticas respecto a las instrucciones de autogestión:Falta de Planeación (Carpeta Design): No incluyeron la carpeta design/ con el Diagrama de Clases ni el Modelo Entidad-Relación (ERD). Como lo advertía la rúbrica, un arquitecto no codifica sin planos, y esta ausencia penaliza fuertemente la nota.POO y Encapsulamiento Incompleto: Aunque usaron herencia (Persona -&amp;gt; Cliente), la rúbrica exigía al menos 3 clases padre y 3 clases hijo. Más importante aún, omitieron por completo el Encapsulamiento. Sus atributos son públicos (self.nombre = nombre) en lugar de privados (self.__nombre), y no implementaron los métodos get y set requeridos para proteger la información.Falta de Menú Interactivo y Registros: El sistema se ejecuta de forma secuencial y carece del menú interactivo (while) exigido para que el usuario pueda hacer las operaciones CRUD dinámicamente. Además, insertaron solo 3 registros por tabla, cuando la &quot;Regla de Oro&quot; del taller exigía un mínimo de 5 registros.Motivación:Sé que asimilar todos estos conceptos de arquitectura de software al mismo tiempo es un reto grande. Tienen la lógica de bases de datos muy clara, lo cual es un gran avance. Les sugiero revisar los apuntes sobre Encapsulamiento y Menús Interactivos para que puedan aplicar estos conceptos con éxito en el Segundo Parcial. ¡No se desanimen, de los errores en el código es de donde más se aprende!Rúbrica de CalificaciónCriterio de EvaluaciónRequisito TécnicoPuntaje MáximoPuntaje ObtenidoLógica y Diseño (Arquitectura)Diagrama de Clases y ERD en la carpeta design/. (No se entregó la carpeta design/).10.00.0POO y Encapsulamiento3 Clases Padre, 3 Hijos, uso de self, métodos get/set y encapsulamiento. (Faltó encapsulamiento, getters/setters y la cantidad de clases requeridas).15.05.0SQL y Relaciones (CRUD)Creación BD, PK/FK, 4 operaciones CRUD, uso de JOIN y mínimo 5 registros. (Buen SQL y JOIN, pero faltó el menú interactivo y solo insertaron 3 registros).15.010.0Robustez y GitHubUso de try-except, repositorio configurado con commits y README.md profesional. (Buen uso de try-except y entrega de repositorio).10.08.0TOTAL50.023.0  Diego Mauricio Zuluaga RodríguezProfesor - Departamento de EconomíaUniversidad de La Sabana"/>
    <n v="23"/>
    <n v="50"/>
    <n v="0.46"/>
  </r>
  <r>
    <x v="3"/>
    <s v="Nicolas"/>
    <s v="Torres Calderon"/>
    <s v="nicolastorca@unisabana.edu.co"/>
    <x v="7"/>
    <d v="2026-04-08T00:00:00"/>
    <x v="3"/>
    <s v="Entregado"/>
    <s v="🚀 Retroalimentación de la Entrega: Taller Corte 2 - Arquitectura Profesional GRUPO:TORRES CALDERON, NICOLAS LEYTON LANCHEROS, JUAN CAMILO BERMUDEZ , CRISTIAN ¡Hola, equipo! Espero que se encuentren muy bien. He revisado con detenimiento su entrega para este segundo corte y tengo varios puntos importantes que compartirles sobre su desempeño técnico y su autogestión.En primer lugar, quiero felicitarlos por la solidez técnica de su código. Lograron cumplir con creces el requerimiento de la Programación Orientada a Objetos (POO), implementando las tres jerarquías solicitadas (Persona, ProductoBase y Transaccion) con sus respectivos hijos. El uso del encapsulamiento con atributos privados y métodos getter/setter es impecable y demuestra que han asimilado muy bien cómo proteger la integridad de los datos en una aplicación profesional.En cuanto a la base de datos, su implementación en SQLite es excelente. El uso de PRAGMA foreign_keys = ON; es un detalle de alta calidad que asegura que las relaciones entre tablas sean reales y se respeten. El CRUD está completo y la consulta JOIN funciona perfectamente para consolidar la información de clientes y productos en un solo reporte. Además, cumplieron con la &quot;Regla de Oro&quot; de los 5 registros iniciales, lo cual facilitó la auditoría de su lógica.Sin embargo, debemos hablar de la Autogestión, que es una competencia central de este curso y una meta del Departamento de Economía. El taller exigía explícitamente la creación de un repositorio público en GitHub con una estructura específica (README y carpeta Design). Al realizar la entrega únicamente por Teams, están perdiendo la oportunidad de construir su portafolio profesional y demostrar el dominio de herramientas de control de versiones. Aunque la imagen de los diagramas que adjuntaron es de muy buena calidad y demuestra planeación, la ausencia del repositorio y del archivo README afecta significativamente la nota en el rubro de profesionalismo y seguimiento de instrucciones.Tienen un potencial técnico muy alto. El código es limpio, robusto gracias al uso de bloques try-except y está muy bien estructurado. Si logran alinear esa capacidad técnica con una disciplina rigurosa en el cumplimiento de los formatos de entrega y el uso de GitHub, sus perfiles como analistas de decisiones serán excepcionales.¡Mucho ánimo para el parcial! Si aplican esta misma lógica de POO y SQL en el examen presencial, estoy seguro de que obtendrán un gran resultado. Rúbrica de Calificación (Sobre 50 puntos) CriterioDescripciónPuntaje MáximoPuntaje ObtenidoLógica y DiseñoCalidad del Diagrama de Clases y ERD. (Se penaliza por no entregar en la carpeta design de GitHub).10.07.0POO y Encapsulamiento3 Clases Padre, 3 Hijos, uso de self, métodos get/set y encapsulamiento.15.015.0SQL y Relaciones (CRUD)Creación de BD, PK/FK, 4 operaciones CRUD, uso de JOIN y mínimo 5 registros.15.015.0Robustez y GitHubUso de try-except. (Se penaliza por ausencia total de Repositorio GitHub y README).10.03.0TOTALCalificación Final: 4.050.040.0  Diego Mauricio Zuluaga RodríguezProfesor - Departamento de EconomíaUniversidad de La Sabana"/>
    <n v="40"/>
    <n v="50"/>
    <n v="0.8"/>
  </r>
  <r>
    <x v="4"/>
    <s v="Cristian"/>
    <s v="Bermudez"/>
    <s v="cristianbe@unisabana.edu.co"/>
    <x v="7"/>
    <d v="2026-04-08T00:00:00"/>
    <x v="3"/>
    <s v="Entregado"/>
    <s v="⚠️ Seguimiento de entrega: Taller Corte 2 Hola Cristian, espero que estés muy bien. Al realizar la auditoría de entregas en Teams, he notado que tu buzón para el Taller del Corte 2 (30%) se encuentra vacío. Como recordarás, la fecha límite innegociable fue el pasado miércoles 8 de abril a las 16:00. 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 ¿Tuviste algún inconveniente de fuerza mayor que te impidiera realizar la carga del repositorio de GitHub a tiempo? Quedo atento a tus comentarios. Saludos,Diego Mauricio Zuluaga Rodríguez Profesor - Departamento de Economía Universidad de La Sabana"/>
    <n v="0"/>
    <n v="50"/>
    <n v="0"/>
  </r>
  <r>
    <x v="5"/>
    <s v="Mariana"/>
    <s v="Carmona Romero"/>
    <s v="marianacarrom@unisabana.edu.co"/>
    <x v="7"/>
    <d v="2026-04-08T00:00:00"/>
    <x v="3"/>
    <s v="Entregado"/>
    <s v="⚠️ Seguimiento de entrega: Taller Corte 2Hola Mariana,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
    <n v="0"/>
    <n v="50"/>
    <n v="0"/>
  </r>
  <r>
    <x v="6"/>
    <s v="Mariana"/>
    <s v="Pena Rodriguez"/>
    <s v="marianapero@unisabana.edu.co"/>
    <x v="7"/>
    <d v="2026-04-08T00:00:00"/>
    <x v="3"/>
    <s v="Entregado"/>
    <s v="🚀 Retroalimentación de la Entrega: Taller Corte 2 - Arquitectura ProfesionalIntegrantes: Matías Mondragón Osorio, Arianne Amorocho, Mariana Peña.Calificación Final: 50/50 (Equivalente a 5.0)¡Hola, equipo! Qué excelente trabajo han realizado en la refactorización de su MVP &quot;Ketoz&quot;. Han logrado integrar todos los conceptos complejos del segundo corte (POO, Encapsulamiento, Herencia y SQL) en una arquitectura de software robusta y escalable.Me impresionó mucho la calidad de su planeación. El Diagrama de Clases y el Modelo Entidad-Relación (ERD) que adjuntaron en la carpeta design/ son de nivel profesional. Reflejan exactamente la jerarquía que programaron en Python y la estructura de las tablas en SQLite. Esto demuestra una autogestión impecable y un entendimiento profundo de cómo se diseña el software antes de escribir código.En cuanto a la implementación técnica, destaco varios puntos brillantes:POO y Encapsulamiento: La jerarquía de clases (Persona -&amp;gt; ClienteB2B, Articulo -&amp;gt; RepuestoMoto, Transaccion -&amp;gt; OrdenVenta) está perfectamente estructurada. El uso de atributos protegidos (_) y privados (__) junto con los métodos Getters y Setters demuestra que comprenden cómo blindar la lógica de negocio.Persistencia de Datos (SQLite): La función inicializar_base_datos() es muy robusta. El uso de INSERT OR IGNORE para poblar las tablas con los 5 registros mínimos (Regla de Oro) sin que el programa colapse en ejecuciones posteriores es una excelente práctica. Además, la activación de PRAGMA foreign_keys = ON; garantiza la integridad referencial.Operaciones CRUD y Robustez: El menú interactivo es claro y funcional. La implementación de bloques try-except (especialmente capturando ValueError y sqlite3.Error) blinda el sistema contra errores de digitación del usuario o fallos en la base de datos. La consulta con INNER JOIN en la opción de lectura (READ) consolida la información de las tres tablas de forma elegante.Sigan con este nivel de excelencia y atención al detalle. Están desarrollando habilidades que los diferencian en el mercado laboral y los preparan para liderar proyectos tecnológicos en sus respectivas carreras. ¡Mucho éxito en el Segundo Parcial! 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Diego Mauricio Zuluaga RodríguezProfesor - Departamento de EconomíaUniversidad de La Sabana"/>
    <n v="50"/>
    <n v="50"/>
    <n v="1"/>
  </r>
  <r>
    <x v="7"/>
    <s v="Isabella"/>
    <s v="Carranza Tapiero"/>
    <s v="isabellacata@unisabana.edu.co"/>
    <x v="7"/>
    <d v="2026-04-08T00:00:00"/>
    <x v="3"/>
    <s v="Entregado"/>
    <s v="🚀 Retroalimentación de la Entrega: Taller Corte 2 - Arquitectura ProfesionalIntegrantes: Paula Andrea Arciniegas Cárdenas, Valeria Morales, Isabella Carranza Tapiero.Proyecto: Ruta Óptima App - Sistema LogísticoCalificación Final: 50/50 (Equivalente a 5.0)¡Hola, equipo! Qué excelente trabajo han realizado. Han logrado tomar el MVP del primer corte y transformarlo en una verdadera aplicación de software con una arquitectura sólida y escalable. Se nota el esfuerzo, la dedicación y, sobre todo, la excelente autogestión que tuvieron como grupo.Quiero destacar primero su trabajo de planeación. Los diagramas que incluyeron en la carpeta design/ (el Diagrama de Clases y el Modelo Entidad-Relación) son de nivel profesional. Como hemos hablado en clase, un buen CTO no escribe código a ciegas; ustedes planearon su estructura de 3 tablas y su jerarquía de herencia antes de programar, y eso se reflejó en un código limpio y sin improvisaciones.En cuanto a la Programación Orientada a Objetos (POO), la implementación es impecable. Cumplieron con creces al crear las clases padre (Cliente, Paquete, Envio) y sus respectivas clases hijas. El uso de atributos privados (__nombre, __peso) junto con los métodos Getters y Setters demuestra que comprendieron a la perfección el concepto de Encapsulamiento para proteger la información de su negocio.Sobre la persistencia de datos y SQL, lograron un CRUD completamente funcional y robusto. La inserción de los 5 registros iniciales (la Regla de Oro) funcionó perfectamente. Además, la consulta JOIN que cruza las tres tablas para mostrar el reporte de envíos es exactamente el tipo de consultas que un analista de datos necesita para conectar esta base de datos con herramientas como Power BI en el futuro.Como un pequeño &quot;Sanity Check&quot; o consejo técnico para sus futuros proyectos: noté que definieron muy bien las Llaves Foráneas (FK) al crear las tablas, pero en SQLite es altamente recomendable ejecutar el comando cursor.execute(&quot;PRAGMA foreign_keys = ON;&quot;) justo después de conectarse a la base de datos. Esto obliga al motor a respetar esas relaciones y evitar que alguien borre un cliente que ya tiene paquetes asignados. De igual forma, el manejo de errores con try-except que implementaron blindó muy bien el sistema.Las felicito por este gran resultado. Tienen todas las bases técnicas y lógicas para afrontar el Segundo Parcial con total tranquilidad. Sigan trabajando con esta misma disciplina y atención al detalle, ¡tienen un gran futuro como líderes en tecnología y negocios!Criterio de EvaluaciónDescripción TécnicaPuntaje MáximoPuntaje ObtenidoLógica y Diseño (Arquitectura)Diagrama de Clases y Modelo ERD impecables en la carpeta design/. Excelente planeación.10.010.0POO y EncapsulamientoSuperan el requisito de 3 Clases Padre y 3 Hijos. Uso perfecto de self, encapsulamiento (__) y métodos get/set.15.015.0SQL y Relaciones (CRUD)Tablas normalizadas con PK/FK, 4 operaciones CRUD funcionales, JOIN de 3 tablas y datos mínimos insertados.15.015.0Robustez y GitHubExcelente uso de try-except en todo el menú y operaciones. Repositorio público con README profesional.10.010.0TOTAL50.050.0Diego Mauricio Zuluaga RodríguezProfesor - Departamento de EconomíaUniversidad de La Sabana"/>
    <n v="50"/>
    <n v="50"/>
    <n v="1"/>
  </r>
  <r>
    <x v="8"/>
    <s v="Samuel David"/>
    <s v="Lozano Holguin"/>
    <s v="samuelloho@unisabana.edu.co"/>
    <x v="7"/>
    <d v="2026-04-08T00:00:00"/>
    <x v="3"/>
    <s v="Entregado"/>
    <s v="🚀 Retroalimentación de la Entrega: Taller Corte 2 - Arquitectura ProfesionalIntegrantes: Sebastián Vanoy Gutiérrez, Samuel David Lozano Holguín, Samuel Mathias González Bernal.Calificación Final: 50/50 (Equivalente a 5.0)¡Hola, equipo! Quiero felicitarlos por la excepcional calidad de su trabajo. Han logrado no solo cumplir, sino superar las expectativas de este taller, entregando una solución de software que demuestra un dominio impresionante de los conceptos de arquitectura, POO y bases de datos relacionales.Me complace enormemente ver la calidad de su planeación en la carpeta design/. El Diagrama de Clases y el Modelo Entidad-Relación (ERD) son claros, profesionales y reflejan a la perfección la estructura que implementaron en el código. Este es el sello de un equipo de desarrollo maduro: pensar y diseñar antes de programar.En la parte técnica, su implementación es impecable. La jerarquía de clases (Persona -&amp;gt; Cliente, Ruta -&amp;gt; Destino, Envio -&amp;gt; Paquete) está perfectamente estructurada, aplicando herencia para reutilizar código y encapsulamiento (__) para proteger los datos. Además, la integración de la lógica de negocio directamente en los métodos de las clases (ej. Paquete.actualizar()) es una práctica de POO avanzada que demuestra que no solo están escribiendo código, sino diseñando un sistema cohesivo.La interacción con la base de datos SQLite es robusta y segura. El uso de PRAGMA foreign_keys = ON;, la gestión de errores con try-except, y la consulta INNER JOIN para generar el manifiesto son de nivel profesional. Me gustó especialmente el detalle de usar conn.row_factory = sqlite3.Row, que permite acceder a los datos por el nombre de la columna, haciendo el código mucho más legible y mantenible.Sigan con este nivel de excelencia. Han demostrado que tienen la capacidad no solo de seguir instrucciones, sino de investigar, proponer y ejecutar soluciones técnicas elegantes y eficientes. ¡Están más que preparados para el Segundo Parcial y para cualquier reto de desarrollo que se les presente en el futuro!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Diego Mauricio Zuluaga RodríguezProfesor - Departamento de EconomíaUniversidad de La Sabana"/>
    <n v="50"/>
    <n v="50"/>
    <n v="1"/>
  </r>
  <r>
    <x v="9"/>
    <s v="Sebastian"/>
    <s v="Vanoy Gutierrez"/>
    <s v="sebastianvagu@unisabana.edu.co"/>
    <x v="7"/>
    <d v="2026-04-08T00:00:00"/>
    <x v="3"/>
    <s v="Entregado"/>
    <s v="🚀 Retroalimentación de la Entrega: Taller Corte 2 - Arquitectura ProfesionalIntegrantes: Sebastián Vanoy Gutiérrez, Samuel David Lozano Holguín, Samuel Mathias González Bernal.Calificación Final: 50/50 (Equivalente a 5.0)¡Hola, equipo! Quiero felicitarlos por la excepcional calidad de su trabajo. Han logrado no solo cumplir, sino superar las expectativas de este taller, entregando una solución de software que demuestra un dominio impresionante de los conceptos de arquitectura, POO y bases de datos relacionales.Me complace enormemente ver la calidad de su planeación en la carpeta design/. El Diagrama de Clases y el Modelo Entidad-Relación (ERD) son claros, profesionales y reflejan a la perfección la estructura que implementaron en el código. Este es el sello de un equipo de desarrollo maduro: pensar y diseñar antes de programar.En la parte técnica, su implementación es impecable. La jerarquía de clases (Persona -&amp;gt; Cliente, Ruta -&amp;gt; Destino, Envio -&amp;gt; Paquete) está perfectamente estructurada, aplicando herencia para reutilizar código y encapsulamiento (__) para proteger los datos. Además, la integración de la lógica de negocio directamente en los métodos de las clases (ej. Paquete.actualizar()) es una práctica de POO avanzada que demuestra que no solo están escribiendo código, sino diseñando un sistema cohesivo.La interacción con la base de datos SQLite es robusta y segura. El uso de PRAGMA foreign_keys = ON;, la gestión de errores con try-except, y la consulta INNER JOIN para generar el manifiesto son de nivel profesional. Me gustó especialmente el detalle de usar conn.row_factory = sqlite3.Row, que permite acceder a los datos por el nombre de la columna, haciendo el código mucho más legible y mantenible.Sigan con este nivel de excelencia. Han demostrado que tienen la capacidad no solo de seguir instrucciones, sino de investigar, proponer y ejecutar soluciones técnicas elegantes y eficientes. ¡Están más que preparados para el Segundo Parcial y para cualquier reto de desarrollo que se les presente en el futuro!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Diego Mauricio Zuluaga RodríguezProfesor - Departamento de EconomíaUniversidad de La Sabana"/>
    <n v="50"/>
    <n v="50"/>
    <n v="1"/>
  </r>
  <r>
    <x v="10"/>
    <s v="Jose Daniel"/>
    <s v="Escobar Hurtado"/>
    <s v="joseeshu@unisabana.edu.co"/>
    <x v="7"/>
    <d v="2026-04-08T00:00:00"/>
    <x v="3"/>
    <s v="Entregado"/>
    <s v="🚀 Retroalimentación de la Entrega: Taller Corte 2 - Arquitectura ProfesionalIntegrantes: Juan David Neuta Medina, Laura Fernanda Lopez Parra, Jose Daniel Escobar Hurtado.Calificación Final: 50/50 (Equivalente a 5.0)¡Hola, equipo! He revisado su proyecto &quot;Dolar Track Pro v3.0&quot; y quiero felicitarlos. Lo que han entregado no es simplemente una tarea, es una pieza de software con una arquitectura profesional que va mucho más allá de lo solicitado en el enunciado. Han demostrado una comprensión excepcional de los principios de ingeniería de software.Su planeación en la carpeta design/ es de un nivel sobresaliente. El Diagrama de Clases no solo muestra la herencia y el encapsulamiento, sino que estructura el proyecto en capas (Repositorios, Servicios, Aplicación) y utiliza clases abstractas, lo cual es una práctica avanzada y muy valorada en la industria. De igual manera, su Modelo Entidad-Relación (ERD) es claro, preciso y refleja perfectamente la estructura normalizada de su base de datos.En la implementación técnica, han demostrado un dominio absoluto de todos los temas del corte. La separación del código en clases con responsabilidades únicas (como el DatabaseManager para la conexión, los Repositorios para las consultas SQL y los Servicios para la lógica de negocio) es impecable. El uso de clases abstractas, excepciones personalizadas y una interfaz de consola tan bien diseñada y robusta demuestra un nivel de autogestión y excelencia que define el perfil del egresado que buscamos en la EICEA.Este proyecto es, sin duda, una pieza central para su portafolio profesional en GitHub. El nivel de detalle, la robustez del código y la calidad de la arquitectura son el tipo de trabajo que impresiona a los reclutadores y abre puertas en el mundo de la tecnología y las finanzas. Sigan con este nivel de compromiso y curiosidad intelectual. ¡Felicitaciones por un trabajo excepcional!Rúbrica de CalificaciónCriterio de EvaluaciónRequisito TécnicoPuntaje MáximoPuntaje ObtenidoLógica y Diseño (Arquitectura)Diagrama de Clases y ERD profesionales, detallando capas y relaciones.10.010.0POO y EncapsulamientoUso avanzado de clases (abstractas, hijas), encapsulamiento y separación de responsabilidades.15.015.0SQL y Relaciones (CRUD)Creación de BD, PK/FK, 4 operaciones CRUD, uso de JOIN y mínimo 5 registros.15.015.0Robustez y GitHubUso de try-except con excepciones personalizadas, repositorio configurado y README.md profesional.10.010.0TOTAL50.050.0Diego Mauricio Zuluaga RodríguezProfesor - Departamento de EconomíaUniversidad de La Sabana"/>
    <n v="50"/>
    <n v="50"/>
    <n v="1"/>
  </r>
  <r>
    <x v="11"/>
    <s v="Maria Jose"/>
    <s v="Botero Galviz"/>
    <s v="mariabotga@unisabana.edu.co"/>
    <x v="7"/>
    <d v="2026-04-08T00:00:00"/>
    <x v="3"/>
    <s v="Entregado"/>
    <s v="🚀 Retroalimentación de la Entrega: Taller Corte 2 - Arquitectura Profesional Integrantes: María Juliana Mejía Quintero, Valery Linares Hernández, María José Botero Galviz. Calificación Final: 23/50 (Equivalente a 2.3) ¡Hola, equipo! Espero que se encuentren muy bien. He revisado detalladamente su proyecto de la &quot;Pastelería&quot; y quiero compartirles mis comentarios. Valoro mucho el esfuerzo que hicieron para conectar Python con SQLite, ya que dar ese salto de la memoria RAM a una base de datos real es uno de los pasos más difíciles del curso.Puntos a destacar (Lo positivo):Lograron implementar correctamente la creación de la base de datos y las tablas con sus respectivas Llaves Primarias (PK) y Foráneas (FK). La consulta INNER JOIN que construyeron en la función ver_pedidos_completos() funciona a la perfección y demuestra que entienden cómo se relacionan los datos en un modelo relacional. Además, la inclusión de bloques try-except al momento de guardar en la base de datos es una excelente práctica de robustez. Oportunidades de Mejora (Por qué la calificación): Como Arquitectos de Software, debemos seguir los requerimientos técnicos al pie de la letra. En esta entrega hubo varias omisiones críticas respecto a las instrucciones de autogestión:Falta de Planeación (Carpeta Design): No incluyeron la carpeta design/ con el Diagrama de Clases ni el Modelo Entidad-Relación (ERD). Como lo advertía la rúbrica, un arquitecto no codifica sin planos, y esta ausencia penaliza fuertemente la nota.POO y Encapsulamiento Incompleto: Aunque usaron herencia (Persona -&amp;gt; Cliente), la rúbrica exigía al menos 3 clases padre y 3 clases hijo. Más importante aún, omitieron por completo el Encapsulamiento. Sus atributos son públicos (self.nombre = nombre) en lugar de privados (self.__nombre), y no implementaron los métodos get y set requeridos para proteger la información.Falta de Menú Interactivo y Registros: El sistema se ejecuta de forma secuencial y carece del menú interactivo (while) exigido para que el usuario pueda hacer las operaciones CRUD dinámicamente. Además, insertaron solo 3 registros por tabla, cuando la &quot;Regla de Oro&quot; del taller exigía un mínimo de 5 registros.Motivación:Sé que asimilar todos estos conceptos de arquitectura de software al mismo tiempo es un reto grande. Tienen la lógica de bases de datos muy clara, lo cual es un gran avance. Les sugiero revisar los apuntes sobre Encapsulamiento y Menús Interactivos para que puedan aplicar estos conceptos con éxito en el Segundo Parcial. ¡No se desanimen, de los errores en el código es de donde más se aprende!Rúbrica de CalificaciónCriterio de EvaluaciónRequisito TécnicoPuntaje MáximoPuntaje ObtenidoLógica y Diseño (Arquitectura)Diagrama de Clases y ERD en la carpeta design/. (No se entregó la carpeta design/).10.00.0POO y Encapsulamiento3 Clases Padre, 3 Hijos, uso de self, métodos get/set y encapsulamiento. (Faltó encapsulamiento, getters/setters y la cantidad de clases requeridas).15.05.0SQL y Relaciones (CRUD)Creación BD, PK/FK, 4 operaciones CRUD, uso de JOIN y mínimo 5 registros. (Buen SQL y JOIN, pero faltó el menú interactivo y solo insertaron 3 registros).15.010.0Robustez y GitHubUso de try-except, repositorio configurado con commits y README.md profesional. (Buen uso de try-except y entrega de repositorio).10.08.0TOTAL50.023.0Diego Mauricio Zuluaga RodríguezProfesor - Departamento de EconomíaUniversidad de La Sabana"/>
    <n v="23"/>
    <n v="50"/>
    <n v="0.46"/>
  </r>
  <r>
    <x v="12"/>
    <s v="Maria Juliana"/>
    <s v="Mejia Quintero"/>
    <s v="mariamequ@unisabana.edu.co"/>
    <x v="7"/>
    <d v="2026-04-08T00:00:00"/>
    <x v="3"/>
    <s v="Entregado"/>
    <s v="🚀 Retroalimentación de la Entrega: Taller Corte 2 - Arquitectura ProfesionalIntegrantes: María Juliana Mejía Quintero, Valery Linares Hernández, María José Botero Galviz.Calificación Final: 23/50 (Equivalente a 2.3)¡Hola, equipo! Espero que se encuentren muy bien. He revisado detalladamente su proyecto de la &quot;Pastelería&quot; y quiero compartirles mis comentarios. Valoro mucho el esfuerzo que hicieron para conectar Python con SQLite, ya que dar ese salto de la memoria RAM a una base de datos real es uno de los pasos más difíciles del curso.Puntos a destacar (Lo positivo):Lograron implementar correctamente la creación de la base de datos y las tablas con sus respectivas Llaves Primarias (PK) y Foráneas (FK). La consulta INNER JOIN que construyeron en la función ver_pedidos_completos() funciona a la perfección y demuestra que entienden cómo se relacionan los datos en un modelo relacional. Además, la inclusión de bloques try-except al momento de guardar en la base de datos es una excelente práctica de robustez.Oportunidades de Mejora (Por qué la calificación):Como Arquitectos de Software, debemos seguir los requerimientos técnicos al pie de la letra. En esta entrega hubo varias omisiones críticas respecto a las instrucciones de autogestión:Falta de Planeación (Carpeta Design): No incluyeron la carpeta design/ con el Diagrama de Clases ni el Modelo Entidad-Relación (ERD). Como lo advertía la rúbrica, un arquitecto no codifica sin planos, y esta ausencia penaliza fuertemente la nota.POO y Encapsulamiento Incompleto: Aunque usaron herencia (Persona -&amp;gt; Cliente), la rúbrica exigía al menos 3 clases padre y 3 clases hijo. Más importante aún, omitieron por completo el Encapsulamiento. Sus atributos son públicos (self.nombre = nombre) en lugar de privados (self.__nombre), y no implementaron los métodos get y set requeridos para proteger la información.Falta de Menú Interactivo y Registros: El sistema se ejecuta de forma secuencial y carece del menú interactivo (while) exigido para que el usuario pueda hacer las operaciones CRUD dinámicamente. Además, insertaron solo 3 registros por tabla, cuando la &quot;Regla de Oro&quot; del taller exigía un mínimo de 5 registros.Motivación:Sé que asimilar todos estos conceptos de arquitectura de software al mismo tiempo es un reto grande. Tienen la lógica de bases de datos muy clara, lo cual es un gran avance. Les sugiero revisar los apuntes sobre Encapsulamiento y Menús Interactivos para que puedan aplicar estos conceptos con éxito en el Segundo Parcial. ¡No se desanimen, de los errores en el código es de donde más se aprende!Rúbrica de CalificaciónCriterio de EvaluaciónRequisito TécnicoPuntaje MáximoPuntaje ObtenidoLógica y Diseño (Arquitectura)Diagrama de Clases y ERD en la carpeta design/. (No se entregó la carpeta design/).10.00.0POO y Encapsulamiento3 Clases Padre, 3 Hijos, uso de self, métodos get/set y encapsulamiento. (Faltó encapsulamiento, getters/setters y la cantidad de clases requeridas).15.05.0SQL y Relaciones (CRUD)Creación BD, PK/FK, 4 operaciones CRUD, uso de JOIN y mínimo 5 registros. (Buen SQL y JOIN, pero faltó el menú interactivo y solo insertaron 3 registros).15.010.0Robustez y GitHubUso de try-except, repositorio configurado con commits y README.md profesional. (Buen uso de try-except y entrega de repositorio).10.08.0TOTAL50.023.0Diego Mauricio Zuluaga RodríguezProfesor - Departamento de EconomíaUniversidad de La Sabana"/>
    <n v="23"/>
    <n v="50"/>
    <n v="0.46"/>
  </r>
  <r>
    <x v="13"/>
    <s v="Alejandra"/>
    <s v="Leon Vargas"/>
    <s v="alejandraleva@unisabana.edu.co"/>
    <x v="7"/>
    <d v="2026-04-08T00:00:00"/>
    <x v="3"/>
    <s v="Entregado"/>
    <s v="🚀 Retroalimentación de la Entrega: Taller Corte 2 - Arquitectura Profesional GRUPO: LEON VARGAS, ALEJANDRA GIRALDO PICO, SOFIA Calificación Final: 46/50 (Equivalente a 4.6) ¡Hola, Alejandra y Sofia! Espero que se encuentren muy bien. He revisado detalladamente su entrega para este segundo corte y quiero felicitarlas por el gran avance que han mostrado. Se nota un esfuerzo importante por pasar de la programación lineal a una estructura mucho más robusta y organizada.Su repositorio en GitHub está muy bien organizado y el archivo README es claro, lo cual es fundamental para su portafolio profesional. Los diagramas que incluyeron en la carpeta design/ son coherentes con lo que finalmente programaron, y eso demuestra una excelente capacidad de planeación y autogestión. &quot;Dibujar&quot; el código antes de escribirlo es lo que hace un verdadero arquitecto de software.En cuanto a la Programación Orientada a Objetos (POO), aplicaron muy bien el concepto de herencia con Persona -&amp;gt; Cliente y Producto -&amp;gt; Bebida/Comida. El uso de atributos privados (__nombre) y sus respectivos métodos get y set es correcto y protege la integridad de los datos. Como observación para mejorar, el enunciado solicitaba al menos tres clases padre con tres clases hijo; en su caso, implementaron dos jerarquías principales. Sin embargo, la lógica aplicada es impecable.Sobre la base de datos en SQLite, las tres tablas están bien relacionadas con sus llaves primarias y foráneas. Lograron cumplir con la &quot;Regla de Oro&quot; de los 5 registros iniciales y la consulta con JOIN funciona perfectamente para cruzar la información. Un pequeño detalle técnico para el futuro: recuerden siempre ejecutar el comando cursor.execute(&quot;PRAGMA foreign_keys = ON;&quot;) justo después de conectarse, para que SQLite obligue a respetar las llaves foráneas en todo momento.Finalmente, el manejo de errores con try-except en el menú hace que el programa sea mucho más amigable y no se &quot;rompa&quot; si el usuario comete un error de digitación. Sigan con esa mentalidad de mejora continua y atención al detalle. Tienen una base técnica muy sólida para afrontar el tercer corte y los retos de análisis de datos que vienen. ¡Excelente trabajo! Rúbrica de Calificación Criterio de EvaluaciónRequisito TécnicoPuntaje MáximoPuntaje ObtenidoLógica y DiseñoCalidad del Diagrama de Clases y ERD. Coherencia con el código.10.010.0POO y EncapsulamientoDefinición de clases, herencia y uso de atributos privados con get/set.15.013.0SQL y Relaciones (CRUD)Creación de BD, 3 tablas, PK/FK, JOIN y mínimo 5 registros.15.013.0Robustez y GitHubUso de try-except, repositorio profesional y README completo.10.010.0TOTAL50.046.0  Diego Mauricio Zuluaga RodríguezProfesor - Departamento de EconomíaUniversidad de La Sabana"/>
    <n v="46"/>
    <n v="50"/>
    <n v="0.92"/>
  </r>
  <r>
    <x v="14"/>
    <s v="Alessandro Di Mauro"/>
    <s v="Bonilla Correa"/>
    <s v="alessandroboco@unisabana.edu.co"/>
    <x v="7"/>
    <d v="2026-04-08T00:00:00"/>
    <x v="3"/>
    <s v="Entregado"/>
    <s v="🚀 Retroalimentación de la_x000a_Entrega: Taller Corte 2 - Arquitectura Profesional  Integrantes: Gabriela Ruiz Pérez, María José Huertas_x000a_Osorio, Alessandro Di Mauro Bonilla Correa.  Calificación Final: 50/50 (Equivalente a 5.0)  ¡Hola, equipo! Qué excelente trabajo han realizado con la_x000a_refactorización de su proyecto &quot;Bistro 9&quot;. Han logrado transformar un_x000a_MVP básico en un sistema de gestión gastronómica (Food-Tech) con una_x000a_arquitectura de software verdaderamente profesional y escalable. Me impresionó mucho la coherencia entre sus diagramas de la_x000a_carpeta design/ y el código final. El Modelo Entidad-Relación y el Diagrama de_x000a_Clases reflejan exactamente la estructura que programaron. Esto demuestra una_x000a_planeación impecable y confirma que entendieron la regla de oro: un arquitecto_x000a_de software no escribe código sin tener los planos listos. En cuanto a la Programación Orientada a Objetos (POO), la_x000a_jerarquía que diseñaron es brillante. Crear clases padre como Persona, Consumible_x000a_y Transaccion, para luego heredar a Comensal, PlatoGourmet y TicketRestaurante,_x000a_demuestra un dominio total del concepto de reutilización de código. Además, el_x000a_uso de atributos protegidos y privados (__) junto con sus respectivos métodos getters_x000a_asegura que la lógica de su negocio esté blindada. Sobre la persistencia de datos, el manejo de SQLite fue_x000a_impecable. La inicialización de la base de datos con PRAGMA foreign_keys = ON;_x000a_y la inserción de los 5 registros obligatorios usando INSERT OR IGNORE_x000a_garantizan que el sistema sea robusto y fácil de auditar. El menú interactivo_x000a_cumple con todas las operaciones CRUD, y la consulta INNER JOIN para generar_x000a_los tickets del restaurante cruza la información de las tres tablas de manera_x000a_perfecta. Finalmente, destaco la robustez de su aplicación. La_x000a_implementación de bloques try-except para capturar tanto errores de digitación_x000a_(ValueError) como fallos en la base de datos (sqlite3.Error) asegura que el_x000a_programa no colapse abruptamente, brindando una excelente experiencia de_x000a_usuario. Su repositorio en GitHub y el README.md son una gran adición a su_x000a_portafolio profesional. Sigan trabajando con este nivel de excelencia, curiosidad y_x000a_atención al detalle. Han construido una base técnica muy sólida que les será de_x000a_gran utilidad no solo para el Segundo Parcial, sino para cualquier proyecto de_x000a_análisis de datos o desarrollo que emprendan en sus carreras. ¡Felicitaciones!  _x000a_ _x000a_  _x000a_  Criterio de Evaluación _x000a_  _x000a_  _x000a_  Descripción Técnica _x000a_  _x000a_  _x000a_  Puntaje Máximo _x000a_  _x000a_  _x000a_  Puntaje Obtenido _x000a_  _x000a_ _x000a_ _x000a_  _x000a_  Lógica y Diseño (Arquitectura) _x000a_  _x000a_  _x000a_  Diagrama de Clases y ERD en la carpeta design/. Evidencia_x000a_  clara de planeación previa. _x000a_  _x000a_  _x000a_  10.0 _x000a_  _x000a_  _x000a_  10.0 _x000a_  _x000a_ _x000a_ _x000a_  _x000a_  POO y Encapsulamiento _x000a_  _x000a_  _x000a_  3 Clases Padre, 3 Hijos, uso correcto de herencia, self y_x000a_  encapsulamiento de atributos. _x000a_  _x000a_  _x000a_  15.0 _x000a_  _x000a_  _x000a_  15.0 _x000a_  _x000a_ _x000a_ _x000a_  _x000a_  SQL y Relaciones (CRUD) _x000a_  _x000a_  _x000a_  Creación de BD, uso de PK/FK, 4 operaciones CRUD, uso de JOIN_x000a_  y mínimo 5 registros por tabla. _x000a_  _x000a_  _x000a_  15.0 _x000a_  _x000a_  _x000a_  15.0 _x000a_  _x000a_ _x000a_ _x000a_  _x000a_  Robustez y GitHub _x000a_  _x000a_  _x000a_  Uso de try-except para evitar caídas. Repositorio_x000a_  configurado con README.md profesional. _x000a_  _x000a_  _x000a_  10.0 _x000a_  _x000a_  _x000a_  10.0 _x000a_  _x000a_ _x000a_ _x000a_  _x000a_  TOTAL _x000a_  _x000a_  _x000a_  _x000a_  50.0 _x000a_  _x000a_  _x000a_  50.0 _x000a_  _x000a_  Diego Mauricio Zuluaga Rodríguez Profesor - Departamento de Economía Universidad de La Sabana"/>
    <n v="50"/>
    <n v="50"/>
    <n v="1"/>
  </r>
  <r>
    <x v="15"/>
    <s v="Arianne Mariana"/>
    <s v="Amorocho Quiroga"/>
    <s v="arianneamqu@unisabana.edu.co"/>
    <x v="7"/>
    <d v="2026-04-08T00:00:00"/>
    <x v="3"/>
    <s v="Entregado"/>
    <s v="🚀 Retroalimentación de la Entrega: Taller Corte 2 - Arquitectura Profesional Integrantes: Matías Mondragón Osorio, Arianne Amorocho, Mariana Peña. Calificación Final: 50/50 (Equivalente a 5.0) ¡Hola, equipo! Qué excelente trabajo han realizado en la refactorización de su MVP &quot;Ketoz&quot;. Han logrado integrar todos los conceptos complejos del segundo corte (POO, Encapsulamiento, Herencia y SQL) en una arquitectura de software robusta y escalable.Me impresionó mucho la calidad de su planeación. El Diagrama de Clases y el Modelo Entidad-Relación (ERD) que adjuntaron en la carpeta design/ son de nivel profesional. Reflejan exactamente la jerarquía que programaron en Python y la estructura de las tablas en SQLite. Esto demuestra una autogestión impecable y un entendimiento profundo de cómo se diseña el software antes de escribir código.En cuanto a la implementación técnica, destaco varios puntos brillantes:POO y Encapsulamiento: La jerarquía de clases (Persona -&amp;gt; ClienteB2B, Articulo -&amp;gt; RepuestoMoto, Transaccion -&amp;gt; OrdenVenta) está perfectamente estructurada. El uso de atributos protegidos (_) y privados (__) junto con los métodos Getters y Setters demuestra que comprenden cómo blindar la lógica de negocio.Persistencia de Datos (SQLite): La función inicializar_base_datos() es muy robusta. El uso de INSERT OR IGNORE para poblar las tablas con los 5 registros mínimos (Regla de Oro) sin que el programa colapse en ejecuciones posteriores es una excelente práctica. Además, la activación de PRAGMA foreign_keys = ON; garantiza la integridad referencial.Operaciones CRUD y Robustez: El menú interactivo es claro y funcional. La implementación de bloques try-except (especialmente capturando ValueError y sqlite3.Error) blinda el sistema contra errores de digitación del usuario o fallos en la base de datos. La consulta con INNER JOIN en la opción de lectura (READ) consolida la información de las tres tablas de forma elegante.Sigan con este nivel de excelencia y atención al detalle. Están desarrollando habilidades que los diferencian en el mercado laboral y los preparan para liderar proyectos tecnológicos en sus respectivas carreras. ¡Mucho éxito en el Segundo Parcial!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  Diego Mauricio Zuluaga RodríguezProfesor - Departamento de EconomíaUniversidad de La Sabana"/>
    <n v="50"/>
    <n v="50"/>
    <n v="1"/>
  </r>
  <r>
    <x v="16"/>
    <s v="Maria Juliana"/>
    <s v="Herrera Pulido"/>
    <s v="mariahepu@unisabana.edu.co"/>
    <x v="7"/>
    <d v="2026-04-08T00:00:00"/>
    <x v="3"/>
    <s v="Entregado"/>
    <s v="🚀 Retroalimentación de la Entrega: Taller Corte 2 - Arquitectura Profesional Integrantes: María Juliana Herrera Pulido, Mariana Carmona Romero. Calificación Final: 25/50 (Equivalente a 2.5)  Comentarios del Profesor:Hola, equipo. He revisado su entrega y, aunque lograron implementar varios de los componentes técnicos solicitados, el proyecto presenta fallas estructurales significativas que se alejan del objetivo principal de la actividad: construir una arquitectura de software integrada y robusta.Puntos a destacar (Lo que sí funcionó):Base de Datos Relacional: Crearon correctamente las tres tablas (clientes, pedidos, pagos) y establecieron las relaciones con Llaves Foráneas (FK). La inserción de los 5 registros mínimos y la consulta con INNER JOIN son técnicamente correctas.Programación Orientada a Objetos: Definieron una jerarquía de clases con un Padre (Usuario) y tres Hijos (Cliente, Repartidor, Admin), lo cual cumple con el requisito de POO.Oportunidades de Mejora (Fallas Críticas):Falta de Integración (El problema principal): El mayor problema de su proyecto es que la POO y la Base de Datos nunca se conectan. Crearon las clases por un lado y las tablas por otro, pero el menú interactivo solo opera sobre la base de datos, ignorando por completo los objetos. El objetivo era que los objetos (Cliente, Pedido) tuvieran métodos como .guardar_en_bd() que interactuaran con SQLite.Autogestión y Planeación: La ausencia de la carpeta design/ con el Diagrama de Clases y el Modelo Entidad-Relación (ERD) es una falta grave a la rúbrica. Esto evidencia que no hubo una fase de planeación, lo que probablemente causó la desconexión entre la POO y la BD. Un arquitecto de software no codifica sin planos.Encapsulamiento y Robustez: Las clases no implementan encapsulamiento (__) en sus atributos sensibles, y el código no utiliza bloques try-except para manejar errores de usuario, lo que lo hace vulnerable a colapsos.GitHub: El repositorio carece de un archivo README.md profesional que explique el proyecto, lo cual es un requisito explícito para la construcción de su portafolio.Motivación: Tienen la capacidad técnica para manejar SQL y POO por separado. Ahora, el gran reto para el Segundo Parcial y para su futuro profesional es aprender a integrar estas tecnologías para que trabajen juntas. Les recomiendo revisar la solución ideal que compartiré, donde verán cómo los objetos se convierten en los &quot;gerentes&quot; que le dan órdenes a la base de datos. No se desanimen, este es uno de los saltos conceptuales más difíciles. ¡Aprovechen esta retroalimentación para fortalecer sus bases!Rúbrica de CalificaciónCriterio de EvaluaciónRequisito TécnicoPuntaje MáximoPuntaje ObtenidoLógica y Diseño (Arquitectura)Diagrama de Clases y ERD en la carpeta design/.10.00.0POO y EncapsulamientoDefinición de Clases, uso de self, métodos get/set y encapsulamiento.15.05.0SQL y Relaciones (CRUD)Creación BD, PK/FK, 4 operaciones CRUD, uso de JOIN y mínimo 5 registros.15.015.0Robustez y GitHubUso de try-except, repositorio configurado con commits y README.md profesional.10.05.0TOTAL50.025.0Diego Mauricio Zuluaga RodríguezProfesor - Departamento de EconomíaUniversidad de La Sabana"/>
    <n v="25"/>
    <n v="50"/>
    <n v="0.5"/>
  </r>
  <r>
    <x v="17"/>
    <s v="Simon Gustavo"/>
    <s v="Restrepo Alvarez"/>
    <s v="simonreal@unisabana.edu.co"/>
    <x v="7"/>
    <d v="2026-04-08T00:00:00"/>
    <x v="3"/>
    <s v="Entregado"/>
    <s v="🚀 Retroalimentación de la Entrega: Taller Corte 2 - Arquitectura ProfesionalIntegrantes: Simón Gustavo Restrepo Alvarez, Mateo Pérez Daza, Diego Alejandro Hermida Limas.Calificación Final: 60/50 (Equivalente a 5.0 con Bono)¡Hola, equipo! He revisado su proyecto y debo decir que estoy genuinamente impresionado. Han ido más allá de los requerimientos del taller y han entregado una arquitectura de software de nivel profesional. Este es, sin duda, un trabajo de excelencia que demuestra un dominio absoluto de todos los conceptos del segundo corte.La planeación que realizaron en la carpeta design/ es impecable. El Diagrama de Clases y el Modelo Entidad-Relación (ERD) no solo son correctos, sino que reflejan una jerarquía de herencia y una normalización de datos muy bien pensada (Producto -&amp;gt; Bebida/Snack, Persona -&amp;gt; Proveedor, Registro -&amp;gt; Suministro). Esto demuestra que dedicaron tiempo a la fase de diseño, la habilidad más importante de un arquitecto de software.En la parte técnica, la decisión de modularizar el proyecto en archivos .py (producto.py, persona.py, database.py, etc.) y orquestar todo desde un main.py es una práctica avanzada que los diferencia enormemente. Esto no solo hace que el código sea más limpio y escalable, sino que facilita el trabajo en equipo en plataformas como GitHub. Por esta iniciativa, que va más allá de lo solicitado, se les otorga un bono de +10 puntos.La implementación de la base de datos SQLite es robusta y segura. El uso de try-except para manejar errores en cada operación CRUD, la correcta definición de Llaves Primarias y Foráneas, y la consulta JOIN para consolidar la información, son todos elementos ejecutados a la perfección.Sigan con este nivel de compromiso, curiosidad y rigor técnico. Están desarrollando un portafolio profesional de altísima calidad que les abrirá muchas puertas en el futuro. ¡Felicitaciones por un trabajo excepcional!Rúbrica de CalificaciónCriterio de EvaluaciónRequisito TécnicoPuntaje MáximoPuntaje ObtenidoLógica y Diseño (Arquitectura)Diagrama de Clases y ERD en la carpeta design/. Evidencia de planeación previa.10.010.0POO y EncapsulamientoCorrecta definición de Clases, uso de self, métodos get/set y encapsulamiento.15.015.0SQL y Relaciones (CRUD)Creación BD, PK/FK, 4 operaciones CRUD, uso de JOIN y mínimo 5 registros.15.015.0Robustez y GitHubUso de try-except, repositorio configurado con commits y README.md profesional.10.010.0Bono por ModularidadImplementación de arquitectura profesional con múltiples archivos .py.+10.0+10.0TOTAL50.060.0Diego Mauricio Zuluaga RodríguezProfesor - Departamento de EconomíaUniversidad de La Sabana"/>
    <n v="60"/>
    <n v="50"/>
    <n v="1.2"/>
  </r>
  <r>
    <x v="18"/>
    <s v="Daniel Felipe"/>
    <s v="Camacho Pedraza"/>
    <s v="danielcampe@unisabana.edu.co"/>
    <x v="7"/>
    <d v="2026-04-08T00:00:00"/>
    <x v="3"/>
    <s v="Entregado"/>
    <s v="🚀 Retroalimentación de la Entrega: Taller Corte 2 - Arquitectura Profesional Integrantes: Samuel David Simancas Contreras, Juan Sebastián Perdomo Herrera, Daniel Felipe Camacho Pedraza. Calificación Final: 45/50 (Equivalente a 4.5) ¡Hola, equipo! He revisado su proyecto y quiero felicitarlos por el gran esfuerzo y el avance técnico que han demostrado. Lograron dar el salto de un script simple a una arquitectura de software que integra Programación Orientada a Objetos (POO) y persistencia de datos con SQLite.Me gustó mucho cómo estructuraron su código, separando la lógica de conexión a la base de datos en una función conectar(). Esto es una excelente práctica de reutilización de código. La implementación de las clases con herencia (Persona -&amp;gt; Cliente, Producto -&amp;gt; Plato) y el encapsulamiento de los atributos con __ son impecables. Además, la consulta con JOIN para ver los pedidos funciona a la perfección y demuestra que entendieron cómo se relacionan las tablas.Sin embargo, hay dos puntos clave de la rúbrica que no se cumplieron en su totalidad y que son fundamentales para la autogestión y la arquitectura de software:Diseño Previo: En la carpeta design/ solo entregaron el Diagrama de Clases, pero faltó el Modelo Entidad-Relación (ERD) de la base de datos. Este plano es vital para entender cómo se conectan las tablas antes de escribir el código SQL.Robustez del Código: Aunque el try-except en la función conectar() es un buen inicio, el menú principal y las funciones CRUD no están protegidos contra errores del usuario (ej. si se ingresa texto en lugar de un ID numérico). Esto podría hacer que el programa colapse.A pesar de estos detalles, el núcleo del proyecto es muy sólido. Han construido una base técnica excelente sobre la cual pueden seguir creciendo. Para el próximo corte, les pido que no subestimen la importancia de la fase de diseño (los diagramas) y que siempre piensen en cómo proteger su código de posibles fallos. ¡Sigan adelante, van por muy buen camino! Rúbrica de CalificaciónCriterio de EvaluaciónRequisito TécnicoPuntaje MáximoPuntaje ObtenidoLógica y Diseño (Arquitectura)Diagrama de Clases correcto, pero ausencia del Modelo Entidad-Relación (ERD).10.05.0POO y EncapsulamientoCorrecta definición de Clases, uso de self, métodos get/set y encapsulamiento.15.015.0SQL y Relaciones (CRUD)Creación BD, PK/FK, 4 operaciones CRUD, uso de JOIN y mínimo 5 registros.15.015.0Robustez y GitHubRepositorio configurado y README.md profesional, pero falta de try-except en el menú.10.010.0TOTAL50.045.0Diego Mauricio Zuluaga RodríguezProfesor - Departamento de EconomíaUniversidad de La Sabana"/>
    <n v="45"/>
    <n v="50"/>
    <n v="0.9"/>
  </r>
  <r>
    <x v="19"/>
    <s v="Mateo"/>
    <s v="Perez Daza"/>
    <s v="mateopeda@unisabana.edu.co"/>
    <x v="7"/>
    <d v="2026-04-08T00:00:00"/>
    <x v="3"/>
    <s v="Entregado"/>
    <s v="🚀 Retroalimentación de la Entrega: Taller Corte 2 - Arquitectura ProfesionalIntegrantes: Simón Gustavo Restrepo Alvarez, Mateo Pérez Daza, Diego Alejandro Hermida Limas.Calificación Final: 60/50 (Equivalente a 5.0 con Bono)¡Hola, equipo! He revisado su proyecto y debo decir que estoy genuinamente impresionado. Han ido más allá de los requerimientos del taller y han entregado una arquitectura de software de nivel profesional. Este es, sin duda, un trabajo de excelencia que demuestra un dominio absoluto de todos los conceptos del segundo corte.La planeación que realizaron en la carpeta design/ es impecable. El Diagrama de Clases y el Modelo Entidad-Relación (ERD) no solo son correctos, sino que reflejan una jerarquía de herencia y una normalización de datos muy bien pensada (Producto -&amp;gt; Bebida/Snack, Persona -&amp;gt; Proveedor, Registro -&amp;gt; Suministro). Esto demuestra que dedicaron tiempo a la fase de diseño, la habilidad más importante de un arquitecto de software.En la parte técnica, la decisión de modularizar el proyecto en archivos .py (producto.py, persona.py, database.py, etc.) y orquestar todo desde un main.py es una práctica avanzada que los diferencia enormemente. Esto no solo hace que el código sea más limpio y escalable, sino que facilita el trabajo en equipo en plataformas como GitHub. Por esta iniciativa, que va más allá de lo solicitado, se les otorga un bono de +10 puntos.La implementación de la base de datos SQLite es robusta y segura. El uso de try-except para manejar errores en cada operación CRUD, la correcta definición de Llaves Primarias y Foráneas, y la consulta JOIN para consolidar la información, son todos elementos ejecutados a la perfección.Sigan con este nivel de compromiso, curiosidad y rigor técnico. Están desarrollando un portafolio profesional de altísima calidad que les abrirá muchas puertas en el futuro. ¡Felicitaciones por un trabajo excepcional!Rúbrica de CalificaciónCriterio de EvaluaciónRequisito TécnicoPuntaje MáximoPuntaje ObtenidoLógica y Diseño (Arquitectura)Diagrama de Clases y ERD en la carpeta design/. Evidencia de planeación previa.10.010.0POO y EncapsulamientoCorrecta definición de Clases, uso de self, métodos get/set y encapsulamiento.15.015.0SQL y Relaciones (CRUD)Creación BD, PK/FK, 4 operaciones CRUD, uso de JOIN y mínimo 5 registros.15.015.0Robustez y GitHubUso de try-except, repositorio configurado con commits y README.md profesional.10.010.0Bono por ModularidadImplementación de arquitectura profesional con múltiples archivos .py.+10.0+10.0TOTAL50.060.0Diego Mauricio Zuluaga RodríguezProfesor - Departamento de EconomíaUniversidad de La Sabana"/>
    <n v="60"/>
    <n v="50"/>
    <n v="1.2"/>
  </r>
  <r>
    <x v="20"/>
    <s v="Matias"/>
    <s v="Mondragon Osorio"/>
    <s v="matiasmoos@unisabana.edu.co"/>
    <x v="7"/>
    <d v="2026-04-08T00:00:00"/>
    <x v="3"/>
    <s v="Entregado"/>
    <s v="🚀 Retroalimentación de la Entrega: Taller Corte 2 - Arquitectura ProfesionalIntegrantes: Matías Mondragón Osorio, Arianne Amorocho, Mariana Peña.Calificación Final: 50/50 (Equivalente a 5.0)¡Hola, equipo! Qué excelente trabajo han realizado en la refactorización de su MVP &quot;Ketoz&quot;. Han logrado integrar todos los conceptos complejos del segundo corte (POO, Encapsulamiento, Herencia y SQL) en una arquitectura de software robusta y escalable.Me impresionó mucho la calidad de su planeación. El Diagrama de Clases y el Modelo Entidad-Relación (ERD) que adjuntaron en la carpeta design/ son de nivel profesional. Reflejan exactamente la jerarquía que programaron en Python y la estructura de las tablas en SQLite. Esto demuestra una autogestión impecable y un entendimiento profundo de cómo se diseña el software antes de escribir código.En cuanto a la implementación técnica, destaco varios puntos brillantes:POO y Encapsulamiento: La jerarquía de clases (Persona -&amp;gt; ClienteB2B, Articulo -&amp;gt; RepuestoMoto, Transaccion -&amp;gt; OrdenVenta) está perfectamente estructurada. El uso de atributos protegidos (_) y privados (__) junto con los métodos Getters y Setters demuestra que comprenden cómo blindar la lógica de negocio.Persistencia de Datos (SQLite): La función inicializar_base_datos() es muy robusta. El uso de INSERT OR IGNORE para poblar las tablas con los 5 registros mínimos (Regla de Oro) sin que el programa colapse en ejecuciones posteriores es una excelente práctica. Además, la activación de PRAGMA foreign_keys = ON; garantiza la integridad referencial.Operaciones CRUD y Robustez: El menú interactivo es claro y funcional. La implementación de bloques try-except (especialmente capturando ValueError y sqlite3.Error) blinda el sistema contra errores de digitación del usuario o fallos en la base de datos. La consulta con INNER JOIN en la opción de lectura (READ) consolida la información de las tres tablas de forma elegante.Sigan con este nivel de excelencia y atención al detalle. Están desarrollando habilidades que los diferencian en el mercado laboral y los preparan para liderar proyectos tecnológicos en sus respectivas carreras. ¡Mucho éxito en el Segundo Parcial!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Diego Mauricio Zuluaga RodríguezProfesor - Departamento de EconomíaUniversidad de La Sabana"/>
    <n v="50"/>
    <n v="50"/>
    <n v="1"/>
  </r>
  <r>
    <x v="21"/>
    <s v="Juan David"/>
    <s v="Neuta Medina"/>
    <s v="juanneme@unisabana.edu.co"/>
    <x v="7"/>
    <d v="2026-04-08T00:00:00"/>
    <x v="3"/>
    <s v="Entregado"/>
    <s v="🚀 Retroalimentación de la Entrega: Taller Corte 2 - Arquitectura ProfesionalIntegrantes: Juan David Neuta Medina, Laura Fernanda Lopez Parra, Jose Daniel Escobar Hurtado.Calificación Final: 50/50 (Equivalente a 5.0)¡Hola, equipo! He revisado su proyecto &quot;Dolar Track Pro v3.0&quot; y quiero felicitarlos. Lo que han entregado no es simplemente una tarea, es una pieza de software con una arquitectura profesional que va mucho más allá de lo solicitado en el enunciado. Han demostrado una comprensión excepcional de los principios de ingeniería de software.Su planeación en la carpeta design/ es de un nivel sobresaliente. El Diagrama de Clases no solo muestra la herencia y el encapsulamiento, sino que estructura el proyecto en capas (Repositorios, Servicios, Aplicación) y utiliza clases abstractas, lo cual es una práctica avanzada y muy valorada en la industria. De igual manera, su Modelo Entidad-Relación (ERD) es claro, preciso y refleja perfectamente la estructura normalizada de su base de datos.En la implementación técnica, han demostrado un dominio absoluto de todos los temas del corte. La separación del código en clases con responsabilidades únicas (como el DatabaseManager para la conexión, los Repositorios para las consultas SQL y los Servicios para la lógica de negocio) es impecable. El uso de clases abstractas, excepciones personalizadas y una interfaz de consola tan bien diseñada y robusta demuestra un nivel de autogestión y excelencia que define el perfil del egresado que buscamos en la EICEA.Este proyecto es, sin duda, una pieza central para su portafolio profesional en GitHub. El nivel de detalle, la robustez del código y la calidad de la arquitectura son el tipo de trabajo que impresiona a los reclutadores y abre puertas en el mundo de la tecnología y las finanzas. Sigan con este nivel de compromiso y curiosidad intelectual. ¡Felicitaciones por un trabajo excepcional!Rúbrica de CalificaciónCriterio de EvaluaciónRequisito TécnicoPuntaje MáximoPuntaje ObtenidoLógica y Diseño (Arquitectura)Diagrama de Clases y ERD profesionales, detallando capas y relaciones.10.010.0POO y EncapsulamientoUso avanzado de clases (abstractas, hijas), encapsulamiento y separación de responsabilidades.15.015.0SQL y Relaciones (CRUD)Creación de BD, PK/FK, 4 operaciones CRUD, uso de JOIN y mínimo 5 registros.15.015.0Robustez y GitHubUso de try-except con excepciones personalizadas, repositorio configurado y README.md profesional.10.010.0TOTAL50.050.0Diego Mauricio Zuluaga RodríguezProfesor - Departamento de EconomíaUniversidad de La Sabana"/>
    <n v="50"/>
    <n v="50"/>
    <n v="1"/>
  </r>
  <r>
    <x v="22"/>
    <s v="Laura Fernanda"/>
    <s v="Lopez Parra"/>
    <s v="lauraloppa@unisabana.edu.co"/>
    <x v="7"/>
    <d v="2026-04-08T00:00:00"/>
    <x v="3"/>
    <s v="Entregado"/>
    <s v="🚀 Retroalimentación de la Entrega: Taller Corte 2 - Arquitectura Profesional Integrantes: Juan David Neuta Medina, Laura Fernanda Lopez Parra, Jose Daniel Escobar Hurtado. Calificación Final: 50/50 (Equivalente a 5.0) ¡Hola, equipo! He revisado su proyecto &quot;Dolar Track Pro v3.0&quot; y quiero felicitarlos. Lo que han entregado no es simplemente una tarea, es una pieza de software con una arquitectura profesional que va mucho más allá de lo solicitado en el enunciado. Han demostrado una comprensión excepcional de los principios de ingeniería de software.Su planeación en la carpeta design/ es de un nivel sobresaliente. El Diagrama de Clases no solo muestra la herencia y el encapsulamiento, sino que estructura el proyecto en capas (Repositorios, Servicios, Aplicación) y utiliza clases abstractas, lo cual es una práctica avanzada y muy valorada en la industria. De igual manera, su Modelo Entidad-Relación (ERD) es claro, preciso y refleja perfectamente la estructura normalizada de su base de datos.En la implementación técnica, han demostrado un dominio absoluto de todos los temas del corte. La separación del código en clases con responsabilidades únicas (como el DatabaseManager para la conexión, los Repositorios para las consultas SQL y los Servicios para la lógica de negocio) es impecable. El uso de clases abstractas, excepciones personalizadas y una interfaz de consola tan bien diseñada y robusta demuestra un nivel de autogestión y excelencia que define el perfil del egresado que buscamos en la EICEA.Este proyecto es, sin duda, una pieza central para su portafolio profesional en GitHub. El nivel de detalle, la robustez del código y la calidad de la arquitectura son el tipo de trabajo que impresiona a los reclutadores y abre puertas en el mundo de la tecnología y las finanzas. Sigan con este nivel de compromiso y curiosidad intelectual. ¡Felicitaciones por un trabajo excepcional! Rúbrica de Calificación Criterio de EvaluaciónRequisito TécnicoPuntaje MáximoPuntaje ObtenidoLógica y Diseño (Arquitectura)Diagrama de Clases y ERD profesionales, detallando capas y relaciones.10.010.0POO y EncapsulamientoUso avanzado de clases (abstractas, hijas), encapsulamiento y separación de responsabilidades.15.015.0SQL y Relaciones (CRUD)Creación de BD, PK/FK, 4 operaciones CRUD, uso de JOIN y mínimo 5 registros.15.015.0Robustez y GitHubUso de try-except con excepciones personalizadas, repositorio configurado y README.md profesional.10.010.0TOTAL50.050.0  Diego Mauricio Zuluaga RodríguezProfesor - Departamento de EconomíaUniversidad de La Sabana"/>
    <n v="50"/>
    <n v="50"/>
    <n v="1"/>
  </r>
  <r>
    <x v="23"/>
    <s v="Lukas"/>
    <s v="Blanco Llanes"/>
    <s v="lukasblll@unisabana.edu.co"/>
    <x v="7"/>
    <d v="2026-04-08T00:00:00"/>
    <x v="3"/>
    <s v="Entregado"/>
    <s v="🚀 Retroalimentación de la Entrega: Taller Corte 2 - Arquitectura Profesional Integrantes: Juan Sebastián Salas Hinojosa, Alan David Rossoff Vanegas, Lukas Blanco Llanes. Calificación Final: 50/50 (Equivalente a 5.0) ¡Hola, equipo! Qué entrega tan espectacular han realizado. He revisado su proyecto &quot;EconoApp&quot; en detalle y quiero felicitarlos porque han superado con creces las expectativas de este corte. Han demostrado que no solo saben escribir código, sino que piensan y estructuran soluciones como verdaderos Arquitectos de Software (CTOs).Me dejó gratamente sorprendido el nivel de detalle en su carpeta design/. El Diagrama de Clases UML y el Modelo Entidad-Relación (ERD) son de una calidad profesional impecable. Reflejan exactamente la jerarquía que programaron en Python y la estructura relacional de SQLite, demostrando que planificaron cada detalle antes de teclear la primera línea de código.En cuanto a la Programación Orientada a Objetos (POO), la implementación de sus 3 clases padre y 6 clases hijo es perfecta. El uso estricto del encapsulamiento con atributos privados (__), la creación de getters/setters y la aplicación del polimorfismo en el método descripcion() evidencian un dominio total del paradigma orientado a objetos.Sobre la persistencia de datos y SQL, destaco enormemente su proactividad. No solo cumplieron con las 3 tablas y las llaves foráneas, sino que implementaron la restricción ON DELETE CASCADE, una práctica avanzada que protege la integridad de la base de datos. Además, la consulta JOIN que construyeron en resumen_financiero_por_cliente() utilizando COALESCE, SUM y CASE WHEN es de un nivel analítico superior, digno de un entorno empresarial real.Finalmente, la robustez de su sistema es a prueba de balas. El manejo de excepciones con try-except para capturar tanto errores de digitación (ValueError) como errores de base de datos (sqlite3.IntegrityError), sumado a su excelente archivo README.md, hace que este proyecto sea una pieza brillante para su portafolio en GitHub.Sigan trabajando con esta misma pasión, curiosidad y rigor técnico. Tienen un talento enorme para la tecnología y el análisis de datos, habilidades que los harán destacar indiscutiblemente en el mercado laboral. ¡Mucho éxito en su Segundo Parcial, están más que preparados!📝 Rúbrica de CalificaciónCriterio de EvaluaciónRequisito TécnicoPuntaje MáximoPuntaje ObtenidoLógica y Diseño (Arquitectura)Diagrama de Clases y ERD de altísima calidad en la carpeta design/. Evidencia de planeación previa perfecta.10.010.0POO y Encapsulamiento3 Clases Padre, 6 Hijos, uso impecable de self, métodos get/set, herencia y polimorfismo.15.015.0SQL y Relaciones (CRUD)Creación BD, PK/FK con CASCADE, 4 operaciones CRUD, uso de JOIN avanzado y función de auditoría (≥5 registros).15.015.0Robustez y GitHubUso exhaustivo de try-except, repositorio configurado con commits y un README.md sobresaliente.10.010.0TOTAL50.050.0"/>
    <n v="50"/>
    <n v="50"/>
    <n v="1"/>
  </r>
  <r>
    <x v="24"/>
    <s v="Juan Sebastian"/>
    <s v="Salas Hinojosa"/>
    <s v="juansahi@unisabana.edu.co"/>
    <x v="7"/>
    <d v="2026-04-08T00:00:00"/>
    <x v="3"/>
    <s v="Entregado"/>
    <s v="🚀 Retroalimentación de la Entrega: Taller Corte 2 - Arquitectura ProfesionalIntegrantes: Juan Sebastián Salas Hinojosa, Alan David Rossoff Vanegas, Lukas Blanco Llanes.Calificación Final: 50/50 (Equivalente a 5.0)¡Hola, equipo! Qué entrega tan espectacular han realizado. He revisado su proyecto &quot;EconoApp&quot; en detalle y quiero felicitarlos porque han superado con creces las expectativas de este corte. Han demostrado que no solo saben escribir código, sino que piensan y estructuran soluciones como verdaderos Arquitectos de Software (CTOs).Me dejó gratamente sorprendido el nivel de detalle en su carpeta design/. El Diagrama de Clases UML y el Modelo Entidad-Relación (ERD) son de una calidad profesional impecable. Reflejan exactamente la jerarquía que programaron en Python y la estructura relacional de SQLite, demostrando que planificaron cada detalle antes de teclear la primera línea de código.En cuanto a la Programación Orientada a Objetos (POO), la implementación de sus 3 clases padre y 6 clases hijo es perfecta. El uso estricto del encapsulamiento con atributos privados (__), la creación de getters/setters y la aplicación del polimorfismo en el método descripcion() evidencian un dominio total del paradigma orientado a objetos.Sobre la persistencia de datos y SQL, destaco enormemente su proactividad. No solo cumplieron con las 3 tablas y las llaves foráneas, sino que implementaron la restricción ON DELETE CASCADE, una práctica avanzada que protege la integridad de la base de datos. Además, la consulta JOIN que construyeron en resumen_financiero_por_cliente() utilizando COALESCE, SUM y CASE WHEN es de un nivel analítico superior, digno de un entorno empresarial real.Finalmente, la robustez de su sistema es a prueba de balas. El manejo de excepciones con try-except para capturar tanto errores de digitación (ValueError) como errores de base de datos (sqlite3.IntegrityError), sumado a su excelente archivo README.md, hace que este proyecto sea una pieza brillante para su portafolio en GitHub.Sigan trabajando con esta misma pasión, curiosidad y rigor técnico. Tienen un talento enorme para la tecnología y el análisis de datos, habilidades que los harán destacar indiscutiblemente en el mercado laboral. ¡Mucho éxito en su Segundo Parcial, están más que preparados!📝 Rúbrica de CalificaciónCriterio de EvaluaciónRequisito TécnicoPuntaje MáximoPuntaje ObtenidoLógica y Diseño (Arquitectura)Diagrama de Clases y ERD de altísima calidad en la carpeta design/. Evidencia de planeación previa perfecta.10.010.0POO y Encapsulamiento3 Clases Padre, 6 Hijos, uso impecable de self, métodos get/set, herencia y polimorfismo.15.015.0SQL y Relaciones (CRUD)Creación BD, PK/FK con CASCADE, 4 operaciones CRUD, uso de JOIN avanzado y función de auditoría (≥5 registros).15.015.0Robustez y GitHubUso exhaustivo de try-except, repositorio configurado con commits y un README.md sobresaliente.10.010.0TOTAL50.050.0"/>
    <n v="50"/>
    <n v="50"/>
    <n v="1"/>
  </r>
  <r>
    <x v="25"/>
    <s v="Avril Avril"/>
    <s v="Ariza Quitian"/>
    <s v="avrilarqu@unisabana.edu.co"/>
    <x v="7"/>
    <d v="2026-04-08T00:00:00"/>
    <x v="3"/>
    <s v="Entregado"/>
    <s v="🚀 Retroalimentación de la Entrega: Taller Corte 2 - Arquitectura ProfesionalIntegrantes: Samantha Vanegas Russi, Avril Ariza Quitian.Calificación Final: 35/50 (Equivalente a 3.5)¡Hola, equipo! He revisado detalladamente su entrega para el proyecto de la Librería &quot;Páginas &amp;amp; Co.&quot;. A nivel de código, quiero felicitarlas sinceramente: han construido uno de los sistemas más robustos y completos que he visto en este corte. Sin embargo, tenemos oportunidades de mejora críticas en el área de autogestión y planeación.Empecemos por lo excelente: su implementación de la Programación Orientada a Objetos (POO) es impecable. La jerarquía que crearon con 3 clases padre (Autor, Libro, Venta) y sus respectivas clases hijo demuestra un dominio absoluto de la herencia y el polimorfismo. Además, el uso de atributos privados (__) y métodos getters/setters con validaciones internas (como evitar precios o stocks negativos) garantiza un encapsulamiento perfecto.En cuanto a la persistencia de datos, el trabajo con SQLite es sobresaliente. La creación de las tablas con sus respectivas Llaves Primarias y Foráneas (incluyendo reglas avanzadas como ON DELETE CASCADE y ON DELETE RESTRICT) protege la integridad de la información de manera muy profesional. Sus consultas con JOIN (especialmente el reporte de ventas por autor) y el manejo de errores con múltiples bloques try-except hacen que su aplicación sea a prueba de balas frente a los errores del usuario.Ahora, hablemos del aspecto a mejorar (El &quot;Sanity Check&quot; de Autogestión). Como se especificó en las reglas de oro del taller, un Arquitecto de Software no codifica sin planos. La ausencia total de la carpeta design/ (sin el Diagrama de Clases ni el Modelo Entidad-Relación) y la falta del archivo README.md en su repositorio de GitHub impactan fuertemente su calificación, tal como lo advertía la rúbrica.En el mundo real, si ustedes como CTOs entregan un código perfecto pero no lo documentan ni entregan los planos arquitectónicos, el resto del equipo de desarrollo no podrá entender ni escalar el proyecto. La planeación y la presentación del portafolio son tan importantes como la ejecución del código.A pesar de esta penalización en los componentes de diseño y documentación, quiero que se queden con la tranquilidad de que su nivel técnico en Python y SQL es excepcional. Tienen todas las herramientas, la lógica y el conocimiento para obtener un 5.0 rotundo en el Segundo Parcial de la próxima semana. ¡Mucho éxito y a seguir puliendo esa disciplina integral!Rúbrica de CalificaciónCriterio de EvaluaciónRequisito TécnicoPuntaje MáximoPuntaje ObtenidoLógica y Diseño (Arquitectura)Ausencia de la carpeta design/ (Sin Diagrama de Clases ni ERD). Penalización aplicada.10.00.0POO y EncapsulamientoExcelente definición de Clases Padre e Hijo, uso de self, métodos get/set y encapsulamiento.15.015.0SQL y Relaciones (CRUD)Creación de BD, PK/FK, 4 operaciones CRUD, uso avanzado de JOIN y 5 registros mínimos.15.015.0Robustez y GitHubExcelente uso de try-except. Penalización parcial por la ausencia del archivo README.md.10.05.0TOTAL50.035.0Diego Mauricio Zuluaga RodríguezProfesor - Departamento de EconomíaUniversidad de La Sabana"/>
    <n v="35"/>
    <n v="50"/>
    <n v="0.7"/>
  </r>
  <r>
    <x v="26"/>
    <s v="Samuel David"/>
    <s v="Simancas Contreras"/>
    <s v="samuelsico@unisabana.edu.co"/>
    <x v="7"/>
    <d v="2026-04-08T00:00:00"/>
    <x v="3"/>
    <s v="Entregado"/>
    <s v="⚠️ Seguimiento de entrega: Taller Corte 2Hola Samuel,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
    <n v="0"/>
    <n v="50"/>
    <n v="0"/>
  </r>
  <r>
    <x v="27"/>
    <s v="Maria Jose"/>
    <s v="Huertas Osorio"/>
    <s v="mariahueos@unisabana.edu.co"/>
    <x v="7"/>
    <d v="2026-04-08T00:00:00"/>
    <x v="3"/>
    <s v="Entregado"/>
    <s v="🚀 Retroalimentación de la_x000a_Entrega: Taller Corte 2 - Arquitectura Profesional  Integrantes: Gabriela Ruiz Pérez, María José Huertas_x000a_Osorio, Alessandro Di Mauro Bonilla Correa.  Calificación Final: 50/50 (Equivalente a 5.0)  ¡Hola, equipo! Qué excelente trabajo han realizado con la_x000a_refactorización de su proyecto &quot;Bistro 9&quot;. Han logrado transformar un_x000a_MVP básico en un sistema de gestión gastronómica (Food-Tech) con una_x000a_arquitectura de software verdaderamente profesional y escalable. Me impresionó mucho la coherencia entre sus diagramas de la_x000a_carpeta design/ y el código final. El Modelo Entidad-Relación y el Diagrama de_x000a_Clases reflejan exactamente la estructura que programaron. Esto demuestra una_x000a_planeación impecable y confirma que entendieron la regla de oro: un arquitecto_x000a_de software no escribe código sin tener los planos listos. En cuanto a la Programación Orientada a Objetos (POO), la_x000a_jerarquía que diseñaron es brillante. Crear clases padre como Persona, Consumible_x000a_y Transaccion, para luego heredar a Comensal, PlatoGourmet y TicketRestaurante,_x000a_demuestra un dominio total del concepto de reutilización de código. Además, el_x000a_uso de atributos protegidos y privados (__) junto con sus respectivos métodos getters_x000a_asegura que la lógica de su negocio esté blindada. Sobre la persistencia de datos, el manejo de SQLite fue_x000a_impecable. La inicialización de la base de datos con PRAGMA foreign_keys = ON;_x000a_y la inserción de los 5 registros obligatorios usando INSERT OR IGNORE_x000a_garantizan que el sistema sea robusto y fácil de auditar. El menú interactivo_x000a_cumple con todas las operaciones CRUD, y la consulta INNER JOIN para generar_x000a_los tickets del restaurante cruza la información de las tres tablas de manera_x000a_perfecta. Finalmente, destaco la robustez de su aplicación. La_x000a_implementación de bloques try-except para capturar tanto errores de digitación_x000a_(ValueError) como fallos en la base de datos (sqlite3.Error) asegura que el_x000a_programa no colapse abruptamente, brindando una excelente experiencia de_x000a_usuario. Su repositorio en GitHub y el README.md son una gran adición a su_x000a_portafolio profesional. Sigan trabajando con este nivel de excelencia, curiosidad y_x000a_atención al detalle. Han construido una base técnica muy sólida que les será de_x000a_gran utilidad no solo para el Segundo Parcial, sino para cualquier proyecto de_x000a_análisis de datos o desarrollo que emprendan en sus carreras. ¡Felicitaciones!  _x000a_ _x000a_  _x000a_  Criterio de Evaluación _x000a_  _x000a_  _x000a_  Descripción Técnica _x000a_  _x000a_  _x000a_  Puntaje Máximo _x000a_  _x000a_  _x000a_  Puntaje Obtenido _x000a_  _x000a_ _x000a_ _x000a_  _x000a_  Lógica y Diseño (Arquitectura) _x000a_  _x000a_  _x000a_  Diagrama de Clases y ERD en la carpeta design/. Evidencia_x000a_  clara de planeación previa. _x000a_  _x000a_  _x000a_  10.0 _x000a_  _x000a_  _x000a_  10.0 _x000a_  _x000a_ _x000a_ _x000a_  _x000a_  POO y Encapsulamiento _x000a_  _x000a_  _x000a_  3 Clases Padre, 3 Hijos, uso correcto de herencia, self y_x000a_  encapsulamiento de atributos. _x000a_  _x000a_  _x000a_  15.0 _x000a_  _x000a_  _x000a_  15.0 _x000a_  _x000a_ _x000a_ _x000a_  _x000a_  SQL y Relaciones (CRUD) _x000a_  _x000a_  _x000a_  Creación de BD, uso de PK/FK, 4 operaciones CRUD, uso de JOIN_x000a_  y mínimo 5 registros por tabla. _x000a_  _x000a_  _x000a_  15.0 _x000a_  _x000a_  _x000a_  15.0 _x000a_  _x000a_ _x000a_ _x000a_  _x000a_  Robustez y GitHub _x000a_  _x000a_  _x000a_  Uso de try-except para evitar caídas. Repositorio_x000a_  configurado con README.md profesional. _x000a_  _x000a_  _x000a_  10.0 _x000a_  _x000a_  _x000a_  10.0 _x000a_  _x000a_ _x000a_ _x000a_  _x000a_  TOTAL _x000a_  _x000a_  _x000a_  _x000a_  50.0 _x000a_  _x000a_  _x000a_  50.0 _x000a_  _x000a_  Diego Mauricio Zuluaga Rodríguez Profesor - Departamento de Economía Universidad de La Sabana"/>
    <n v="50"/>
    <n v="50"/>
    <n v="1"/>
  </r>
  <r>
    <x v="28"/>
    <s v="Juan Camilo"/>
    <s v="Leyton Lancheros"/>
    <s v="juanleyla@unisabana.edu.co"/>
    <x v="7"/>
    <d v="2026-04-08T00:00:00"/>
    <x v="3"/>
    <s v="Entregado"/>
    <s v="⚠️ Seguimiento de entrega: Taller Corte 2Hola Juan Camilo,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
    <n v="0"/>
    <n v="50"/>
    <n v="0"/>
  </r>
  <r>
    <x v="29"/>
    <s v="Samuel Mathias"/>
    <s v="Gonzalez Bernal"/>
    <s v="samuelgonbe@unisabana.edu.co"/>
    <x v="7"/>
    <d v="2026-04-08T00:00:00"/>
    <x v="3"/>
    <s v="Entregado"/>
    <s v="🚀 Retroalimentación de la Entrega: Taller Corte 2 - Arquitectura Profesional Integrantes: Sebastián Vanoy Gutiérrez, Samuel David Lozano Holguín, Samuel Mathias González Bernal. Calificación Final: 50/50 (Equivalente a 5.0) ¡Hola, equipo! Quiero felicitarlos por la excepcional calidad de su trabajo. Han logrado no solo cumplir, sino superar las expectativas de este taller, entregando una solución de software que demuestra un dominio impresionante de los conceptos de arquitectura, POO y bases de datos relacionales.Me complace enormemente ver la calidad de su planeación en la carpeta design/. El Diagrama de Clases y el Modelo Entidad-Relación (ERD) son claros, profesionales y reflejan a la perfección la estructura que implementaron en el código. Este es el sello de un equipo de desarrollo maduro: pensar y diseñar antes de programar.En la parte técnica, su implementación es impecable. La jerarquía de clases (Persona -&amp;gt; Cliente, Ruta -&amp;gt; Destino, Envio -&amp;gt; Paquete) está perfectamente estructurada, aplicando herencia para reutilizar código y encapsulamiento (__) para proteger los datos. Además, la integración de la lógica de negocio directamente en los métodos de las clases (ej. Paquete.actualizar()) es una práctica de POO avanzada que demuestra que no solo están escribiendo código, sino diseñando un sistema cohesivo.La interacción con la base de datos SQLite es robusta y segura. El uso de PRAGMA foreign_keys = ON;, la gestión de errores con try-except, y la consulta INNER JOIN para generar el manifiesto son de nivel profesional. Me gustó especialmente el detalle de usar conn.row_factory = sqlite3.Row, que permite acceder a los datos por el nombre de la columna, haciendo el código mucho más legible y mantenible.Sigan con este nivel de excelencia. Han demostrado que tienen la capacidad no solo de seguir instrucciones, sino de investigar, proponer y ejecutar soluciones técnicas elegantes y eficientes. ¡Están más que preparados para el Segundo Parcial y para cualquier reto de desarrollo que se les presente en el futuro! Rúbrica de Calificación 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  Diego Mauricio Zuluaga RodríguezProfesor - Departamento de EconomíaUniversidad de La Sabana"/>
    <n v="50"/>
    <n v="50"/>
    <n v="1"/>
  </r>
  <r>
    <x v="30"/>
    <s v="Valeria"/>
    <s v="Morales"/>
    <s v="valeriamor@unisabana.edu.co"/>
    <x v="7"/>
    <d v="2026-04-08T00:00:00"/>
    <x v="3"/>
    <s v="Entregado"/>
    <s v="🚀 Retroalimentación de la Entrega: Taller Corte 2 - Arquitectura ProfesionalIntegrantes: Paula Andrea Arciniegas Cárdenas, Valeria Morales, Isabella Carranza Tapiero.Proyecto: Ruta Óptima App - Sistema LogísticoCalificación Final: 50/50 (Equivalente a 5.0)¡Hola, equipo! Qué excelente trabajo han realizado. Han logrado tomar el MVP del primer corte y transformarlo en una verdadera aplicación de software con una arquitectura sólida y escalable. Se nota el esfuerzo, la dedicación y, sobre todo, la excelente autogestión que tuvieron como grupo.Quiero destacar primero su trabajo de planeación. Los diagramas que incluyeron en la carpeta design/ (el Diagrama de Clases y el Modelo Entidad-Relación) son de nivel profesional. Como hemos hablado en clase, un buen CTO no escribe código a ciegas; ustedes planearon su estructura de 3 tablas y su jerarquía de herencia antes de programar, y eso se reflejó en un código limpio y sin improvisaciones.En cuanto a la Programación Orientada a Objetos (POO), la implementación es impecable. Cumplieron con creces al crear las clases padre (Cliente, Paquete, Envio) y sus respectivas clases hijas. El uso de atributos privados (__nombre, __peso) junto con los métodos Getters y Setters demuestra que comprendieron a la perfección el concepto de Encapsulamiento para proteger la información de su negocio.Sobre la persistencia de datos y SQL, lograron un CRUD completamente funcional y robusto. La inserción de los 5 registros iniciales (la Regla de Oro) funcionó perfectamente. Además, la consulta JOIN que cruza las tres tablas para mostrar el reporte de envíos es exactamente el tipo de consultas que un analista de datos necesita para conectar esta base de datos con herramientas como Power BI en el futuro.Como un pequeño &quot;Sanity Check&quot; o consejo técnico para sus futuros proyectos: noté que definieron muy bien las Llaves Foráneas (FK) al crear las tablas, pero en SQLite es altamente recomendable ejecutar el comando cursor.execute(&quot;PRAGMA foreign_keys = ON;&quot;) justo después de conectarse a la base de datos. Esto obliga al motor a respetar esas relaciones y evitar que alguien borre un cliente que ya tiene paquetes asignados. De igual forma, el manejo de errores con try-except que implementaron blindó muy bien el sistema.Las felicito por este gran resultado. Tienen todas las bases técnicas y lógicas para afrontar el Segundo Parcial con total tranquilidad. Sigan trabajando con esta misma disciplina y atención al detalle, ¡tienen un gran futuro como líderes en tecnología y negocios!Criterio de EvaluaciónDescripción TécnicaPuntaje MáximoPuntaje ObtenidoLógica y Diseño (Arquitectura)Diagrama de Clases y Modelo ERD impecables en la carpeta design/. Excelente planeación.10.010.0POO y EncapsulamientoSuperan el requisito de 3 Clases Padre y 3 Hijos. Uso perfecto de self, encapsulamiento (__) y métodos get/set.15.015.0SQL y Relaciones (CRUD)Tablas normalizadas con PK/FK, 4 operaciones CRUD funcionales, JOIN de 3 tablas y datos mínimos insertados.15.015.0Robustez y GitHubExcelente uso de try-except en todo el menú y operaciones. Repositorio público con README profesional.10.010.0TOTAL50.050.0Diego Mauricio Zuluaga RodríguezProfesor - Departamento de EconomíaUniversidad de La Sabana"/>
    <n v="50"/>
    <n v="50"/>
    <n v="1"/>
  </r>
  <r>
    <x v="31"/>
    <s v="Samantha"/>
    <s v="Vanegas Russi"/>
    <s v="samanthavaru@unisabana.edu.co"/>
    <x v="7"/>
    <d v="2026-04-08T00:00:00"/>
    <x v="3"/>
    <s v="Entregado"/>
    <s v="🚀 Retroalimentación de la Entrega: Taller Corte 2 - Arquitectura Profesional Integrantes: Samantha Vanegas Russi, Avril Ariza Quitian. Calificación Final: 35/50 (Equivalente a 3.5) ¡Hola, equipo! He revisado detalladamente su entrega para el proyecto de la Librería &quot;Páginas &amp;amp; Co.&quot;. A nivel de código, quiero felicitarlas sinceramente: han construido uno de los sistemas más robustos y completos que he visto en este corte. Sin embargo, tenemos oportunidades de mejora críticas en el área de autogestión y planeación.Empecemos por lo excelente: su implementación de la Programación Orientada a Objetos (POO) es impecable. La jerarquía que crearon con 3 clases padre (Autor, Libro, Venta) y sus respectivas clases hijo demuestra un dominio absoluto de la herencia y el polimorfismo. Además, el uso de atributos privados (__) y métodos getters/setters con validaciones internas (como evitar precios o stocks negativos) garantiza un encapsulamiento perfecto.En cuanto a la persistencia de datos, el trabajo con SQLite es sobresaliente. La creación de las tablas con sus respectivas Llaves Primarias y Foráneas (incluyendo reglas avanzadas como ON DELETE CASCADE y ON DELETE RESTRICT) protege la integridad de la información de manera muy profesional. Sus consultas con JOIN (especialmente el reporte de ventas por autor) y el manejo de errores con múltiples bloques try-except hacen que su aplicación sea a prueba de balas frente a los errores del usuario.Ahora, hablemos del aspecto a mejorar (El &quot;Sanity Check&quot; de Autogestión). Como se especificó en las reglas de oro del taller, un Arquitecto de Software no codifica sin planos. La ausencia total de la carpeta design/ (sin el Diagrama de Clases ni el Modelo Entidad-Relación) y la falta del archivo README.md en su repositorio de GitHub impactan fuertemente su calificación, tal como lo advertía la rúbrica.En el mundo real, si ustedes como CTOs entregan un código perfecto pero no lo documentan ni entregan los planos arquitectónicos, el resto del equipo de desarrollo no podrá entender ni escalar el proyecto. La planeación y la presentación del portafolio son tan importantes como la ejecución del código.A pesar de esta penalización en los componentes de diseño y documentación, quiero que se queden con la tranquilidad de que su nivel técnico en Python y SQL es excepcional. Tienen todas las herramientas, la lógica y el conocimiento para obtener un 5.0 rotundo en el Segundo Parcial de la próxima semana. ¡Mucho éxito y a seguir puliendo esa disciplina integral! Rúbrica de CalificaciónCriterio de EvaluaciónRequisito TécnicoPuntaje MáximoPuntaje ObtenidoLógica y Diseño (Arquitectura)Ausencia de la carpeta design/ (Sin Diagrama de Clases ni ERD). Penalización aplicada.10.00.0POO y EncapsulamientoExcelente definición de Clases Padre e Hijo, uso de self, métodos get/set y encapsulamiento.15.015.0SQL y Relaciones (CRUD)Creación de BD, PK/FK, 4 operaciones CRUD, uso avanzado de JOIN y 5 registros mínimos.15.015.0Robustez y GitHubExcelente uso de try-except. Penalización parcial por la ausencia del archivo README.md.10.05.0TOTAL50.035.0  Diego Mauricio Zuluaga RodríguezProfesor - Departamento de EconomíaUniversidad de La Sabana"/>
    <n v="35"/>
    <n v="50"/>
    <n v="0.7"/>
  </r>
  <r>
    <x v="32"/>
    <s v="Juan Jose"/>
    <s v="Caballero Mantilla"/>
    <s v="juancabma@unisabana.edu.co"/>
    <x v="7"/>
    <d v="2026-04-08T00:00:00"/>
    <x v="3"/>
    <s v="Entregado"/>
    <s v="🚀 Retroalimentación de la Entrega: Taller Corte 2 - Arquitectura Profesional Integrantes: Martín Martín Trujillo Rodríguez, Daniel Camilo López Piraquive, Juan José Caballero Mantilla. Calificación Final: 13/50 (Equivalente a 1.3) Estimado equipo, espero que se encuentren muy bien. He revisado detalladamente su entrega para este segundo corte. Valoro el esfuerzo inicial por estructurar el proyecto, pero debo ser muy transparente con ustedes: la entrega está incompleta y no cumple con la mayoría de los requerimientos técnicos y de autogestión exigidos en la rúbrica.En primer lugar, me preocupa la evidencia de trabajo en equipo. Tanto en el archivo README.md como en los comentarios y salidas del código (print), únicamente aparece el nombre de Juan José Caballero. En un entorno profesional, el trabajo colaborativo es fundamental y todos los CTOs fundadores deben tener visibilidad y participación en el repositorio.Sobre la Autogestión y Planeación, la ausencia de la carpeta design/ con el Diagrama de Clases y el Modelo Entidad-Relación (ERD) es una falla crítica. Como lo advertimos en las instrucciones: &quot;Un Arquitecto de Software no codifica sin planos&quot;. Esta omisión penaliza gravemente la nota, ya que el diseño previo es lo que garantiza que el código final tenga sentido.En cuanto a la Programación Orientada a Objetos (POO), el requerimiento exigía al menos 3 clases padre y 3 clases hijo. Ustedes implementaron únicamente 2 clases padre (Persona, ProductoBase) y 1 clase hijo (Cliente). Aunque hay un intento de encapsulamiento con _nombre y __correo, faltó desarrollar los métodos get y set para interactuar con estos datos de forma segura, así como la lógica de negocio que los conectara.Respecto a las Bases de Datos (SQL), el avance fue muy básico. Se pedían 3 tablas relacionadas, pero solo crearon 2 (proveedores y productos). Aunque insertaron 5 registros en proveedores, dejaron la tabla de productos vacía. Lo más crítico aquí es la ausencia total del Menú Interactivo con las operaciones CRUD (Crear, Leer, Actualizar, Eliminar) y la falta de la consulta JOIN, que era el corazón de la evaluación relacional.Equipo, sé que tienen la capacidad para dominar estos temas. La programación requiere tiempo, disciplina y seguir las instrucciones paso a paso. Tomen esta calificación como un diagnóstico (Sanity Check) de lo que deben reforzar urgentemente. El Segundo Parcial está muy cerca y evaluará exactamente estos mismos conceptos. Apóyense en los apuntes de clase, practiquen los Live Coding que les compartí y trabajen verdaderamente en equipo. ¡Ustedes pueden darle la vuelta a este resultado! Rúbrica de CalificaciónCriterio de EvaluaciónRequisito TécnicoPuntaje MáximoPuntaje ObtenidoLógica y Diseño (Arquitectura)Ausencia total de la carpeta design/, Diagrama de Clases y ERD. No hay evidencia de planeación.10.00.0POO y EncapsulamientoJerarquía incompleta (solo 2 padres y 1 hijo). Falta implementación de métodos get/set y lógica de negocio.15.05.0SQL y Relaciones (CRUD)Solo 2 tablas creadas. Faltan operaciones CRUD, consulta JOIN y registros en la tabla de productos.15.03.0Robustez y GitHubRepositorio creado y uso básico de try-except. Sin embargo, el README es incompleto y no refleja trabajo en equipo.10.05.0TOTAL50.013.0  Diego Mauricio Zuluaga RodríguezProfesor - Departamento de EconomíaUniversidad de La Sabana"/>
    <n v="13"/>
    <n v="50"/>
    <n v="0.26"/>
  </r>
  <r>
    <x v="33"/>
    <s v="Daniel Camilo"/>
    <s v="Lopez Piraquive"/>
    <s v="danielloppi@unisabana.edu.co"/>
    <x v="7"/>
    <d v="2026-04-08T00:00:00"/>
    <x v="3"/>
    <s v="Entregado"/>
    <s v="🚀 Retroalimentación de la Entrega: Taller Corte 2 - Reingeniería de Software Integrantes: Martín Trujillo Rodríguez, Daniel Camilo López Piraquive, Juan José Caballero Mantilla. Calificación Final: 50/50 (Equivalente a 5.0) ¡Hola, equipo! He revisado su proyecto y quiero felicitarlos por la excelente arquitectura de software que han construido. Han logrado tomar un sistema simple y escalarlo a una solución profesional, demostrando un dominio claro de los conceptos de Programación Orientada a Objetos y Bases de Datos Relacionales.Me gustó mucho la calidad de su planeación en la carpeta design/. El Diagrama de Clases y el Modelo Entidad-Relación (ERD) son claros, profesionales y, lo más importante, se reflejan perfectamente en la estructura de su código en Python y en las tablas de SQLite. Esto demuestra una autogestión impecable y un entendimiento profundo de cómo se diseña el software antes de escribir una sola línea de código.En la implementación técnica, destaco varios puntos brillantes:POO y Encapsulamiento: La jerarquía de clases (Entidad -&amp;gt; Producto, Persona -&amp;gt; Proveedor, Operacion -&amp;gt; Venta) está perfectamente estructurada y cumple con los requisitos de la rúbrica. El uso de atributos protegidos (_) y privados (__) demuestra que comprenden cómo proteger la lógica de negocio.Persistencia de Datos (SQLite): La clase SistemaDaniel es una excelente implementación del patrón de encapsulamiento. Al centralizar toda la lógica de la base de datos en una sola clase, hacen que el sistema sea mucho más fácil de mantener y escalar. La creación de las 3 tablas relacionadas y la inserción de los 5 registros mínimos es impecable.Robustez y GitHub: El uso de try-except para la conexión a la base de datos y el INSERT OR IGNORE para poblar las tablas sin errores en ejecuciones repetidas son excelentes prácticas. Su repositorio en GitHub está muy bien organizado y el README.md es claro y profesional.Sigan con este nivel de excelencia y atención al detalle. Están desarrollando habilidades que los diferencian en el mercado laboral y los preparan para liderar proyectos tecnológicos en sus respectivas carreras. ¡Mucho éxito en el Segundo Parcial! Rúbrica de CalificaciónCriterio de EvaluaciónRequisito TécnicoPuntaje MáximoPuntaje ObtenidoLógica y Diseño (Arquitectura)Diagrama de Clases y ERD en la carpeta design/. Evidencia de planeación previa.10.010.0POO y Encapsulamiento3 Clases Padre, 3 Hijos, uso de self, métodos get/set y encapsulamiento.15.015.0SQL y Relaciones (CRUD)Creación BD, PK/FK, 4 operaciones CRUD, uso de JOIN y mínimo 5 registros.15.015.0Robustez y GitHubUso de try-except, repositorio configurado con commits y README.md profesional.10.010.0TOTAL50.050.0  Diego Mauricio Zuluaga RodríguezProfesor - Departamento de EconomíaUniversidad de La Sabana"/>
    <n v="50"/>
    <n v="50"/>
    <n v="1"/>
  </r>
  <r>
    <x v="34"/>
    <s v="Gabriela"/>
    <s v="Ruiz Perez"/>
    <s v="gabrielarupe@unisabana.edu.co"/>
    <x v="7"/>
    <d v="2026-04-08T00:00:00"/>
    <x v="3"/>
    <s v="Entregado"/>
    <s v="🚀 Retroalimentación de la_x000a_Entrega: Taller Corte 2 - Arquitectura Profesional  Integrantes: Gabriela Ruiz Pérez, María José Huertas_x000a_Osorio, Alessandro Di Mauro Bonilla Correa.  Calificación Final: 50/50 (Equivalente a 5.0)  ¡Hola, equipo! Qué excelente trabajo han realizado con la_x000a_refactorización de su proyecto &quot;Bistro 9&quot;. Han logrado transformar un_x000a_MVP básico en un sistema de gestión gastronómica (Food-Tech) con una_x000a_arquitectura de software verdaderamente profesional y escalable. Me impresionó mucho la coherencia entre sus diagramas de la_x000a_carpeta design/ y el código final. El Modelo Entidad-Relación y el Diagrama de_x000a_Clases reflejan exactamente la estructura que programaron. Esto demuestra una_x000a_planeación impecable y confirma que entendieron la regla de oro: un arquitecto_x000a_de software no escribe código sin tener los planos listos. En cuanto a la Programación Orientada a Objetos (POO), la_x000a_jerarquía que diseñaron es brillante. Crear clases padre como Persona, Consumible_x000a_y Transaccion, para luego heredar a Comensal, PlatoGourmet y TicketRestaurante,_x000a_demuestra un dominio total del concepto de reutilización de código. Además, el_x000a_uso de atributos protegidos y privados (__) junto con sus respectivos métodos getters_x000a_asegura que la lógica de su negocio esté blindada. Sobre la persistencia de datos, el manejo de SQLite fue_x000a_impecable. La inicialización de la base de datos con PRAGMA foreign_keys = ON;_x000a_y la inserción de los 5 registros obligatorios usando INSERT OR IGNORE_x000a_garantizan que el sistema sea robusto y fácil de auditar. El menú interactivo_x000a_cumple con todas las operaciones CRUD, y la consulta INNER JOIN para generar_x000a_los tickets del restaurante cruza la información de las tres tablas de manera_x000a_perfecta. Finalmente, destaco la robustez de su aplicación. La_x000a_implementación de bloques try-except para capturar tanto errores de digitación_x000a_(ValueError) como fallos en la base de datos (sqlite3.Error) asegura que el_x000a_programa no colapse abruptamente, brindando una excelente experiencia de_x000a_usuario. Su repositorio en GitHub y el README.md son una gran adición a su_x000a_portafolio profesional. Sigan trabajando con este nivel de excelencia, curiosidad y_x000a_atención al detalle. Han construido una base técnica muy sólida que les será de_x000a_gran utilidad no solo para el Segundo Parcial, sino para cualquier proyecto de_x000a_análisis de datos o desarrollo que emprendan en sus carreras. ¡Felicitaciones!  _x000a_ _x000a_  _x000a_  Criterio de Evaluación _x000a_  _x000a_  _x000a_  Descripción Técnica _x000a_  _x000a_  _x000a_  Puntaje Máximo _x000a_  _x000a_  _x000a_  Puntaje Obtenido _x000a_  _x000a_ _x000a_ _x000a_  _x000a_  Lógica y Diseño (Arquitectura) _x000a_  _x000a_  _x000a_  Diagrama de Clases y ERD en la carpeta design/. Evidencia_x000a_  clara de planeación previa. _x000a_  _x000a_  _x000a_  10.0 _x000a_  _x000a_  _x000a_  10.0 _x000a_  _x000a_ _x000a_ _x000a_  _x000a_  POO y Encapsulamiento _x000a_  _x000a_  _x000a_  3 Clases Padre, 3 Hijos, uso correcto de herencia, self y_x000a_  encapsulamiento de atributos. _x000a_  _x000a_  _x000a_  15.0 _x000a_  _x000a_  _x000a_  15.0 _x000a_  _x000a_ _x000a_ _x000a_  _x000a_  SQL y Relaciones (CRUD) _x000a_  _x000a_  _x000a_  Creación de BD, uso de PK/FK, 4 operaciones CRUD, uso de JOIN_x000a_  y mínimo 5 registros por tabla. _x000a_  _x000a_  _x000a_  15.0 _x000a_  _x000a_  _x000a_  15.0 _x000a_  _x000a_ _x000a_ _x000a_  _x000a_  Robustez y GitHub _x000a_  _x000a_  _x000a_  Uso de try-except para evitar caídas. Repositorio_x000a_  configurado con README.md profesional. _x000a_  _x000a_  _x000a_  10.0 _x000a_  _x000a_  _x000a_  10.0 _x000a_  _x000a_ _x000a_ _x000a_  _x000a_  TOTAL _x000a_  _x000a_  _x000a_  _x000a_  50.0 _x000a_  _x000a_  _x000a_  50.0 _x000a_  _x000a_  Diego Mauricio Zuluaga Rodríguez Profesor - Departamento de Economía Universidad de La Sabana"/>
    <n v="50"/>
    <n v="50"/>
    <n v="1"/>
  </r>
  <r>
    <x v="35"/>
    <s v="Juan Sebastian"/>
    <s v="Perdomo Herrera"/>
    <s v="juanperhe@unisabana.edu.co"/>
    <x v="7"/>
    <d v="2026-04-08T00:00:00"/>
    <x v="3"/>
    <s v="Entregado"/>
    <s v="⚠️ Seguimiento de entrega: Taller Corte 2Hola Sebastián, espero que estés muy bien.Al realizar la auditoría de entregas en Teams, he notado que tu buzón para el Taller del Corte 2 (30%) se encuentra vacío. Como recordarás, la fecha límite innegociable fue el pasado miércoles 8 de abril a las 16:00.Este proyecto es el corazón de tu evaluación en este corte y la base técnica para el Segundo Parcial que presentaremos este miércoles 15 de abril. Más allá de la calificación, me preocupa tu proceso de autogestión, ya que el cumplimiento de cronogramas es una competencia vital que estamos desarrollando en el curso.¿Tuviste algún inconveniente de fuerza mayor que te impidiera realizar la carga del repositorio de GitHub a tiempo?Quedo atento a tus comentarios.Saludos,Diego Mauricio Zuluaga RodríguezProfesor - Departamento de EconomíaUniversidad de La Sabana"/>
    <n v="0"/>
    <n v="50"/>
    <n v="0"/>
  </r>
  <r>
    <x v="36"/>
    <s v="Martin Martin"/>
    <s v="Trujillo Rodriguez"/>
    <s v="martintrro@unisabana.edu.co"/>
    <x v="7"/>
    <d v="2026-04-08T00:00:00"/>
    <x v="3"/>
    <s v="Entregado"/>
    <s v="🚀 Retroalimentación de la Entrega: Taller Corte 2 - Arquitectura ProfesionalIntegrantes: Martín Martín Trujillo Rodríguez, Daniel Camilo López Piraquive, Juan José Caballero Mantilla.Calificación Final: 13/50 (Equivalente a 1.3)Estimado equipo, espero que se encuentren muy bien. He revisado detalladamente su entrega para este segundo corte. Valoro el esfuerzo inicial por estructurar el proyecto, pero debo ser muy transparente con ustedes: la entrega está incompleta y no cumple con la mayoría de los requerimientos técnicos y de autogestión exigidos en la rúbrica.En primer lugar, me preocupa la evidencia de trabajo en equipo. Tanto en el archivo README.md como en los comentarios y salidas del código (print), únicamente aparece el nombre de Juan José Caballero. En un entorno profesional, el trabajo colaborativo es fundamental y todos los CTOs fundadores deben tener visibilidad y participación en el repositorio.Sobre la Autogestión y Planeación, la ausencia de la carpeta design/ con el Diagrama de Clases y el Modelo Entidad-Relación (ERD) es una falla crítica. Como lo advertimos en las instrucciones: &quot;Un Arquitecto de Software no codifica sin planos&quot;. Esta omisión penaliza gravemente la nota, ya que el diseño previo es lo que garantiza que el código final tenga sentido.En cuanto a la Programación Orientada a Objetos (POO), el requerimiento exigía al menos 3 clases padre y 3 clases hijo. Ustedes implementaron únicamente 2 clases padre (Persona, ProductoBase) y 1 clase hijo (Cliente). Aunque hay un intento de encapsulamiento con _nombre y __correo, faltó desarrollar los métodos get y set para interactuar con estos datos de forma segura, así como la lógica de negocio que los conectara.Respecto a las Bases de Datos (SQL), el avance fue muy básico. Se pedían 3 tablas relacionadas, pero solo crearon 2 (proveedores y productos). Aunque insertaron 5 registros en proveedores, dejaron la tabla de productos vacía. Lo más crítico aquí es la ausencia total del Menú Interactivo con las operaciones CRUD (Crear, Leer, Actualizar, Eliminar) y la falta de la consulta JOIN, que era el corazón de la evaluación relacional.Equipo, sé que tienen la capacidad para dominar estos temas. La programación requiere tiempo, disciplina y seguir las instrucciones paso a paso. Tomen esta calificación como un diagnóstico (Sanity Check) de lo que deben reforzar urgentemente. El Segundo Parcial está muy cerca y evaluará exactamente estos mismos conceptos. Apóyense en los apuntes de clase, practiquen los Live Coding que les compartí y trabajen verdaderamente en equipo. ¡Ustedes pueden darle la vuelta a este resultado!Rúbrica de CalificaciónCriterio de EvaluaciónRequisito TécnicoPuntaje MáximoPuntaje ObtenidoLógica y Diseño (Arquitectura)Ausencia total de la carpeta design/, Diagrama de Clases y ERD. No hay evidencia de planeación.10.00.0POO y EncapsulamientoJerarquía incompleta (solo 2 padres y 1 hijo). Falta implementación de métodos get/set y lógica de negocio.15.05.0SQL y Relaciones (CRUD)Solo 2 tablas creadas. Faltan operaciones CRUD, consulta JOIN y registros en la tabla de productos.15.03.0Robustez y GitHubRepositorio creado y uso básico de try-except. Sin embargo, el README es incompleto y no refleja trabajo en equipo.10.05.0TOTAL50.013.0Diego Mauricio Zuluaga RodríguezProfesor - Departamento de EconomíaUniversidad de La Sabana"/>
    <n v="13"/>
    <n v="50"/>
    <n v="0.26"/>
  </r>
  <r>
    <x v="37"/>
    <s v="Alan David"/>
    <s v="Rossoff Vanegas"/>
    <s v="alanrova@unisabana.edu.co"/>
    <x v="7"/>
    <d v="2026-04-08T00:00:00"/>
    <x v="3"/>
    <s v="Entregado"/>
    <s v="🚀 Retroalimentación de la Entrega: Taller Corte 2 - Arquitectura ProfesionalIntegrantes: Juan Sebastián Salas Hinojosa, Alan David Rossoff Vanegas, Lukas Blanco Llanes.Calificación Final: 50/50 (Equivalente a 5.0)¡Hola, equipo! Qué entrega tan espectacular han realizado. He revisado su proyecto &quot;EconoApp&quot; en detalle y quiero felicitarlos porque han superado con creces las expectativas de este corte. Han demostrado que no solo saben escribir código, sino que piensan y estructuran soluciones como verdaderos Arquitectos de Software (CTOs).Me dejó gratamente sorprendido el nivel de detalle en su carpeta design/. El Diagrama de Clases UML y el Modelo Entidad-Relación (ERD) son de una calidad profesional impecable. Reflejan exactamente la jerarquía que programaron en Python y la estructura relacional de SQLite, demostrando que planificaron cada detalle antes de teclear la primera línea de código.En cuanto a la Programación Orientada a Objetos (POO), la implementación de sus 3 clases padre y 6 clases hijo es perfecta. El uso estricto del encapsulamiento con atributos privados (__), la creación de getters/setters y la aplicación del polimorfismo en el método descripcion() evidencian un dominio total del paradigma orientado a objetos.Sobre la persistencia de datos y SQL, destaco enormemente su proactividad. No solo cumplieron con las 3 tablas y las llaves foráneas, sino que implementaron la restricción ON DELETE CASCADE, una práctica avanzada que protege la integridad de la base de datos. Además, la consulta JOIN que construyeron en resumen_financiero_por_cliente() utilizando COALESCE, SUM y CASE WHEN es de un nivel analítico superior, digno de un entorno empresarial real.Finalmente, la robustez de su sistema es a prueba de balas. El manejo de excepciones con try-except para capturar tanto errores de digitación (ValueError) como errores de base de datos (sqlite3.IntegrityError), sumado a su excelente archivo README.md, hace que este proyecto sea una pieza brillante para su portafolio en GitHub.Sigan trabajando con esta misma pasión, curiosidad y rigor técnico. Tienen un talento enorme para la tecnología y el análisis de datos, habilidades que los harán destacar indiscutiblemente en el mercado laboral. ¡Mucho éxito en su Segundo Parcial, están más que preparados!📝 Rúbrica de CalificaciónCriterio de EvaluaciónRequisito TécnicoPuntaje MáximoPuntaje ObtenidoLógica y Diseño (Arquitectura)Diagrama de Clases y ERD de altísima calidad en la carpeta design/. Evidencia de planeación previa perfecta.10.010.0POO y Encapsulamiento3 Clases Padre, 6 Hijos, uso impecable de self, métodos get/set, herencia y polimorfismo.15.015.0SQL y Relaciones (CRUD)Creación BD, PK/FK con CASCADE, 4 operaciones CRUD, uso de JOIN avanzado y función de auditoría (≥5 registros).15.015.0Robustez y GitHubUso exhaustivo de try-except, repositorio configurado con commits y un README.md sobresaliente.10.010.0TOTAL50.050.0"/>
    <n v="50"/>
    <n v="50"/>
    <n v="1"/>
  </r>
  <r>
    <x v="38"/>
    <s v="Diego Alejandro"/>
    <s v="Hermida Limas"/>
    <s v="diegoherli@unisabana.edu.co"/>
    <x v="7"/>
    <d v="2026-04-08T00:00:00"/>
    <x v="3"/>
    <s v="Entregado"/>
    <s v="🚀 Retroalimentación de la Entrega: Taller Corte 2 - Arquitectura Profesional Integrantes: Simón Gustavo Restrepo Alvarez, Mateo Pérez Daza, Diego Alejandro Hermida Limas. Calificación Final: 60/50 (Equivalente a 5.0 con Bono) ¡Hola, equipo! He revisado su proyecto y debo decir que estoy genuinamente impresionado. Han ido más allá de los requerimientos del taller y han entregado una arquitectura de software de nivel profesional. Este es, sin duda, un trabajo de excelencia que demuestra un dominio absoluto de todos los conceptos del segundo corte.La planeación que realizaron en la carpeta design/ es impecable. El Diagrama de Clases y el Modelo Entidad-Relación (ERD) no solo son correctos, sino que reflejan una jerarquía de herencia y una normalización de datos muy bien pensada (Producto -&amp;gt; Bebida/Snack, Persona -&amp;gt; Proveedor, Registro -&amp;gt; Suministro). Esto demuestra que dedicaron tiempo a la fase de diseño, la habilidad más importante de un arquitecto de software.En la parte técnica, la decisión de modularizar el proyecto en archivos .py (producto.py, persona.py, database.py, etc.) y orquestar todo desde un main.py es una práctica avanzada que los diferencia enormemente. Esto no solo hace que el código sea más limpio y escalable, sino que facilita el trabajo en equipo en plataformas como GitHub. Por esta iniciativa, que va más allá de lo solicitado, se les otorga un bono de +10 puntos.La implementación de la base de datos SQLite es robusta y segura. El uso de try-except para manejar errores en cada operación CRUD, la correcta definición de Llaves Primarias y Foráneas, y la consulta JOIN para consolidar la información, son todos elementos ejecutados a la perfección.Sigan con este nivel de compromiso, curiosidad y rigor técnico. Están desarrollando un portafolio profesional de altísima calidad que les abrirá muchas puertas en el futuro. ¡Felicitaciones por un trabajo excepcional! Rúbrica de Calificación Criterio de EvaluaciónRequisito TécnicoPuntaje MáximoPuntaje ObtenidoLógica y Diseño (Arquitectura)Diagrama de Clases y ERD en la carpeta design/. Evidencia de planeación previa.10.010.0POO y EncapsulamientoCorrecta definición de Clases, uso de self, métodos get/set y encapsulamiento.15.015.0SQL y Relaciones (CRUD)Creación BD, PK/FK, 4 operaciones CRUD, uso de JOIN y mínimo 5 registros.15.015.0Robustez y GitHubUso de try-except, repositorio configurado con commits y README.md profesional.10.010.0Bono por ModularidadImplementación de arquitectura profesional con múltiples archivos .py.+10.0+10.0TOTAL50.060.0  Diego Mauricio Zuluaga RodríguezProfesor - Departamento de EconomíaUniversidad de La Sabana"/>
    <n v="60"/>
    <n v="50"/>
    <n v="1.2"/>
  </r>
  <r>
    <x v="0"/>
    <s v="Paula Andrea"/>
    <s v="Arciniegas Cardenas"/>
    <s v="paulaarcca@unisabana.edu.co"/>
    <x v="8"/>
    <d v="2026-03-25T00:00:00"/>
    <x v="2"/>
    <s v="Entregado"/>
    <s v="Retroalimentación de la Entrega: Módulo de Proveedores (POO Avanzada)Grupo 11: Valeria Morales, Isabella Carranza Tapiero, Paula Andrea Arciniegas Cárdenas.Calificación Final: 50/50 (Equivalente a 5.0)Comentarios del Profesor: ¡Excelente trabajo, equipo! Han logrado implementar una arquitectura orientada a objetos muy limpia y profesional. Este ejercicio demuestra que han comprendido a la perfección el concepto de Encapsulamiento y cómo los objetos interactúan entre sí en un ecosistema de software.Puntos Destacados:Autogestión y Planeación: El pseudocódigo entregado en la celda de Markdown es claro, estructurado y refleja exactamente la lógica que luego programaron en Python. Cumplieron la regla de oro: pensar antes de codificar.Encapsulamiento Avanzado: La protección de los atributos con doble guion bajo (__nit, __nombre_empresa, etc.) fue implementada correctamente.Validación Robusta (Sanity Check): La lógica que utilizaron en el método set_nit (isinstance(nuevo_nit, str) and nuevo_nit.isdigit() and nuevo_nit != &quot;&quot;) es de nivel avanzado. Están blindando el sistema contra errores humanos, lo cual es vital antes de conectar esto a una base de datos.Interacción entre Objetos: Recrear la clase Producto para poder probar el método suministrar_producto fue una excelente iniciativa. Demuestra que entienden cómo un objeto (Proveedor) puede modificar el estado interno de otro objeto (Producto) a través de sus métodos públicos (aumentar_stock).Motivación: Tienen una base técnica sumamente sólida. Al proteger los datos desde la clase en Python, están garantizando que cuando conectemos este sistema a nuestra Base de Datos SQL (SQLite) en las próximas clases, la información que llegue a las tablas sea 100% íntegra y confiable. ¡Sigan con este nivel de excelencia y rigor técnic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Diego Mauricio Zuluaga Rodríguez Profesor - Departamento de Economía Universidad de La Sabana"/>
    <n v="50"/>
    <n v="50"/>
    <n v="1"/>
  </r>
  <r>
    <x v="1"/>
    <s v="Sofia"/>
    <s v="Giraldo Pico"/>
    <s v="sofiagipi@unisabana.edu.co"/>
    <x v="8"/>
    <d v="2026-03-25T00:00:00"/>
    <x v="2"/>
    <s v="Entregado"/>
    <s v="Retroalimentación de la Entrega: Módulo de Proveedores (Arquitectura de Software)Integrantes: Alejandra León Vargas y Sofia Giraldo Pico. Calificación Final: 50/50 (Equivalente a 5.0) ¡Hola, Alejandra y Sofia! Qué gusto saludarlas. He revisado detalladamente su entrega y quiero empezar felicitándolas por el altísimo nivel de profesionalismo que han demostrado en este Notebook. No se limitaron a cumplir con los puntos básicos de la tarea, sino que construyeron un ecosistema de software completo, coherente y muy bien estructurado.Me impresionó mucho la claridad de su Pseudocódigo. Es un hábito de autogestión excelente que les ahorrará muchísimas horas de trabajo en proyectos más complejos. El hecho de que hayan integrado las clases de Producto, Bebida, Snack y hasta el CarritoDeCompras en un solo flujo de pruebas demuestra que tienen una visión sistémica del negocio, algo fundamental para cualquier analista de la EICEA.Técnicamente, el Encapsulamiento está impecable. El uso de los atributos privados con doble guion bajo y el manejo de los métodos seguros para alterar el stock es exactamente lo que buscamos en esta unidad. Su validación en el método set_nit es robusta y &quot;a prueba de errores&quot;, lo cual es vital para mantener la integridad de los datos antes de que pasemos a trabajar con bases de datos SQL.La forma en que el objeto Proveedor interactúa con el objeto Producto a través del método suministrar_producto es un ejemplo perfecto de cómo debe funcionar la comunicación entre clases. Además, la presentación de los resultados en la consola, con el uso de ljust y formatos de moneda, hace que su programa parezca un software real listo para ser usado en una empresa.Sigan con esa curiosidad y ese rigor técnico. Están construyendo una base muy fuerte para el Taller del Corte 2 y para el parcial. Si mantienen este nivel de detalle en el diseño y la implementación, les auguro un éxito total en lo que resta del semestre. ¡Excelente trabajo!Rúbrica de Calificación (Total: 50 Puntos)Criterio de EvaluaciónRequisito Técnico CumplidoPuntaje MáximoPuntaje ObtenidoPlaneación y DiseñoPseudocódigo detallado en Markdown que refleja la lógica del sistema.10.010.0POO y EncapsulamientoAtributos privados (__) y uso correcto de self en la clase Proveedor.15.015.0Seguridad y ValidaciónImplementación de get_nit y set_nit con validación de datos vacíos y numéricos.10.010.0Interacción entre ObjetosMétodo suministrar_producto que modifica el stock mediante métodos seguros.10.010.0Documentación y PruebasCódigo comentado línea por línea y batería de pruebas exhaustiva.5.05.0TOTAL50.050.0 Diego Mauricio Zuluaga Rodríguez Profesor - Departamento de Economía Universidad de La Sabana"/>
    <n v="50"/>
    <n v="50"/>
    <n v="1"/>
  </r>
  <r>
    <x v="2"/>
    <s v="Valery"/>
    <s v="Linares Hernandez"/>
    <s v="valerylihe@unisabana.edu.co"/>
    <x v="8"/>
    <d v="2026-03-25T00:00:00"/>
    <x v="2"/>
    <s v="Entregado"/>
    <s v="Retroalimentación de la Entrega: Módulo de Proveedores (POO Avanzada)Grupo: María Juliana Mejía Quintero, Valery Linares Hernández, María José Botero Galviz.Calificación Final: 50/50 (Equivalente a 5.0)Comentarios del Profesor:¡Hola, María Juliana, Valery y María José! Quiero felicitarlas por el excelente trabajo que han realizado en esta entrega. Han logrado implementar una arquitectura orientada a objetos sumamente limpia, profesional y, sobre todo, segura.Me impresionó mucho ver que no solo se limitaron a crear la clase Proveedor, sino que integraron todo el ecosistema de la cafetería (Producto, Cliente, CarritoDeCompras). Esto demuestra una visión global del software, que es exactamente lo que hace un buen CTO.Puntos Destacados:Autogestión y Planeación: El pseudocódigo entregado en la celda de Markdown es claro, directo y refleja con precisión la lógica que luego programaron en Python. Cumplieron a la perfección la regla de pensar antes de codificar.Encapsulamiento Avanzado: La protección de los atributos con el doble guion bajo (__nit, __nombre_empresa, etc.) fue implementada de manera impecable. Entendieron muy bien por qué no debemos dejar los datos expuestos.Validación Robusta (Sanity Check): La lógica que utilizaron en el método set_nit (validando espacios vacíos con .strip() y caracteres numéricos con .isdigit()) es de nivel profesional. Están blindando el sistema contra errores humanos, lo cual es vital antes de conectar esto a una base de datos.Interacción entre Objetos: El método suministrar_producto es un ejemplo perfecto de cómo un objeto (Proveedor) modifica el estado interno de otro objeto (Producto) a través de sus métodos públicos (aumentar_stock), sin violar su privacidad. Además, las pruebas que diseñaron cubren todos los escenarios de error posibles.Motivación:Tienen una base técnica sumamente sólida y un gran criterio para diseñar sistemas. Al proteger los datos desde las clases en Python, están garantizando que cuando conectemos este sistema a nuestra Base de Datos SQL (SQLite) en las próximas clases, la información que llegue a las tablas sea 100% íntegra y confiable. ¡Sigan con este nivel de excelencia, rigor técnico y trabajo en equip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Diego Mauricio Zuluaga Rodríguez Profesor - Departamento de Economía Universidad de La Sabana"/>
    <n v="50"/>
    <n v="50"/>
    <n v="1"/>
  </r>
  <r>
    <x v="3"/>
    <s v="Nicolas"/>
    <s v="Torres Calderon"/>
    <s v="nicolastorca@unisabana.edu.co"/>
    <x v="8"/>
    <d v="2026-03-25T00:00:00"/>
    <x v="2"/>
    <s v="Entregado"/>
    <s v="Retroalimentación: Módulo de Proveedores (POO Avanzada)Integrantes: Nicolas Torres Calderon, Juan Camilo Leyton Lancheros y Cristian Bermudez.Calificación Final: 50/50 (Equivalente a 5.0)¡Hola, equipo! Qué buen trabajo han presentado. Se nota una evolución clara en su forma de estructurar el código y, sobre todo, en la aplicación de los conceptos de Programación Orientada a Objetos. Han logrado construir un sistema que no solo funciona, sino que es seguro y profesional.Me gustaría destacar especialmente la robustez de su método set_nit. El uso de isinstance(nit, str) and nit.isdigit() es una práctica de nivel avanzado que demuestra que están pensando en la integridad de los datos. En el mundo de los negocios, validar que la información sea correcta antes de guardarla es lo que evita desastres financieros o legales.También es muy valioso que en el método suministrar_producto hayan incluido la verificación isinstance(producto, Producto). Esto asegura que el proveedor solo intente entregar mercancía a objetos que realmente sean productos de la cafetería, evitando errores de lógica en el sistema. Es un gran ejemplo de &quot;programación defensiva&quot;.Su pseudocódigo, aunque quedó ubicado al final del archivo, cumple con el objetivo de mostrar la planeación lógica del ejercicio. Recuerden que para el Taller del Corte 2, estos &quot;planos&quot; (Diagramas de Clases y ERD) serán la pieza fundamental para que su base de datos SQLite funcione correctamente sin redundancias.Sigan con esa disciplina y atención al detalle. Tienen una base técnica muy sólida para enfrentar lo que viene: la persistencia de datos en SQL. ¡Felicitaciones por este excelente resultado!Rúbrica de CalificaciónCriterio de EvaluaciónRequisito TécnicoPuntaje MáximoPuntaje ObtenidoPlaneación y LógicaPseudocódigo detallado en Markdown que refleja la lógica del sistema.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y bloque de pruebas ejecutado con éxito.5.05.0TOTAL50.050.0Diego Mauricio Zuluaga RodríguezProfesor - Departamento de EconomíaUniversidad de La Sabana"/>
    <n v="50"/>
    <n v="50"/>
    <n v="1"/>
  </r>
  <r>
    <x v="4"/>
    <s v="Cristian"/>
    <s v="Bermudez"/>
    <s v="cristianbe@unisabana.edu.co"/>
    <x v="8"/>
    <d v="2026-03-25T00:00:00"/>
    <x v="2"/>
    <s v="Entregado"/>
    <s v="Hola Cristian.   He revisado en Teams y no se registra tu entrega de la Tarea_x000a_Clase 6: Módulo de Proveedores.   Recuerda que en este curso la autogestión es_x000a_una competencia fundamental. Como analizamos en el cierre del Corte 1, omitir_x000a_estas entregas de bajo peso (checkpoints) puede afectar significativamente tu_x000a_promedio final, independientemente del resultado en el parcial.   Te invito a revisar el material y ponerte al día con los_x000a_conceptos con apoyo de tu grupo de trabajo, ya que esta actividad es la base_x000a_técnica para el Taller del Corte 2 y la integración con Bases de Datos SQL que_x000a_estamos desarrollando.   ¡Ánimo! Todavía estamos a tiempo de asegurar un excelente_x000a_desempeño en este segundo corte.   Atentamente,  Diego Mauricio Zuluaga Rodríguez _x000a_Profesor - Departamento de Economía _x000a_Universidad de La Sabana"/>
    <n v="0"/>
    <n v="50"/>
    <n v="0"/>
  </r>
  <r>
    <x v="5"/>
    <s v="Mariana"/>
    <s v="Carmona Romero"/>
    <s v="marianacarrom@unisabana.edu.co"/>
    <x v="8"/>
    <d v="2026-03-25T00:00:00"/>
    <x v="2"/>
    <s v="Entregado"/>
    <s v="Hola Mariana.   He revisado en Teams y no se registra tu entrega de la Tarea_x000a_Clase 6: Módulo de Proveedores.   Recuerda que en este curso la autogestión es_x000a_una competencia fundamental. Como analizamos en el cierre del Corte 1, omitir_x000a_estas entregas de bajo peso (checkpoints) puede afectar significativamente tu_x000a_promedio final, independientemente del resultado en el parcial.   Te invito a revisar el material y ponerte al día con los_x000a_conceptos con apoyo de tu grupo de trabajo, ya que esta actividad es la base_x000a_técnica para el Taller del Corte 2 y la integración con Bases de Datos SQL que_x000a_estamos desarrollando.   ¡Ánimo! Todavía estamos a tiempo de asegurar un excelente_x000a_desempeño en este segundo corte.   Atentamente,  Diego Mauricio Zuluaga Rodríguez _x000a_Profesor - Departamento de Economía _x000a_Universidad de La Sabana"/>
    <n v="0"/>
    <n v="50"/>
    <n v="0"/>
  </r>
  <r>
    <x v="6"/>
    <s v="Mariana"/>
    <s v="Pena Rodriguez"/>
    <s v="marianapero@unisabana.edu.co"/>
    <x v="8"/>
    <d v="2026-03-25T00:00:00"/>
    <x v="2"/>
    <s v="Entregado"/>
    <s v="Retroalimentación de la Entrega: Módulo de Proveedores (POO Avanzada)Grupo: Mariana Peña Rodríguez, Matías Mondragón Osorio, Arianne Mariana Amorocho Quiroga.Calificación Final: 50/50 (Equivalente a 5.0)Comentarios del Profesor: ¡Excelente trabajo, equipo! Han entregado una solución con un nivel de madurez técnica sobresaliente. La arquitectura que diseñaron demuestra que comprenden perfectamente cómo proteger la información y cómo hacer que dos entidades distintas (Proveedor y Producto) se comuniquen de forma segura.Puntos Destacados:Autogestión y Planeación: El pseudocódigo presentado en la celda de Markdown es muy detallado y estructurado. Cumplieron a la perfección la regla de oro: planificar la arquitectura antes de escribir la primera línea de código.Encapsulamiento y Seguridad (Sanity Check): La validación que implementaron en el método set_nit (isinstance(nuevo_nit, str) and nuevo_nit.isdigit() and len(nuevo_nit) &amp;gt; 0) es robusta y profesional. Están blindando el sistema contra inyecciones de datos erróneos.Interacción entre Objetos: La implementación del método suministrar_producto es impecable. El proveedor no altera el stock directamente (lo cual violaría el encapsulamiento), sino que utiliza el método público y seguro aumentar_stock del objeto Producto.Pruebas Unitarias: El bloque de pruebas al final del script demuestra todos los escenarios posibles (caminos de éxito y de error), lo que evidencia una auditoría completa de su propio código.Motivación: Tienen la mentalidad exacta de un Arquitecto de Software. Al garantizar que los datos que ingresan a sus objetos son válidos y seguros, están preparando el terreno ideal para nuestra próxima etapa: la persistencia en Bases de Datos SQL. Si la lógica en Python es así de sólida, su base de datos será 100% confiable. ¡Sigan con este nivel de excelencia!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numérico y datos vacíos.10.010.0Interacción de ObjetosMétodo suministrar_producto funcional, modificando el stock de un objeto Producto de forma segura.10.010.0Documentación y PruebasCódigo comentado línea por línea y bloque de pruebas ejecutado demostrando los errores y aciertos.5.05.0TOTAL50.050.0Diego Mauricio Zuluaga Rodríguez Profesor - Departamento de Economía Universidad de La Sabana"/>
    <n v="50"/>
    <n v="50"/>
    <n v="1"/>
  </r>
  <r>
    <x v="7"/>
    <s v="Isabella"/>
    <s v="Carranza Tapiero"/>
    <s v="isabellacata@unisabana.edu.co"/>
    <x v="8"/>
    <d v="2026-03-25T00:00:00"/>
    <x v="2"/>
    <s v="Entregado"/>
    <s v="Retroalimentación de la Entrega: Módulo de Proveedores (POO Avanzada)Grupo 11: Valeria Morales, Isabella Carranza Tapiero, Paula Andrea Arciniegas Cárdenas.Calificación Final: 50/50 (Equivalente a 5.0)Comentarios del Profesor: ¡Excelente trabajo, equipo! Han logrado implementar una arquitectura orientada a objetos muy limpia y profesional. Este ejercicio demuestra que han comprendido a la perfección el concepto de Encapsulamiento y cómo los objetos interactúan entre sí en un ecosistema de software.Puntos Destacados:Autogestión y Planeación: El pseudocódigo entregado en la celda de Markdown es claro, estructurado y refleja exactamente la lógica que luego programaron en Python. Cumplieron la regla de oro: pensar antes de codificar.Encapsulamiento Avanzado: La protección de los atributos con doble guion bajo (__nit, __nombre_empresa, etc.) fue implementada correctamente.Validación Robusta (Sanity Check): La lógica que utilizaron en el método set_nit (isinstance(nuevo_nit, str) and nuevo_nit.isdigit() and nuevo_nit != &quot;&quot;) es de nivel avanzado. Están blindando el sistema contra errores humanos, lo cual es vital antes de conectar esto a una base de datos.Interacción entre Objetos: Recrear la clase Producto para poder probar el método suministrar_producto fue una excelente iniciativa. Demuestra que entienden cómo un objeto (Proveedor) puede modificar el estado interno de otro objeto (Producto) a través de sus métodos públicos (aumentar_stock).Motivación: Tienen una base técnica sumamente sólida. Al proteger los datos desde la clase en Python, están garantizando que cuando conectemos este sistema a nuestra Base de Datos SQL (SQLite) en las próximas clases, la información que llegue a las tablas sea 100% íntegra y confiable. ¡Sigan con este nivel de excelencia y rigor técnic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Diego Mauricio Zuluaga Rodríguez Profesor - Departamento de Economía Universidad de La Sabana"/>
    <n v="50"/>
    <n v="50"/>
    <n v="1"/>
  </r>
  <r>
    <x v="8"/>
    <s v="Samuel David"/>
    <s v="Lozano Holguin"/>
    <s v="samuelloho@unisabana.edu.co"/>
    <x v="8"/>
    <d v="2026-03-25T00:00:00"/>
    <x v="2"/>
    <s v="Entregado"/>
    <s v="Retroalimentación de la Entrega: Módulo de Proveedores (POO Avanzada)Integrantes: Sebastián Vanoy Gutiérrez, Samuel David Lozano Holguín y Samuel Mathias González Bernal.Calificación Final: 50/50 (Equivalente a 5.0)Comentarios del Profesor:¡Excelente trabajo, equipo! Han entregado una de las soluciones más robustas y mejor estructuradas que he revisado. Se nota un compromiso real con la autogestión y un entendimiento profundo de cómo la Programación Orientada a Objetos (POO) ayuda a modelar procesos de negocio reales.Puntos a destacar (Lo excelente):Planeación de Alto Nivel: Su pseudocódigo es impecable. No solo planificaron la nueva clase, sino que identificaron proactivamente que la clase Producto necesitaba un &quot;punto de entrada&quot; (aumentar_stock) para que el proveedor pudiera interactuar con ella. Ese es el pensamiento de un verdadero arquitecto de software.Validación Profesional: El uso de raise ValueError dentro del método set_nit es un estándar de la industria. Al lanzar un error cuando el NIT es inválido o está vacío, están garantizando que el sistema nunca procese datos basura. Además, llamar al setter desde el __init__ asegura que el objeto nazca &quot;protegido&quot;.Robustez en las Pruebas: Me gustó mucho que en su bloque de ejecución utilizaran try-except para capturar los errores de validación. Esto demuestra que no solo escriben código que funciona, sino que diseñan software que sabe fallar con elegancia sin colapsar.Interacción entre Objetos: La forma en que el Proveedor utiliza los métodos del Producto para actualizar el inventario es el ejemplo perfecto de colaboración entre clases.Motivación:Tienen una base técnica muy fuerte. Al dominar el encapsulamiento y las validaciones de esta manera, la transición que haremos hacia las Bases de Datos Relacionales (SQL) será mucho más fluida para ustedes, ya que ya entienden la importancia de la integridad de los datos. ¡Sigan con esa curiosidad técnica y ese rigor en la documentación!Rúbrica de CalificaciónCriterio de EvaluaciónRequisito TécnicoPuntaje MáximoPuntaje ObtenidoPlaneación y LógicaPseudocódigo detallado y coherente en Markdown.10.010.0EncapsulamientoAtributos privados (__) y uso correcto de self.15.015.0Métodos de SeguridadImplementación de Getters/Setters con validaciones (isdigit, no vacío).10.010.0Interacción de ObjetosMétodo suministrar_producto funcional y lógico.10.010.0Documentación y PruebasCódigo comentado y batería de pruebas con manejo de errores.5.05.0TOTAL50.050.0Diego Mauricio Zuluaga Rodríguez Profesor - Departamento de Economía Universidad de La Sabana"/>
    <n v="50"/>
    <n v="50"/>
    <n v="1"/>
  </r>
  <r>
    <x v="9"/>
    <s v="Sebastian"/>
    <s v="Vanoy Gutierrez"/>
    <s v="sebastianvagu@unisabana.edu.co"/>
    <x v="8"/>
    <d v="2026-03-25T00:00:00"/>
    <x v="2"/>
    <s v="Entregado"/>
    <s v="Retroalimentación de la Entrega: Módulo de Proveedores (POO Avanzada)Integrantes: Sebastián Vanoy Gutiérrez, Samuel David Lozano Holguín y Samuel Mathias González Bernal.Calificación Final: 50/50 (Equivalente a 5.0)Comentarios del Profesor:¡Excelente trabajo, equipo! Han entregado una de las soluciones más robustas y mejor estructuradas que he revisado. Se nota un compromiso real con la autogestión y un entendimiento profundo de cómo la Programación Orientada a Objetos (POO) ayuda a modelar procesos de negocio reales.Puntos a destacar (Lo excelente):Planeación de Alto Nivel: Su pseudocódigo es impecable. No solo planificaron la nueva clase, sino que identificaron proactivamente que la clase Producto necesitaba un &quot;punto de entrada&quot; (aumentar_stock) para que el proveedor pudiera interactuar con ella. Ese es el pensamiento de un verdadero arquitecto de software.Validación Profesional: El uso de raise ValueError dentro del método set_nit es un estándar de la industria. Al lanzar un error cuando el NIT es inválido o está vacío, están garantizando que el sistema nunca procese datos basura. Además, llamar al setter desde el __init__ asegura que el objeto nazca &quot;protegido&quot;.Robustez en las Pruebas: Me gustó mucho que en su bloque de ejecución utilizaran try-except para capturar los errores de validación. Esto demuestra que no solo escriben código que funciona, sino que diseñan software que sabe fallar con elegancia sin colapsar.Interacción entre Objetos: La forma en que el Proveedor utiliza los métodos del Producto para actualizar el inventario es el ejemplo perfecto de colaboración entre clases.Motivación:Tienen una base técnica muy fuerte. Al dominar el encapsulamiento y las validaciones de esta manera, la transición que haremos hacia las Bases de Datos Relacionales (SQL) será mucho más fluida para ustedes, ya que ya entienden la importancia de la integridad de los datos. ¡Sigan con esa curiosidad técnica y ese rigor en la documentación!Rúbrica de CalificaciónCriterio de EvaluaciónRequisito TécnicoPuntaje MáximoPuntaje ObtenidoPlaneación y LógicaPseudocódigo detallado y coherente en Markdown.10.010.0EncapsulamientoAtributos privados (__) y uso correcto de self.15.015.0Métodos de SeguridadImplementación de Getters/Setters con validaciones (isdigit, no vacío).10.010.0Interacción de ObjetosMétodo suministrar_producto funcional y lógico.10.010.0Documentación y PruebasCódigo comentado y batería de pruebas con manejo de errores.5.05.0TOTAL50.050.0Diego Mauricio Zuluaga Rodríguez Profesor - Departamento de Economía Universidad de La Sabana"/>
    <n v="50"/>
    <n v="50"/>
    <n v="1"/>
  </r>
  <r>
    <x v="10"/>
    <s v="Jose Daniel"/>
    <s v="Escobar Hurtado"/>
    <s v="joseeshu@unisabana.edu.co"/>
    <x v="8"/>
    <d v="2026-03-25T00:00:00"/>
    <x v="2"/>
    <s v="Entregado"/>
    <s v="Retroalimentación: Tarea Clase 6 - Módulo de ProveedoresIntegrantes: Juan David Neuta Medina, Laura Fernanda Lopez Parra y Jose Daniel Escobar Hurtado.¡Hola, equipo! Qué gusto saludarlos. He revisado detalladamente su entrega para el sistema de gestión de &quot;Sabana Coffee&quot; y quiero felicitarlos por el nivel de profesionalismo y orden que demostraron en este ejercicio.Se nota que no se limitaron a cumplir con los requisitos básicos, sino que pensaron en el proyecto como un sistema integral y escalable. El uso de herramientas adicionales como datetime para la trazabilidad y el type hinting (indicar si es str o int en los parámetros) le da a su código un estándar de calidad muy alto, propio de desarrolladores que cuidan el detalle.Su planeación en el pseudocódigo es impecable. Lograron estructurar la lógica de herencia antes de pasar al código, lo cual es la base de una buena autogestión. Además, la implementación de la clase Cafeteria como orquestadora de proveedores y productos es un paso adelante muy valioso que les facilitará enormemente el trabajo para el Taller del Corte 2.Un punto que me pareció excelente fue el manejo de errores mediante raise ValueError. En lugar de solo imprimir un mensaje, están obligando al programa a tratar el error de forma técnica, lo cual es una práctica fundamental en la arquitectura de software profesional. El &quot;Sanity Check&quot; del NIT con isdigit() quedó perfecto.Sigan con esa curiosidad técnica. Han construido una base muy sólida que les permitirá integrar bases de datos SQL de manera muy natural en las próximas clases. ¡Excelente trabajo!Rúbrica de Calificación (Sobre 50 puntos)Criterio de EvaluaciónRequisito TécnicoPuntaje MáximoPuntaje ObtenidoPlaneación y LógicaPseudocódigo detallado en Markdown que refleja la arquitectura POO.10.010.0EncapsulamientoUso correcto de atributos privados (__) y protección de datos sensibles.15.015.0Métodos de SeguridadImplementación de get_nit y set_nit con validaciones robustas.10.010.0Interacción de ObjetosMétodo suministrar_producto funcional que modifica el stock de Producto.10.010.0Documentación y EstiloCódigo limpio, documentado y uso de clases adicionales (Cafeteria).5.05.0TOTAL50.050.0Calificación Final: 50 / 50 (5.0)Diego Mauricio Zuluaga RodríguezProfesor - Departamento de EconomíaUniversidad de La Sabana"/>
    <n v="50"/>
    <n v="50"/>
    <n v="1"/>
  </r>
  <r>
    <x v="11"/>
    <s v="Maria Jose"/>
    <s v="Botero Galviz"/>
    <s v="mariabotga@unisabana.edu.co"/>
    <x v="8"/>
    <d v="2026-03-25T00:00:00"/>
    <x v="2"/>
    <s v="Entregado"/>
    <s v="Retroalimentación de la Entrega: Módulo de Proveedores (POO Avanzada)Grupo: María Juliana Mejía Quintero, Valery Linares Hernández, María José Botero Galviz.Calificación Final: 50/50 (Equivalente a 5.0)Comentarios del Profesor:¡Hola, María Juliana, Valery y María José! Quiero felicitarlas por el excelente trabajo que han realizado en esta entrega. Han logrado implementar una arquitectura orientada a objetos sumamente limpia, profesional y, sobre todo, segura.Me impresionó mucho ver que no solo se limitaron a crear la clase Proveedor, sino que integraron todo el ecosistema de la cafetería (Producto, Cliente, CarritoDeCompras). Esto demuestra una visión global del software, que es exactamente lo que hace un buen CTO.Puntos Destacados:Autogestión y Planeación: El pseudocódigo entregado en la celda de Markdown es claro, directo y refleja con precisión la lógica que luego programaron en Python. Cumplieron a la perfección la regla de pensar antes de codificar.Encapsulamiento Avanzado: La protección de los atributos con el doble guion bajo (__nit, __nombre_empresa, etc.) fue implementada de manera impecable. Entendieron muy bien por qué no debemos dejar los datos expuestos.Validación Robusta (Sanity Check): La lógica que utilizaron en el método set_nit (validando espacios vacíos con .strip() y caracteres numéricos con .isdigit()) es de nivel profesional. Están blindando el sistema contra errores humanos, lo cual es vital antes de conectar esto a una base de datos.Interacción entre Objetos: El método suministrar_producto es un ejemplo perfecto de cómo un objeto (Proveedor) modifica el estado interno de otro objeto (Producto) a través de sus métodos públicos (aumentar_stock), sin violar su privacidad. Además, las pruebas que diseñaron cubren todos los escenarios de error posibles.Motivación:Tienen una base técnica sumamente sólida y un gran criterio para diseñar sistemas. Al proteger los datos desde las clases en Python, están garantizando que cuando conectemos este sistema a nuestra Base de Datos SQL (SQLite) en las próximas clases, la información que llegue a las tablas sea 100% íntegra y confiable. ¡Sigan con este nivel de excelencia, rigor técnico y trabajo en equip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Diego Mauricio Zuluaga Rodríguez Profesor - Departamento de Economía Universidad de La Sabana"/>
    <n v="50"/>
    <n v="50"/>
    <n v="1"/>
  </r>
  <r>
    <x v="12"/>
    <s v="Maria Juliana"/>
    <s v="Mejia Quintero"/>
    <s v="mariamequ@unisabana.edu.co"/>
    <x v="8"/>
    <d v="2026-03-25T00:00:00"/>
    <x v="2"/>
    <s v="Entregado"/>
    <s v="Retroalimentación de la Entrega: Módulo de Proveedores (POO Avanzada)Grupo: María Juliana Mejía Quintero, Valery Linares Hernández, María José Botero Galviz.Calificación Final: 50/50 (Equivalente a 5.0)Comentarios del Profesor:¡Hola, María Juliana, Valery y María José! Quiero felicitarlas por el excelente trabajo que han realizado en esta entrega. Han logrado implementar una arquitectura orientada a objetos sumamente limpia, profesional y, sobre todo, segura.Me impresionó mucho ver que no solo se limitaron a crear la clase Proveedor, sino que integraron todo el ecosistema de la cafetería (Producto, Cliente, CarritoDeCompras). Esto demuestra una visión global del software, que es exactamente lo que hace un buen CTO.Puntos Destacados:Autogestión y Planeación: El pseudocódigo entregado en la celda de Markdown es claro, directo y refleja con precisión la lógica que luego programaron en Python. Cumplieron a la perfección la regla de pensar antes de codificar.Encapsulamiento Avanzado: La protección de los atributos con el doble guion bajo (__nit, __nombre_empresa, etc.) fue implementada de manera impecable. Entendieron muy bien por qué no debemos dejar los datos expuestos.Validación Robusta (Sanity Check): La lógica que utilizaron en el método set_nit (validando espacios vacíos con .strip() y caracteres numéricos con .isdigit()) es de nivel profesional. Están blindando el sistema contra errores humanos, lo cual es vital antes de conectar esto a una base de datos.Interacción entre Objetos: El método suministrar_producto es un ejemplo perfecto de cómo un objeto (Proveedor) modifica el estado interno de otro objeto (Producto) a través de sus métodos públicos (aumentar_stock), sin violar su privacidad. Además, las pruebas que diseñaron cubren todos los escenarios de error posibles.Motivación:Tienen una base técnica sumamente sólida y un gran criterio para diseñar sistemas. Al proteger los datos desde las clases en Python, están garantizando que cuando conectemos este sistema a nuestra Base de Datos SQL (SQLite) en las próximas clases, la información que llegue a las tablas sea 100% íntegra y confiable. ¡Sigan con este nivel de excelencia, rigor técnico y trabajo en equip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Diego Mauricio Zuluaga Rodríguez Profesor - Departamento de Economía Universidad de La Sabana"/>
    <n v="50"/>
    <n v="50"/>
    <n v="1"/>
  </r>
  <r>
    <x v="13"/>
    <s v="Alejandra"/>
    <s v="Leon Vargas"/>
    <s v="alejandraleva@unisabana.edu.co"/>
    <x v="8"/>
    <d v="2026-03-25T00:00:00"/>
    <x v="2"/>
    <s v="Entregado"/>
    <s v="Retroalimentación de la Entrega: Módulo de Proveedores (Arquitectura de Software)Integrantes: Alejandra León Vargas y Sofia Giraldo Pico.Calificación Final: 50/50 (Equivalente a 5.0)¡Hola, Alejandra y Sofia! Qué gusto saludarlas. He revisado detalladamente su entrega y quiero empezar felicitándolas por el altísimo nivel de profesionalismo que han demostrado en este Notebook. No se limitaron a cumplir con los puntos básicos de la tarea, sino que construyeron un ecosistema de software completo, coherente y muy bien estructurado.Me impresionó mucho la claridad de su Pseudocódigo. Es un hábito de autogestión excelente que les ahorrará muchísimas horas de trabajo en proyectos más complejos. El hecho de que hayan integrado las clases de Producto, Bebida, Snack y hasta el CarritoDeCompras en un solo flujo de pruebas demuestra que tienen una visión sistémica del negocio, algo fundamental para cualquier analista de la EICEA.Técnicamente, el Encapsulamiento está impecable. El uso de los atributos privados con doble guion bajo y el manejo de los métodos seguros para alterar el stock es exactamente lo que buscamos en esta unidad. Su validación en el método set_nit es robusta y &quot;a prueba de errores&quot;, lo cual es vital para mantener la integridad de los datos antes de que pasemos a trabajar con bases de datos SQL.La forma en que el objeto Proveedor interactúa con el objeto Producto a través del método suministrar_producto es un ejemplo perfecto de cómo debe funcionar la comunicación entre clases. Además, la presentación de los resultados en la consola, con el uso de ljust y formatos de moneda, hace que su programa parezca un software real listo para ser usado en una empresa.Sigan con esa curiosidad y ese rigor técnico. Están construyendo una base muy fuerte para el Taller del Corte 2 y para el parcial. Si mantienen este nivel de detalle en el diseño y la implementación, les auguro un éxito total en lo que resta del semestre. ¡Excelente trabajo!Rúbrica de Calificación (Total: 50 Puntos)Criterio de EvaluaciónRequisito Técnico CumplidoPuntaje MáximoPuntaje ObtenidoPlaneación y DiseñoPseudocódigo detallado en Markdown que refleja la lógica del sistema.10.010.0POO y EncapsulamientoAtributos privados (__) y uso correcto de self en la clase Proveedor.15.015.0Seguridad y ValidaciónImplementación de get_nit y set_nit con validación de datos vacíos y numéricos.10.010.0Interacción entre ObjetosMétodo suministrar_producto que modifica el stock mediante métodos seguros.10.010.0Documentación y PruebasCódigo comentado línea por línea y batería de pruebas exhaustiva.5.05.0TOTAL50.050.0Diego Mauricio Zuluaga RodríguezProfesor - Departamento de EconomíaUniversidad de La Sabana"/>
    <n v="50"/>
    <n v="50"/>
    <n v="1"/>
  </r>
  <r>
    <x v="14"/>
    <s v="Alessandro Di Mauro"/>
    <s v="Bonilla Correa"/>
    <s v="alessandroboco@unisabana.edu.co"/>
    <x v="8"/>
    <d v="2026-03-25T00:00:00"/>
    <x v="2"/>
    <s v="Entregado"/>
    <s v="¡Hola, equipo! Qué buen trabajo han presentado Gabriela, Maria Jose y Alessandro. Me da mucho gusto ver cómo han integrado no solo lo solicitado en la tarea, sino que se adelantaron y aplicaron conceptos de herencia y polimorfismo que vimos en el Live Coding. Se nota que hay un compromiso real con el proyecto de la cafetería y que están entendiendo cómo estas piezas encajan en una arquitectura de software más grande. Puntos que quiero destacar de su entrega: Primero, la estructura de clases es impecable. El hecho de que hayan creado la clase padre &quot;Producto&quot; y las clases hijas &quot;Bebida&quot; y &quot;Snack&quot; demuestra que el principio DRY (No te repitas) quedó clarísimo. Además, el uso de super().__init__ está perfectamente implementado. Segundo, el encapsulamiento en la clase &quot;Proveedor&quot; es muy robusto. Utilizaron correctamente los atributos privados con el doble guion bajo (__) y el método set_nit tiene las validaciones exactas que buscábamos: que no sea un campo vacío y que sea estrictamente numérico. Esto es &quot;Sanity Check&quot; puro para proteger la integridad de los datos. Tercero, la interacción entre objetos en el método suministrar_producto funciona de maravilla. Es genial ver cómo el objeto proveedor &quot;dialoga&quot; con el objeto producto para actualizar el stock de forma segura a través de los métodos que ustedes mismos definieron. Como pequeña observación de mejora para el futuro: su pseudocódigo es más un resumen descriptivo que un paso a paso lógico. Para el taller del Corte 2, intenten que sea un poco más esquemático (paso 1, paso 2, etc.), ya que eso les ayudará a mapear mejor la lógica antes de tirar la primera línea de código. Sin embargo, la ejecución técnica compensa esto totalmente. ¡Felicitaciones! Van por un excelente camino para lo que se viene con Bases de Datos SQL. Sigan con esa curiosidad y ese nivel de detalle. Rúbrica de Calificación (Total: 50/50)Criterio de EvaluaciónRequisito TécnicoPuntaje MáximoPuntaje ObtenidoPlaneación y LógicaPseudocódigo descriptivo que refleja la lógica del sistema.10.010.0EncapsulamientoClase Proveedor con atributos privados y uso correcto de self.15.015.0Métodos de SeguridadImplementación de get_nit y set_nit con validaciones de formato.10.010.0Interacción de ObjetosEl proveedor modifica el stock del producto exitosamente.10.010.0Documentación y PruebasCódigo bien comentado y batería de pruebas completa.5.05.0Puntaje Final Diego Mauricio Zuluaga RodríguezProfesor - Departamento de EconomíaUniversidad de La Sabana"/>
    <n v="50"/>
    <n v="50"/>
    <n v="1"/>
  </r>
  <r>
    <x v="15"/>
    <s v="Arianne Mariana"/>
    <s v="Amorocho Quiroga"/>
    <s v="arianneamqu@unisabana.edu.co"/>
    <x v="8"/>
    <d v="2026-03-25T00:00:00"/>
    <x v="2"/>
    <s v="Entregado"/>
    <s v="Retroalimentación de la Entrega: Módulo de Proveedores (POO Avanzada)Grupo: Mariana Peña Rodríguez, Matías Mondragón Osorio, Arianne Mariana Amorocho Quiroga.Calificación Final: 50/50 (Equivalente a 5.0)Comentarios del Profesor: ¡Excelente trabajo, equipo! Han entregado una solución con un nivel de madurez técnica sobresaliente. La arquitectura que diseñaron demuestra que comprenden perfectamente cómo proteger la información y cómo hacer que dos entidades distintas (Proveedor y Producto) se comuniquen de forma segura.Puntos Destacados:Autogestión y Planeación: El pseudocódigo presentado en la celda de Markdown es muy detallado y estructurado. Cumplieron a la perfección la regla de oro: planificar la arquitectura antes de escribir la primera línea de código.Encapsulamiento y Seguridad (Sanity Check): La validación que implementaron en el método set_nit (isinstance(nuevo_nit, str) and nuevo_nit.isdigit() and len(nuevo_nit) &amp;gt; 0) es robusta y profesional. Están blindando el sistema contra inyecciones de datos erróneos.Interacción entre Objetos: La implementación del método suministrar_producto es impecable. El proveedor no altera el stock directamente (lo cual violaría el encapsulamiento), sino que utiliza el método público y seguro aumentar_stock del objeto Producto.Pruebas Unitarias: El bloque de pruebas al final del script demuestra todos los escenarios posibles (caminos de éxito y de error), lo que evidencia una auditoría completa de su propio código.Motivación: Tienen la mentalidad exacta de un Arquitecto de Software. Al garantizar que los datos que ingresan a sus objetos son válidos y seguros, están preparando el terreno ideal para nuestra próxima etapa: la persistencia en Bases de Datos SQL. Si la lógica en Python es así de sólida, su base de datos será 100% confiable. ¡Sigan con este nivel de excelencia!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numérico y datos vacíos.10.010.0Interacción de ObjetosMétodo suministrar_producto funcional, modificando el stock de un objeto Producto de forma segura.10.010.0Documentación y PruebasCódigo comentado línea por línea y bloque de pruebas ejecutado demostrando los errores y aciertos.5.05.0TOTAL50.050.0Diego Mauricio Zuluaga Rodríguez Profesor - Departamento de Economía Universidad de La Sabana"/>
    <n v="50"/>
    <n v="50"/>
    <n v="1"/>
  </r>
  <r>
    <x v="16"/>
    <s v="Maria Juliana"/>
    <s v="Herrera Pulido"/>
    <s v="mariahepu@unisabana.edu.co"/>
    <x v="8"/>
    <d v="2026-03-25T00:00:00"/>
    <x v="2"/>
    <s v="Entregado"/>
    <s v="Retroalimentación: Módulo de Proveedores (POO Avanzada)Integrantes: Maria Juliana Herrera Pulido y Mariana Carmona Romero. ¡Hola, equipo! Espero que se encuentren muy bien. He revisado detalladamente su entrega y quiero felicitarlas por el excelente trabajo técnico que realizaron. Han logrado aplicar de manera muy precisa los conceptos de Programación Orientada a Objetos que buscamos en este segundo corte.En primer lugar, las felicito por la estructura de su código. El uso del encapsulamiento mediante los atributos privados (con el doble guion bajo __) es impecable. Esto demuestra que entienden la importancia de proteger la integridad de los datos dentro de una clase, evitando que agentes externos modifiquen el stock o el NIT de forma indebida.La lógica implementada en el método set_nit es muy acertada. Al incluir la validación .isdigit(), están asegurando que el sistema no colapse si alguien intenta ingresar texto en un campo que debe ser estrictamente numérico. Este es el tipo de &quot;Sanity Check&quot; que separa a un programador básico de un arquitecto de software profesional.Además, la interacción entre la clase Proveedor y la clase Producto a través del método suministrar_producto funciona perfectamente. Es muy valioso ver cómo un objeto puede dar instrucciones a otro para actualizar su estado interno de forma segura. Su pseudocódigo inicial también fue una excelente guía que se reflejó fielmente en el resultado final.Como nota de autogestión, les recuerdo la importancia de la puntualidad en las entregas. En esta ocasión, el trabajo se recibió 19 minutos después del cierre, lo que genera una pequeña penalización según las reglas de nuestro contrato pedagógico. Sin embargo, la calidad técnica de lo que presentaron es de nivel superior. ¡Sigan con ese entusiasmo y rigor para los próximos retos de bases de datos!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10.010.0Interacción de ObjetosMétodo suministrar_producto funcional, modificando el stock de un objeto Producto.10.010.0Documentación y PruebasCódigo claro y bloque de pruebas ejecutado satisfactoriamente.5.05.0PenalizaciónEntrega extemporánea (19 minutos tarde).-5.0-5.0TOTAL FINAL50.045.0Diego Mauricio Zuluaga Rodríguez Profesor - Departamento de Economía Universidad de La Sabana"/>
    <n v="45"/>
    <n v="50"/>
    <n v="0.9"/>
  </r>
  <r>
    <x v="17"/>
    <s v="Simon Gustavo"/>
    <s v="Restrepo Alvarez"/>
    <s v="simonreal@unisabana.edu.co"/>
    <x v="8"/>
    <d v="2026-03-25T00:00:00"/>
    <x v="2"/>
    <s v="Entregado"/>
    <s v="Retroalimentación: Tarea Clase 6 - Módulo de ProveedoresIntegrantes: Simon Gustavo Restrepo Alvarez, Mateo Perez Daza y Diego Alejandro Hermida Limas.¡Hola, equipo! Qué gusto saludarlos. He revisado detalladamente su entrega y quiero empezar felicitándolos por el excelente nivel técnico que demostraron en este ejercicio. Se nota que se tomaron el tiempo de estructurar el código pensando no solo en que funcione, sino en que sea profesional y escalable.Su pseudocódigo es impecable. Es muy gratificante ver una planeación tan detallada que incluya no solo la clase solicitada (Proveedor), sino también la jerarquía de herencia completa con Bebida y Snack. Esta es la base de la autogestión: diseñar los planos antes de poner el primer ladrillo de código.Técnicamente, el uso del encapsulamiento fue muy acertado. Utilizaron correctamente los atributos privados (__) en la clase Proveedor para proteger los datos sensibles de la empresa. Además, la validación que incluyeron en el método set_nit usando .isdigit() es una práctica de &quot;Sanity Check&quot; fundamental para evitar que el sistema colapse con datos basura.Me gustó mucho cómo manejaron la interacción entre objetos. El método suministrar_producto refleja perfectamente cómo un proceso de negocio real (un proveedor entregando mercancía) se traduce a código, modificando el estado de un objeto Producto de forma segura a través de sus propios métodos.Sigan con ese entusiasmo y rigor. Están construyendo una base muy sólida que les facilitará enormemente la vida cuando empecemos a conectar estos objetos con bases de datos SQL reales. ¡Excelente trabajo, muchachos!A continuación, les comparto el desglose de su calificación:Rúbrica de Calificación (Total: 50 puntos)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Calificación Final: 50 / 50Atentamente,Diego Mauricio Zuluaga RodríguezProfesor - Departamento de EconomíaUniversidad de La Sabana"/>
    <n v="50"/>
    <n v="50"/>
    <n v="1"/>
  </r>
  <r>
    <x v="18"/>
    <s v="Daniel Felipe"/>
    <s v="Camacho Pedraza"/>
    <s v="danielcampe@unisabana.edu.co"/>
    <x v="8"/>
    <d v="2026-03-25T00:00:00"/>
    <x v="2"/>
    <s v="Entregado"/>
    <s v="Calificación Tarea Clase 6: Módulo de ProveedoresIntegrantes:Samuel David Simancas ContrerasJuan Sebastian Perdomo HerreraDaniel Felipe Camacho Pedraza¡Hola, equipo! Qué buen trabajo han realizado con este módulo de proveedores. Se nota que han dedicado tiempo a entender cómo proteger la información de la empresa y cómo hacer que diferentes partes del programa interactúen entre sí de forma ordenada.Me alegra mucho ver que implementaron correctamente el concepto de Encapsulamiento. El uso de los dos guiones bajos (__) para los atributos como el NIT y el nombre de la empresa es fundamental para evitar que los datos se modifiquen por error desde fuera de la clase. Esto es lo que diferencia a un programador aficionado de uno profesional que diseña software robusto.La lógica que incluyeron en el set_nit para validar que el dato sea numérico y no esté vacío es un excelente &quot;Sanity Check&quot;. Blindar el sistema contra errores de entrada es una de las mejores prácticas que pueden adoptar, especialmente ahora que nos preparamos para conectar estos datos con bases de datos reales en SQL.Tengo un par de observaciones para que sigan mejorando en su camino como &quot;Arquitectos de Software&quot;: primero, recuerden que el pseudocódigo debía ir en una celda de tipo Markdown para que se vea como texto estructurado y no como código. Segundo, para las próximas entregas, asegúrense de comentar cada línea de código, ya que esa explicación detallada es lo que nos permite evaluar su proceso de pensamiento paso a paso (Autogestión).En el bloque de pruebas, veo que hicieron un excelente ejercicio de integración al intentar usar una clase bebida. Aunque para que el código funcione de forma independiente deben incluir la definición de esa clase en el mismo archivo, la lógica de interacción es totalmente acertada. ¡Sigan así, tienen una base muy sólida para el parcial del corte 2!A continuación, les comparto el desglose de su calificación basado en la rúbrica oficial:Criterio de EvaluaciónRequisito TécnicoPuntaje MáximoPuntaje ObtenidoPlaneación y LógicaPseudocódigo detallado (entregado en celda de código).10.08.0EncapsulamientoCreación de la clase con atributos privados (__).15.015.0Métodos de SeguridadImplementación de get y set con validación correcta.10.010.0Interacción de ObjetosMétodo suministrar_producto funcional y lógico.10.010.0Documentación y FormatoComentarios línea a línea y uso de Markdown.5.03.0TOTAL50.046.0Nota Final: 46/50 (Equivalente a 4.6)¡Felicitaciones por este resultado! Están demostrando un gran compromiso con su aprendizaje. Nos vemos en la próxima clase para llevar este proyecto al siguiente nivel con SQL.Diego Mauricio Zuluaga Rodríguez Profesor - Departamento de Economía Universidad de La Sabana"/>
    <n v="46"/>
    <n v="50"/>
    <n v="0.92"/>
  </r>
  <r>
    <x v="19"/>
    <s v="Mateo"/>
    <s v="Perez Daza"/>
    <s v="mateopeda@unisabana.edu.co"/>
    <x v="8"/>
    <d v="2026-03-25T00:00:00"/>
    <x v="2"/>
    <s v="Entregado"/>
    <s v="Hola Mateo. He revisado en Teams y no se registra tu entrega de la Tarea_x000a_Clase 6: Módulo de Proveedores.   Recuerda que en este curso la autogestión es_x000a_una competencia fundamental. Como analizamos en el cierre del Corte 1, omitir_x000a_estas entregas de bajo peso (checkpoints) puede afectar significativamente tu_x000a_promedio final, independientemente del resultado en el parcial.   Te invito a revisar el material y ponerte al día con los_x000a_conceptos con apoyo de tu grupo de trabajo, ya que esta actividad es la base_x000a_técnica para el Taller del Corte 2 y la integración con Bases de Datos SQL que_x000a_estamos desarrollando.   ¡Ánimo! Todavía estamos a tiempo de asegurar un excelente_x000a_desempeño en este segundo corte.   Atentamente,  Diego Mauricio Zuluaga Rodríguez _x000a_Profesor - Departamento de Economía _x000a_Universidad de La Sabana"/>
    <n v="0"/>
    <n v="50"/>
    <n v="0"/>
  </r>
  <r>
    <x v="20"/>
    <s v="Matias"/>
    <s v="Mondragon Osorio"/>
    <s v="matiasmoos@unisabana.edu.co"/>
    <x v="8"/>
    <d v="2026-03-25T00:00:00"/>
    <x v="2"/>
    <s v="Entregado"/>
    <s v="Retroalimentación de la Entrega: Módulo de Proveedores (POO Avanzada)Grupo: Mariana Peña Rodríguez, Matías Mondragón Osorio, Arianne Mariana Amorocho Quiroga.Calificación Final: 50/50 (Equivalente a 5.0)Comentarios del Profesor: ¡Excelente trabajo, equipo! Han entregado una solución con un nivel de madurez técnica sobresaliente. La arquitectura que diseñaron demuestra que comprenden perfectamente cómo proteger la información y cómo hacer que dos entidades distintas (Proveedor y Producto) se comuniquen de forma segura.Puntos Destacados:Autogestión y Planeación: El pseudocódigo presentado en la celda de Markdown es muy detallado y estructurado. Cumplieron a la perfección la regla de oro: planificar la arquitectura antes de escribir la primera línea de código.Encapsulamiento y Seguridad (Sanity Check): La validación que implementaron en el método set_nit (isinstance(nuevo_nit, str) and nuevo_nit.isdigit() and len(nuevo_nit) &amp;gt; 0) es robusta y profesional. Están blindando el sistema contra inyecciones de datos erróneos.Interacción entre Objetos: La implementación del método suministrar_producto es impecable. El proveedor no altera el stock directamente (lo cual violaría el encapsulamiento), sino que utiliza el método público y seguro aumentar_stock del objeto Producto.Pruebas Unitarias: El bloque de pruebas al final del script demuestra todos los escenarios posibles (caminos de éxito y de error), lo que evidencia una auditoría completa de su propio código.Motivación: Tienen la mentalidad exacta de un Arquitecto de Software. Al garantizar que los datos que ingresan a sus objetos son válidos y seguros, están preparando el terreno ideal para nuestra próxima etapa: la persistencia en Bases de Datos SQL. Si la lógica en Python es así de sólida, su base de datos será 100% confiable. ¡Sigan con este nivel de excelencia!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numérico y datos vacíos.10.010.0Interacción de ObjetosMétodo suministrar_producto funcional, modificando el stock de un objeto Producto de forma segura.10.010.0Documentación y PruebasCódigo comentado línea por línea y bloque de pruebas ejecutado demostrando los errores y aciertos.5.05.0TOTAL50.050.0Diego Mauricio Zuluaga Rodríguez Profesor - Departamento de Economía Universidad de La Sabana"/>
    <n v="50"/>
    <n v="50"/>
    <n v="1"/>
  </r>
  <r>
    <x v="21"/>
    <s v="Juan David"/>
    <s v="Neuta Medina"/>
    <s v="juanneme@unisabana.edu.co"/>
    <x v="8"/>
    <d v="2026-03-25T00:00:00"/>
    <x v="2"/>
    <s v="Entregado"/>
    <s v="Retroalimentación: Tarea Clase 6 - Módulo de ProveedoresIntegrantes: Juan David Neuta Medina, Laura Fernanda Lopez Parra y Jose Daniel Escobar Hurtado. ¡Hola, equipo! Qué gusto saludarlos. He revisado detalladamente su entrega para el sistema de gestión de &quot;Sabana Coffee&quot; y quiero felicitarlos por el nivel de profesionalismo y orden que demostraron en este ejercicio.Se nota que no se limitaron a cumplir con los requisitos básicos, sino que pensaron en el proyecto como un sistema integral y escalable. El uso de herramientas adicionales como datetime para la trazabilidad y el type hinting (indicar si es str o int en los parámetros) le da a su código un estándar de calidad muy alto, propio de desarrolladores que cuidan el detalle.Su planeación en el pseudocódigo es impecable. Lograron estructurar la lógica de herencia antes de pasar al código, lo cual es la base de una buena autogestión. Además, la implementación de la clase Cafeteria como orquestadora de proveedores y productos es un paso adelante muy valioso que les facilitará enormemente el trabajo para el Taller del Corte 2.Un punto que me pareció excelente fue el manejo de errores mediante raise ValueError. En lugar de solo imprimir un mensaje, están obligando al programa a tratar el error de forma técnica, lo cual es una práctica fundamental en la arquitectura de software profesional. El &quot;Sanity Check&quot; del NIT con isdigit() quedó perfecto.Sigan con esa curiosidad técnica. Han construido una base muy sólida que les permitirá integrar bases de datos SQL de manera muy natural en las próximas clases. ¡Excelente trabajo!Rúbrica de Calificación (Sobre 50 puntos)Criterio de EvaluaciónRequisito TécnicoPuntaje MáximoPuntaje ObtenidoPlaneación y LógicaPseudocódigo detallado en Markdown que refleja la arquitectura POO.10.010.0EncapsulamientoUso correcto de atributos privados (__) y protección de datos sensibles.15.015.0Métodos de SeguridadImplementación de get_nit y set_nit con validaciones robustas.10.010.0Interacción de ObjetosMétodo suministrar_producto funcional que modifica el stock de Producto.10.010.0Documentación y EstiloCódigo limpio, documentado y uso de clases adicionales (Cafeteria).5.05.0TOTAL50.050.0Calificación Final: 50 / 50 (5.0) Diego Mauricio Zuluaga Rodríguez Profesor - Departamento de Economía Universidad de La Sabana"/>
    <n v="50"/>
    <n v="50"/>
    <n v="1"/>
  </r>
  <r>
    <x v="22"/>
    <s v="Laura Fernanda"/>
    <s v="Lopez Parra"/>
    <s v="lauraloppa@unisabana.edu.co"/>
    <x v="8"/>
    <d v="2026-03-25T00:00:00"/>
    <x v="2"/>
    <s v="Entregado"/>
    <s v="Retroalimentación: Tarea Clase 6 - Módulo de ProveedoresIntegrantes: Juan David Neuta Medina, Laura Fernanda Lopez Parra y Jose Daniel Escobar Hurtado.¡Hola, equipo! Qué gusto saludarlos. He revisado detalladamente su entrega para el sistema de gestión de &quot;Sabana Coffee&quot; y quiero felicitarlos por el nivel de profesionalismo y orden que demostraron en este ejercicio.Se nota que no se limitaron a cumplir con los requisitos básicos, sino que pensaron en el proyecto como un sistema integral y escalable. El uso de herramientas adicionales como datetime para la trazabilidad y el type hinting (indicar si es str o int en los parámetros) le da a su código un estándar de calidad muy alto, propio de desarrolladores que cuidan el detalle.Su planeación en el pseudocódigo es impecable. Lograron estructurar la lógica de herencia antes de pasar al código, lo cual es la base de una buena autogestión. Además, la implementación de la clase Cafeteria como orquestadora de proveedores y productos es un paso adelante muy valioso que les facilitará enormemente el trabajo para el Taller del Corte 2.Un punto que me pareció excelente fue el manejo de errores mediante raise ValueError. En lugar de solo imprimir un mensaje, están obligando al programa a tratar el error de forma técnica, lo cual es una práctica fundamental en la arquitectura de software profesional. El &quot;Sanity Check&quot; del NIT con isdigit() quedó perfecto.Sigan con esa curiosidad técnica. Han construido una base muy sólida que les permitirá integrar bases de datos SQL de manera muy natural en las próximas clases. ¡Excelente trabajo!Rúbrica de Calificación (Sobre 50 puntos)Criterio de EvaluaciónRequisito TécnicoPuntaje MáximoPuntaje ObtenidoPlaneación y LógicaPseudocódigo detallado en Markdown que refleja la arquitectura POO.10.010.0EncapsulamientoUso correcto de atributos privados (__) y protección de datos sensibles.15.015.0Métodos de SeguridadImplementación de get_nit y set_nit con validaciones robustas.10.010.0Interacción de ObjetosMétodo suministrar_producto funcional que modifica el stock de Producto.10.010.0Documentación y EstiloCódigo limpio, documentado y uso de clases adicionales (Cafeteria).5.05.0TOTAL50.050.0Calificación Final: 50 / 50 (5.0)Diego Mauricio Zuluaga RodríguezProfesor - Departamento de EconomíaUniversidad de La Sabana"/>
    <n v="50"/>
    <n v="50"/>
    <n v="1"/>
  </r>
  <r>
    <x v="23"/>
    <s v="Lukas"/>
    <s v="Blanco Llanes"/>
    <s v="lukasblll@unisabana.edu.co"/>
    <x v="8"/>
    <d v="2026-03-25T00:00:00"/>
    <x v="2"/>
    <s v="Entregado"/>
    <s v="Retroalimentación de la Entrega: Módulo de Proveedores (Arquitectura Cafetería U. Sabana)Grupo: Juan Sebastián Salas Hinojosa, Alan David Rossoff Vanegas y Lukas Blanco Llanes.Calificación Final: 50/50 (Equivalente a 5.0)Comentarios del Profesor:¡Hola, equipo! Qué gusto saludarlos. He revisado a fondo su entrega y quiero felicitarlos porque han realizado un trabajo excepcional. Se nota que no solo se limitaron a cumplir con los requisitos, sino que realmente se detuvieron a entender cómo cada pieza del código construye un sistema profesional y robusto.Lo que más me gustó de su trabajo:Esa planeación previa: Su pseudocódigo es de los mejores que he visto. Es claro, está bien estructurado y sirvió como un mapa perfecto para lo que programaron después. Como siempre decimos: un buen arquitecto no pone un ladrillo sin antes ver los planos.Encapsulamiento real: Me alegra mucho ver que aplicaron el concepto de atributos privados (__) no solo en la clase Proveedor, sino que también refactorizaron la clase Producto. Esto es fundamental para proteger la integridad del negocio; evitaron que alguien &quot;metiera mano&quot; en los precios o el stock sin pasar por las validaciones.Validaciones inteligentes (Sanity Checks): Su método set_nit es impecable. Validar que el campo no esté vacío y que solo contenga dígitos demuestra que están pensando en los errores que un usuario real podría cometer. ¡Ese es el nivel de detalle que buscamos en la EICEA!Interacción entre objetos: Lograron que el Proveedor interactuara con el Producto de forma elegante, respetando la autonomía de cada clase. El uso de super() y el polimorfismo en los impuestos y descuentos muestra que ya dominan la lógica de herencia.Pequeña sugerencia para el futuro: Su código ya es de nivel profesional. Ahora que vamos hacia las bases de datos SQL, piensen en cómo esas validaciones que hicieron en el set_nit les ahorrarán muchísimos dolores de cabeza al momento de limpiar datos para Power BI.Motivación: Juan Sebastián, Alan y Lukas, sigan con ese ritmo. Tienen una capacidad analítica muy alta y su forma de documentar el código (explicando el self, el super y el porqué de cada acción) es una práctica que les servirá muchísimo en su vida laboral. Van por un camino excelente hacia la excelencia técnica.¡Nos vemos en la próxima clase para darle &quot;memoria&quot; a este gran proyecto con SQL!Diego Mauricio Zuluaga Rodríguez Profesor - Departamento de Economía Universidad de La Sabana"/>
    <n v="50"/>
    <n v="50"/>
    <n v="1"/>
  </r>
  <r>
    <x v="24"/>
    <s v="Juan Sebastian"/>
    <s v="Salas Hinojosa"/>
    <s v="juansahi@unisabana.edu.co"/>
    <x v="8"/>
    <d v="2026-03-25T00:00:00"/>
    <x v="2"/>
    <s v="Entregado"/>
    <s v="Retroalimentación de la Entrega: Módulo de Proveedores (Arquitectura Cafetería U. Sabana)Grupo: Juan Sebastián Salas Hinojosa, Alan David Rossoff Vanegas y Lukas Blanco Llanes.Calificación Final: 50/50 (Equivalente a 5.0)Comentarios del Profesor:¡Hola, equipo! Qué gusto saludarlos. He revisado a fondo su entrega y quiero felicitarlos porque han realizado un trabajo excepcional. Se nota que no solo se limitaron a cumplir con los requisitos, sino que realmente se detuvieron a entender cómo cada pieza del código construye un sistema profesional y robusto.Lo que más me gustó de su trabajo:Esa planeación previa: Su pseudocódigo es de los mejores que he visto. Es claro, está bien estructurado y sirvió como un mapa perfecto para lo que programaron después. Como siempre decimos: un buen arquitecto no pone un ladrillo sin antes ver los planos.Encapsulamiento real: Me alegra mucho ver que aplicaron el concepto de atributos privados (__) no solo en la clase Proveedor, sino que también refactorizaron la clase Producto. Esto es fundamental para proteger la integridad del negocio; evitaron que alguien &quot;metiera mano&quot; en los precios o el stock sin pasar por las validaciones.Validaciones inteligentes (Sanity Checks): Su método set_nit es impecable. Validar que el campo no esté vacío y que solo contenga dígitos demuestra que están pensando en los errores que un usuario real podría cometer. ¡Ese es el nivel de detalle que buscamos en la EICEA!Interacción entre objetos: Lograron que el Proveedor interactuara con el Producto de forma elegante, respetando la autonomía de cada clase. El uso de super() y el polimorfismo en los impuestos y descuentos muestra que ya dominan la lógica de herencia.Pequeña sugerencia para el futuro: Su código ya es de nivel profesional. Ahora que vamos hacia las bases de datos SQL, piensen en cómo esas validaciones que hicieron en el set_nit les ahorrarán muchísimos dolores de cabeza al momento de limpiar datos para Power BI.Motivación: Juan Sebastián, Alan y Lukas, sigan con ese ritmo. Tienen una capacidad analítica muy alta y su forma de documentar el código (explicando el self, el super y el porqué de cada acción) es una práctica que les servirá muchísimo en su vida laboral. Van por un camino excelente hacia la excelencia técnica.¡Nos vemos en la próxima clase para darle &quot;memoria&quot; a este gran proyecto con SQL!Diego Mauricio Zuluaga Rodríguez Profesor - Departamento de Economía Universidad de La Sabana"/>
    <n v="50"/>
    <n v="50"/>
    <n v="1"/>
  </r>
  <r>
    <x v="25"/>
    <s v="Avril Avril"/>
    <s v="Ariza Quitian"/>
    <s v="avrilarqu@unisabana.edu.co"/>
    <x v="8"/>
    <d v="2026-03-25T00:00:00"/>
    <x v="2"/>
    <s v="Entregado"/>
    <s v="Retroalimentación de la Entrega: Módulo de Proveedores (POO Avanzada)Grupo: Samantha Vanegas Russi, Avril Ariza Quitian.Calificación Final: 45/50 (Equivalente a 4.5)Comentarios del Profesor:Buen trabajo, equipo. Han demostrado un avance significativo en la estructuración de clases y en la aplicación de los pilares de la POO. Es notable el esfuerzo por integrar no solo el módulo de proveedores, sino también los conceptos de herencia (Bebida/Snack) y el carrito de compras en un solo archivo.Puntos Destacados (Lo excelente):Encapsulamiento: El uso de atributos privados (__) en la clase Proveedor es correcto y protege la integridad de los datos de la empresa.Validación de Datos: El método set_nit incluye un &quot;Sanity Check&quot; adecuado al verificar que la entrada sea numérica y no esté vacía.Lógica de Diseño: El pseudocódigo inicial es claro y sirvió como una hoja de ruta efectiva para la programación.Oportunidades de Mejora (Sanity Check y Autogestión): Al ejecutar su Notebook de principio a fin, se detectaron dos errores críticos que afectaron la nota final:Error de Redefinición (AttributeError): En la Celda 24 redefinieron la clase producto, pero olvidaron incluir el método aumentar_stock que sí estaba en la Celda 20. Al llegar a la prueba de la Celda 25, el programa colapsó porque el objeto ya no encontraba esa &quot;acción&quot;.Lección: En un proyecto real, si borras una función en una actualización, rompes el sistema (Breaking Change).Error de Sintaxis (NameError): En la Celda 26 intentaron instanciar CarritoDecompras() (con 'd' minúscula), pero la clase fue definida como CarritoDeCompras (con 'D' mayúscula). Python es estrictamente sensible a mayúsculas y minúsculas.Autogestión: Antes de entregar, siempre deben reiniciar el kernel y ejecutar todas las celdas. Esto les habría permitido detectar estos errores de &quot;dedo&quot; y corregirlos a tiempo.Motivación: Tienen una capacidad técnica muy alta y se nota que entienden la lógica detrás de la interacción entre objetos. No permitan que pequeños detalles de escritura o falta de una revisión final empañen un trabajo tan bien estructurado. ¡Sigan con esa proactividad para el Taller del Corte 2!Rúbrica de CalificaciónCriterio de EvaluaciónRequisito TécnicoPuntaje MáximoPuntaje ObtenidoPlaneación y LógicaPseudocódigo detallado y coherente en Markdown.10.010.0EncapsulamientoAtributos privados (__) en la clase Proveedor.15.015.0Métodos de SeguridadImplementación de set_nit con validación funcional.10.010.0Interacción de ObjetosLógica de suministrar_producto. (Se penaliza caída en ejecución).10.07.0Documentación y PruebasComentarios claros. (Se penaliza por errores AttributeError y NameError).5.03.0TOTAL50.045.0Diego Mauricio Zuluaga Rodríguez Profesor - Departamento de Economía Universidad de La Sabana"/>
    <n v="45"/>
    <n v="50"/>
    <n v="0.9"/>
  </r>
  <r>
    <x v="26"/>
    <s v="Samuel David"/>
    <s v="Simancas Contreras"/>
    <s v="samuelsico@unisabana.edu.co"/>
    <x v="8"/>
    <d v="2026-03-25T00:00:00"/>
    <x v="2"/>
    <s v="Entregado"/>
    <s v="Hola Samuel.   He revisado en Teams y no se registra tu entrega de la Tarea_x000a_Clase 6: Módulo de Proveedores.   Recuerda que en este curso la autogestión es_x000a_una competencia fundamental. Como analizamos en el cierre del Corte 1, omitir_x000a_estas entregas de bajo peso (checkpoints) puede afectar significativamente tu_x000a_promedio final, independientemente del resultado en el parcial.   Te invito a revisar el material y ponerte al día con los_x000a_conceptos con apoyo de tu grupo de trabajo, ya que esta actividad es la base_x000a_técnica para el Taller del Corte 2 y la integración con Bases de Datos SQL que_x000a_estamos desarrollando.   ¡Ánimo! Todavía estamos a tiempo de asegurar un excelente_x000a_desempeño en este segundo corte.   Atentamente,  Diego Mauricio Zuluaga Rodríguez _x000a_Profesor - Departamento de Economía _x000a_Universidad de La Sabana"/>
    <n v="0"/>
    <n v="50"/>
    <n v="0"/>
  </r>
  <r>
    <x v="27"/>
    <s v="Maria Jose"/>
    <s v="Huertas Osorio"/>
    <s v="mariahueos@unisabana.edu.co"/>
    <x v="8"/>
    <d v="2026-03-25T00:00:00"/>
    <x v="2"/>
    <s v="Entregado"/>
    <s v="¡Hola, equipo! Qué buen trabajo han presentado Gabriela, Maria Jose y Alessandro.Me da mucho gusto ver cómo han integrado no solo lo solicitado en la tarea, sino que se adelantaron y aplicaron conceptos de herencia y polimorfismo que vimos en el Live Coding. Se nota que hay un compromiso real con el proyecto de la cafetería y que están entendiendo cómo estas piezas encajan en una arquitectura de software más grande.Puntos que quiero destacar de su entrega:Primero, la estructura de clases es impecable. El hecho de que hayan creado la clase padre &quot;Producto&quot; y las clases hijas &quot;Bebida&quot; y &quot;Snack&quot; demuestra que el principio DRY (No te repitas) quedó clarísimo. Además, el uso de super().__init__ está perfectamente implementado.Segundo, el encapsulamiento en la clase &quot;Proveedor&quot; es muy robusto. Utilizaron correctamente los atributos privados con el doble guion bajo (__) y el método set_nit tiene las validaciones exactas que buscábamos: que no sea un campo vacío y que sea estrictamente numérico. Esto es &quot;Sanity Check&quot; puro para proteger la integridad de los datos.Tercero, la interacción entre objetos en el método suministrar_producto funciona de maravilla. Es genial ver cómo el objeto proveedor &quot;dialoga&quot; con el objeto producto para actualizar el stock de forma segura a través de los métodos que ustedes mismos definieron.Como pequeña observación de mejora para el futuro: su pseudocódigo es más un resumen descriptivo que un paso a paso lógico. Para el taller del Corte 2, intenten que sea un poco más esquemático (paso 1, paso 2, etc.), ya que eso les ayudará a mapear mejor la lógica antes de tirar la primera línea de código. Sin embargo, la ejecución técnica compensa esto totalmente.¡Felicitaciones! Van por un excelente camino para lo que se viene con Bases de Datos SQL. Sigan con esa curiosidad y ese nivel de detalle.Rúbrica de Calificación (Total: 50/50)Criterio de EvaluaciónRequisito TécnicoPuntaje MáximoPuntaje ObtenidoPlaneación y LógicaPseudocódigo descriptivo que refleja la lógica del sistema.10.010.0EncapsulamientoClase Proveedor con atributos privados y uso correcto de self.15.015.0Métodos de SeguridadImplementación de get_nit y set_nit con validaciones de formato.10.010.0Interacción de ObjetosEl proveedor modifica el stock del producto exitosamente.10.010.0Documentación y PruebasCódigo bien comentado y batería de pruebas completa.5.05.0Puntaje FinalDiego Mauricio Zuluaga RodríguezProfesor - Departamento de EconomíaUniversidad de La Sabana"/>
    <n v="50"/>
    <n v="50"/>
    <n v="1"/>
  </r>
  <r>
    <x v="28"/>
    <s v="Juan Camilo"/>
    <s v="Leyton Lancheros"/>
    <s v="juanleyla@unisabana.edu.co"/>
    <x v="8"/>
    <d v="2026-03-25T00:00:00"/>
    <x v="2"/>
    <s v="Entregado"/>
    <s v="Retroalimentación: Módulo de Proveedores (POO Avanzada)Integrantes: Nicolas Torres Calderon, Juan Camilo Leyton Lancheros y Cristian Bermudez. Calificación Final: 50/50 (Equivalente a 5.0) ¡Hola, equipo! Qué buen trabajo han presentado. Se nota una evolución clara en su forma de estructurar el código y, sobre todo, en la aplicación de los conceptos de Programación Orientada a Objetos. Han logrado construir un sistema que no solo funciona, sino que es seguro y profesional.Me gustaría destacar especialmente la robustez de su método set_nit. El uso de isinstance(nit, str) and nit.isdigit() es una práctica de nivel avanzado que demuestra que están pensando en la integridad de los datos. En el mundo de los negocios, validar que la información sea correcta antes de guardarla es lo que evita desastres financieros o legales.También es muy valioso que en el método suministrar_producto hayan incluido la verificación isinstance(producto, Producto). Esto asegura que el proveedor solo intente entregar mercancía a objetos que realmente sean productos de la cafetería, evitando errores de lógica en el sistema. Es un gran ejemplo de &quot;programación defensiva&quot;.Su pseudocódigo, aunque quedó ubicado al final del archivo, cumple con el objetivo de mostrar la planeación lógica del ejercicio. Recuerden que para el Taller del Corte 2, estos &quot;planos&quot; (Diagramas de Clases y ERD) serán la pieza fundamental para que su base de datos SQLite funcione correctamente sin redundancias.Sigan con esa disciplina y atención al detalle. Tienen una base técnica muy sólida para enfrentar lo que viene: la persistencia de datos en SQL. ¡Felicitaciones por este excelente resultado!Rúbrica de CalificaciónCriterio de EvaluaciónRequisito TécnicoPuntaje MáximoPuntaje ObtenidoPlaneación y LógicaPseudocódigo detallado en Markdown que refleja la lógica del sistema.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y bloque de pruebas ejecutado con éxito.5.05.0TOTAL50.050.0Diego Mauricio Zuluaga Rodríguez Profesor - Departamento de Economía Universidad de La Sabana"/>
    <n v="50"/>
    <n v="50"/>
    <n v="1"/>
  </r>
  <r>
    <x v="29"/>
    <s v="Samuel Mathias"/>
    <s v="Gonzalez Bernal"/>
    <s v="samuelgonbe@unisabana.edu.co"/>
    <x v="8"/>
    <d v="2026-03-25T00:00:00"/>
    <x v="2"/>
    <s v="Entregado"/>
    <s v="Hola Samuel.   He revisado en Teams y no se registra tu entrega de la Tarea_x000a_Clase 6: Módulo de Proveedores.   Recuerda que en este curso la autogestión es_x000a_una competencia fundamental. Como analizamos en el cierre del Corte 1, omitir_x000a_estas entregas de bajo peso (checkpoints) puede afectar significativamente tu_x000a_promedio final, independientemente del resultado en el parcial.   Te invito a revisar el material y ponerte al día con los_x000a_conceptos con apoyo de tu grupo de trabajo, ya que esta actividad es la base_x000a_técnica para el Taller del Corte 2 y la integración con Bases de Datos SQL que_x000a_estamos desarrollando.   ¡Ánimo! Todavía estamos a tiempo de asegurar un excelente_x000a_desempeño en este segundo corte.   Atentamente,  Diego Mauricio Zuluaga Rodríguez _x000a_Profesor - Departamento de Economía _x000a_Universidad de La Sabana"/>
    <n v="0"/>
    <n v="50"/>
    <n v="0"/>
  </r>
  <r>
    <x v="30"/>
    <s v="Valeria"/>
    <s v="Morales"/>
    <s v="valeriamor@unisabana.edu.co"/>
    <x v="8"/>
    <d v="2026-03-25T00:00:00"/>
    <x v="2"/>
    <s v="Entregado"/>
    <s v="Retroalimentación de la Entrega: Módulo de Proveedores (POO Avanzada)Grupo 11: Valeria Morales, Isabella Carranza Tapiero, Paula Andrea Arciniegas Cárdenas.Calificación Final: 50/50 (Equivalente a 5.0)Comentarios del Profesor: ¡Excelente trabajo, equipo! Han logrado implementar una arquitectura orientada a objetos muy limpia y profesional. Este ejercicio demuestra que han comprendido a la perfección el concepto de Encapsulamiento y cómo los objetos interactúan entre sí en un ecosistema de software.Puntos Destacados:Autogestión y Planeación: El pseudocódigo entregado en la celda de Markdown es claro, estructurado y refleja exactamente la lógica que luego programaron en Python. Cumplieron la regla de oro: pensar antes de codificar.Encapsulamiento Avanzado: La protección de los atributos con doble guion bajo (__nit, __nombre_empresa, etc.) fue implementada correctamente.Validación Robusta (Sanity Check): La lógica que utilizaron en el método set_nit (isinstance(nuevo_nit, str) and nuevo_nit.isdigit() and nuevo_nit != &quot;&quot;) es de nivel avanzado. Están blindando el sistema contra errores humanos, lo cual es vital antes de conectar esto a una base de datos.Interacción entre Objetos: Recrear la clase Producto para poder probar el método suministrar_producto fue una excelente iniciativa. Demuestra que entienden cómo un objeto (Proveedor) puede modificar el estado interno de otro objeto (Producto) a través de sus métodos públicos (aumentar_stock).Motivación: Tienen una base técnica sumamente sólida. Al proteger los datos desde la clase en Python, están garantizando que cuando conectemos este sistema a nuestra Base de Datos SQL (SQLite) en las próximas clases, la información que llegue a las tablas sea 100% íntegra y confiable. ¡Sigan con este nivel de excelencia y rigor técnic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Diego Mauricio Zuluaga Rodríguez Profesor - Departamento de Economía Universidad de La Sabana"/>
    <n v="50"/>
    <n v="50"/>
    <n v="1"/>
  </r>
  <r>
    <x v="31"/>
    <s v="Samantha"/>
    <s v="Vanegas Russi"/>
    <s v="samanthavaru@unisabana.edu.co"/>
    <x v="8"/>
    <d v="2026-03-25T00:00:00"/>
    <x v="2"/>
    <s v="Entregado"/>
    <s v="Retroalimentación de la Entrega: Módulo de Proveedores (POO Avanzada)Grupo: Samantha Vanegas Russi, Avril Ariza Quitian.Calificación Final: 45/50 (Equivalente a 4.5)Comentarios del Profesor:Buen trabajo, equipo. Han demostrado un avance significativo en la estructuración de clases y en la aplicación de los pilares de la POO. Es notable el esfuerzo por integrar no solo el módulo de proveedores, sino también los conceptos de herencia (Bebida/Snack) y el carrito de compras en un solo archivo.Puntos Destacados (Lo excelente):Encapsulamiento: El uso de atributos privados (__) en la clase Proveedor es correcto y protege la integridad de los datos de la empresa.Validación de Datos: El método set_nit incluye un &quot;Sanity Check&quot; adecuado al verificar que la entrada sea numérica y no esté vacía.Lógica de Diseño: El pseudocódigo inicial es claro y sirvió como una hoja de ruta efectiva para la programación.Oportunidades de Mejora (Sanity Check y Autogestión): Al ejecutar su Notebook de principio a fin, se detectaron dos errores críticos que afectaron la nota final:Error de Redefinición (AttributeError): En la Celda 24 redefinieron la clase producto, pero olvidaron incluir el método aumentar_stock que sí estaba en la Celda 20. Al llegar a la prueba de la Celda 25, el programa colapsó porque el objeto ya no encontraba esa &quot;acción&quot;.Lección: En un proyecto real, si borras una función en una actualización, rompes el sistema (Breaking Change).Error de Sintaxis (NameError): En la Celda 26 intentaron instanciar CarritoDecompras() (con 'd' minúscula), pero la clase fue definida como CarritoDeCompras (con 'D' mayúscula). Python es estrictamente sensible a mayúsculas y minúsculas.Autogestión: Antes de entregar, siempre deben reiniciar el kernel y ejecutar todas las celdas. Esto les habría permitido detectar estos errores de &quot;dedo&quot; y corregirlos a tiempo.Motivación: Tienen una capacidad técnica muy alta y se nota que entienden la lógica detrás de la interacción entre objetos. No permitan que pequeños detalles de escritura o falta de una revisión final empañen un trabajo tan bien estructurado. ¡Sigan con esa proactividad para el Taller del Corte 2!Rúbrica de CalificaciónCriterio de EvaluaciónRequisito TécnicoPuntaje MáximoPuntaje ObtenidoPlaneación y LógicaPseudocódigo detallado y coherente en Markdown.10.010.0EncapsulamientoAtributos privados (__) en la clase Proveedor.15.015.0Métodos de SeguridadImplementación de set_nit con validación funcional.10.010.0Interacción de ObjetosLógica de suministrar_producto. (Se penaliza caída en ejecución).10.07.0Documentación y PruebasComentarios claros. (Se penaliza por errores AttributeError y NameError).5.03.0TOTAL50.045.0Diego Mauricio Zuluaga Rodríguez Profesor - Departamento de Economía Universidad de La Sabana"/>
    <n v="45"/>
    <n v="50"/>
    <n v="0.9"/>
  </r>
  <r>
    <x v="32"/>
    <s v="Juan Jose"/>
    <s v="Caballero Mantilla"/>
    <s v="juancabma@unisabana.edu.co"/>
    <x v="8"/>
    <d v="2026-03-25T00:00:00"/>
    <x v="2"/>
    <s v="Entregado"/>
    <s v="¡Hola, Daniel, Martin y Juan! Qué buen trabajo han presentado.Es un gusto ver cómo han logrado integrar los conceptos de la Programación Orientada a Objetos con tanta claridad. Se nota que hubo una coordinación real en el grupo para cumplir con cada uno de los requisitos de la actividad, manteniendo un orden impecable en el archivo.En cuanto a la Autogestión, los felicito por el pseudocódigo inicial. Es un hábito de &quot;Arquitecto de Software&quot; que les ahorrará muchísimas horas de corrección en el futuro. El hecho de que su lógica en lenguaje humano coincida exactamente con lo que programaron en Python demuestra un pensamiento estructurado y analítico, muy valioso para su formación en la EICEA.Técnicamente, el Encapsulamiento es perfecto. Utilizaron correctamente el doble guion bajo para proteger los atributos y, lo más importante, entendieron que la comunicación entre objetos debe ser &quot;educada&quot;: el Proveedor no entra a la fuerza a cambiar los datos del Producto, sino que le pide permiso a través de los métodos get_stock y set_stock. Esa es la base de un sistema robusto y profesional.También quiero destacar la validación en el método set_nit. El uso de .isdigit() para blindar el sistema contra errores de digitación es un &quot;Sanity Check&quot; excelente. Esas pequeñas validaciones son las que marcan la diferencia entre un programa que funciona y un software que está listo para el mundo real y para conectarse a una base de datos SQL sin fallar.Sigan con ese nivel de detalle y compromiso. Están construyendo una base lógica muy fuerte que les servirá no solo para este curso, sino para liderar proyectos tecnológicos en sus carreras. ¡Muy bien hech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10.010.0Interacción de ObjetosMétodo suministrar_producto funcional, interactuando correctamente con la clase Producto.10.010.0Documentación y PruebasCódigo comentado y bloque de pruebas con casos de éxito y error.5.05.0TOTAL FINAL50.050.0Calificación: 50 / 50Diego Mauricio Zuluaga Rodríguez Profesor - Departamento de Economía Universidad de La Sabana"/>
    <n v="50"/>
    <n v="50"/>
    <n v="1"/>
  </r>
  <r>
    <x v="33"/>
    <s v="Daniel Camilo"/>
    <s v="Lopez Piraquive"/>
    <s v="danielloppi@unisabana.edu.co"/>
    <x v="8"/>
    <d v="2026-03-25T00:00:00"/>
    <x v="2"/>
    <s v="Entregado"/>
    <s v="¡Hola, Daniel, Martin y Juan! Qué buen trabajo han presentado. Es un gusto ver cómo han logrado integrar los conceptos de la Programación Orientada a Objetos con tanta claridad. Se nota que hubo una coordinación real en el grupo para cumplir con cada uno de los requisitos de la actividad, manteniendo un orden impecable en el archivo.En cuanto a la Autogestión, los felicito por el pseudocódigo inicial. Es un hábito de &quot;Arquitecto de Software&quot; que les ahorrará muchísimas horas de corrección en el futuro. El hecho de que su lógica en lenguaje humano coincida exactamente con lo que programaron en Python demuestra un pensamiento estructurado y analítico, muy valioso para su formación en la EICEA.Técnicamente, el Encapsulamiento es perfecto. Utilizaron correctamente el doble guion bajo para proteger los atributos y, lo más importante, entendieron que la comunicación entre objetos debe ser &quot;educada&quot;: el Proveedor no entra a la fuerza a cambiar los datos del Producto, sino que le pide permiso a través de los métodos get_stock y set_stock. Esa es la base de un sistema robusto y profesional.También quiero destacar la validación en el método set_nit. El uso de .isdigit() para blindar el sistema contra errores de digitación es un &quot;Sanity Check&quot; excelente. Esas pequeñas validaciones son las que marcan la diferencia entre un programa que funciona y un software que está listo para el mundo real y para conectarse a una base de datos SQL sin fallar.Sigan con ese nivel de detalle y compromiso. Están construyendo una base lógica muy fuerte que les servirá no solo para este curso, sino para liderar proyectos tecnológicos en sus carreras. ¡Muy bien hech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10.010.0Interacción de ObjetosMétodo suministrar_producto funcional, interactuando correctamente con la clase Producto.10.010.0Documentación y PruebasCódigo comentado y bloque de pruebas con casos de éxito y error.5.05.0TOTAL FINAL50.050.0Calificación: 50 / 50Diego Mauricio Zuluaga Rodríguez Profesor - Departamento de Economía Universidad de La Sabana"/>
    <n v="50"/>
    <n v="50"/>
    <n v="1"/>
  </r>
  <r>
    <x v="34"/>
    <s v="Gabriela"/>
    <s v="Ruiz Perez"/>
    <s v="gabrielarupe@unisabana.edu.co"/>
    <x v="8"/>
    <d v="2026-03-25T00:00:00"/>
    <x v="2"/>
    <s v="Entregado"/>
    <s v="¡Hola, equipo! Qué buen trabajo han presentado Gabriela, Maria Jose y Alessandro.Me da mucho gusto ver cómo han integrado no solo lo solicitado en la tarea, sino que se adelantaron y aplicaron conceptos de herencia y polimorfismo que vimos en el Live Coding. Se nota que hay un compromiso real con el proyecto de la cafetería y que están entendiendo cómo estas piezas encajan en una arquitectura de software más grande.Puntos que quiero destacar de su entrega:Primero, la estructura de clases es impecable. El hecho de que hayan creado la clase padre &quot;Producto&quot; y las clases hijas &quot;Bebida&quot; y &quot;Snack&quot; demuestra que el principio DRY (No te repitas) quedó clarísimo. Además, el uso de super().__init__ está perfectamente implementado.Segundo, el encapsulamiento en la clase &quot;Proveedor&quot; es muy robusto. Utilizaron correctamente los atributos privados con el doble guion bajo (__) y el método set_nit tiene las validaciones exactas que buscábamos: que no sea un campo vacío y que sea estrictamente numérico. Esto es &quot;Sanity Check&quot; puro para proteger la integridad de los datos.Tercero, la interacción entre objetos en el método suministrar_producto funciona de maravilla. Es genial ver cómo el objeto proveedor &quot;dialoga&quot; con el objeto producto para actualizar el stock de forma segura a través de los métodos que ustedes mismos definieron.Como pequeña observación de mejora para el futuro: su pseudocódigo es más un resumen descriptivo que un paso a paso lógico. Para el taller del Corte 2, intenten que sea un poco más esquemático (paso 1, paso 2, etc.), ya que eso les ayudará a mapear mejor la lógica antes de tirar la primera línea de código. Sin embargo, la ejecución técnica compensa esto totalmente.¡Felicitaciones! Van por un excelente camino para lo que se viene con Bases de Datos SQL. Sigan con esa curiosidad y ese nivel de detalle.Rúbrica de Calificación (Total: 50/50)Criterio de EvaluaciónRequisito TécnicoPuntaje MáximoPuntaje ObtenidoPlaneación y LógicaPseudocódigo descriptivo que refleja la lógica del sistema.10.010.0EncapsulamientoClase Proveedor con atributos privados y uso correcto de self.15.015.0Métodos de SeguridadImplementación de get_nit y set_nit con validaciones de formato.10.010.0Interacción de ObjetosEl proveedor modifica el stock del producto exitosamente.10.010.0Documentación y PruebasCódigo bien comentado y batería de pruebas completa.5.05.0Puntaje FinalDiego Mauricio Zuluaga RodríguezProfesor - Departamento de EconomíaUniversidad de La Sabana"/>
    <n v="50"/>
    <n v="50"/>
    <n v="1"/>
  </r>
  <r>
    <x v="35"/>
    <s v="Juan Sebastian"/>
    <s v="Perdomo Herrera"/>
    <s v="juanperhe@unisabana.edu.co"/>
    <x v="8"/>
    <d v="2026-03-25T00:00:00"/>
    <x v="2"/>
    <s v="Entregado"/>
    <s v="Hola Juan Sebastián.   He revisado en Teams y no se registra tu entrega de la Tarea_x000a_Clase 6: Módulo de Proveedores.   Recuerda que en este curso la autogestión es_x000a_una competencia fundamental. Como analizamos en el cierre del Corte 1, omitir_x000a_estas entregas de bajo peso (checkpoints) puede afectar significativamente tu_x000a_promedio final, independientemente del resultado en el parcial.   Te invito a revisar el material y ponerte al día con los_x000a_conceptos con apoyo de tu grupo de trabajo, ya que esta actividad es la base_x000a_técnica para el Taller del Corte 2 y la integración con Bases de Datos SQL que_x000a_estamos desarrollando.   ¡Ánimo! Todavía estamos a tiempo de asegurar un excelente_x000a_desempeño en este segundo corte.   Atentamente,  Diego Mauricio Zuluaga Rodríguez _x000a_Profesor - Departamento de Economía _x000a_Universidad de La Sabana"/>
    <n v="0"/>
    <n v="50"/>
    <n v="0"/>
  </r>
  <r>
    <x v="36"/>
    <s v="Martin Martin"/>
    <s v="Trujillo Rodriguez"/>
    <s v="martintrro@unisabana.edu.co"/>
    <x v="8"/>
    <d v="2026-03-25T00:00:00"/>
    <x v="2"/>
    <s v="Entregado"/>
    <s v="¡Hola, Daniel, Martin y Juan! Qué buen trabajo han presentado.Es un gusto ver cómo han logrado integrar los conceptos de la Programación Orientada a Objetos con tanta claridad. Se nota que hubo una coordinación real en el grupo para cumplir con cada uno de los requisitos de la actividad, manteniendo un orden impecable en el archivo.En cuanto a la Autogestión, los felicito por el pseudocódigo inicial. Es un hábito de &quot;Arquitecto de Software&quot; que les ahorrará muchísimas horas de corrección en el futuro. El hecho de que su lógica en lenguaje humano coincida exactamente con lo que programaron en Python demuestra un pensamiento estructurado y analítico, muy valioso para su formación en la EICEA.Técnicamente, el Encapsulamiento es perfecto. Utilizaron correctamente el doble guion bajo para proteger los atributos y, lo más importante, entendieron que la comunicación entre objetos debe ser &quot;educada&quot;: el Proveedor no entra a la fuerza a cambiar los datos del Producto, sino que le pide permiso a través de los métodos get_stock y set_stock. Esa es la base de un sistema robusto y profesional.También quiero destacar la validación en el método set_nit. El uso de .isdigit() para blindar el sistema contra errores de digitación es un &quot;Sanity Check&quot; excelente. Esas pequeñas validaciones son las que marcan la diferencia entre un programa que funciona y un software que está listo para el mundo real y para conectarse a una base de datos SQL sin fallar.Sigan con ese nivel de detalle y compromiso. Están construyendo una base lógica muy fuerte que les servirá no solo para este curso, sino para liderar proyectos tecnológicos en sus carreras. ¡Muy bien hecho!Rúbrica de Calificación: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10.010.0Interacción de ObjetosMétodo suministrar_producto funcional, interactuando correctamente con la clase Producto.10.010.0Documentación y PruebasCódigo comentado y bloque de pruebas con casos de éxito y error.5.05.0TOTAL FINAL50.050.0Calificación: 50 / 50Diego Mauricio Zuluaga Rodríguez Profesor - Departamento de Economía Universidad de La Sabana"/>
    <n v="50"/>
    <n v="50"/>
    <n v="1"/>
  </r>
  <r>
    <x v="37"/>
    <s v="Alan David"/>
    <s v="Rossoff Vanegas"/>
    <s v="alanrova@unisabana.edu.co"/>
    <x v="8"/>
    <d v="2026-03-25T00:00:00"/>
    <x v="2"/>
    <s v="Entregado"/>
    <s v="Retroalimentación de la Entrega: Módulo de Proveedores (Arquitectura Cafetería U. Sabana)Grupo: Juan Sebastián Salas Hinojosa, Alan David Rossoff Vanegas y Lukas Blanco Llanes.Calificación Final: 50/50 (Equivalente a 5.0)Comentarios del Profesor:¡Hola, equipo! Qué gusto saludarlos. He revisado a fondo su entrega y quiero felicitarlos porque han realizado un trabajo excepcional. Se nota que no solo se limitaron a cumplir con los requisitos, sino que realmente se detuvieron a entender cómo cada pieza del código construye un sistema profesional y robusto.Lo que más me gustó de su trabajo:Esa planeación previa: Su pseudocódigo es de los mejores que he visto. Es claro, está bien estructurado y sirvió como un mapa perfecto para lo que programaron después. Como siempre decimos: un buen arquitecto no pone un ladrillo sin antes ver los planos.Encapsulamiento real: Me alegra mucho ver que aplicaron el concepto de atributos privados (__) no solo en la clase Proveedor, sino que también refactorizaron la clase Producto. Esto es fundamental para proteger la integridad del negocio; evitaron que alguien &quot;metiera mano&quot; en los precios o el stock sin pasar por las validaciones.Validaciones inteligentes (Sanity Checks): Su método set_nit es impecable. Validar que el campo no esté vacío y que solo contenga dígitos demuestra que están pensando en los errores que un usuario real podría cometer. ¡Ese es el nivel de detalle que buscamos en la EICEA!Interacción entre objetos: Lograron que el Proveedor interactuara con el Producto de forma elegante, respetando la autonomía de cada clase. El uso de super() y el polimorfismo en los impuestos y descuentos muestra que ya dominan la lógica de herencia.Pequeña sugerencia para el futuro: Su código ya es de nivel profesional. Ahora que vamos hacia las bases de datos SQL, piensen en cómo esas validaciones que hicieron en el set_nit les ahorrarán muchísimos dolores de cabeza al momento de limpiar datos para Power BI.Motivación: Juan Sebastián, Alan y Lukas, sigan con ese ritmo. Tienen una capacidad analítica muy alta y su forma de documentar el código (explicando el self, el super y el porqué de cada acción) es una práctica que les servirá muchísimo en su vida laboral. Van por un camino excelente hacia la excelencia técnica.¡Nos vemos en la próxima clase para darle &quot;memoria&quot; a este gran proyecto con SQL!Diego Mauricio Zuluaga Rodríguez Profesor - Departamento de Economía Universidad de La Sabana"/>
    <n v="50"/>
    <n v="50"/>
    <n v="1"/>
  </r>
  <r>
    <x v="38"/>
    <s v="Diego Alejandro"/>
    <s v="Hermida Limas"/>
    <s v="diegoherli@unisabana.edu.co"/>
    <x v="8"/>
    <d v="2026-03-25T00:00:00"/>
    <x v="2"/>
    <s v="Entregado"/>
    <s v="Retroalimentación: Tarea Clase 6 - Módulo de Proveedores Integrantes: Simon Gustavo Restrepo Alvarez, Mateo Perez Daza y Diego Alejandro Hermida Limas. ¡Hola, equipo! Qué gusto saludarlos. He revisado detalladamente su entrega y quiero empezar felicitándolos por el excelente nivel técnico que demostraron en este ejercicio. Se nota que se tomaron el tiempo de estructurar el código pensando no solo en que funcione, sino en que sea profesional y escalable.Su pseudocódigo es impecable. Es muy gratificante ver una planeación tan detallada que incluya no solo la clase solicitada (Proveedor), sino también la jerarquía de herencia completa con Bebida y Snack. Esta es la base de la autogestión: diseñar los planos antes de poner el primer ladrillo de código.Técnicamente, el uso del encapsulamiento fue muy acertado. Utilizaron correctamente los atributos privados (__) en la clase Proveedor para proteger los datos sensibles de la empresa. Además, la validación que incluyeron en el método set_nit usando .isdigit() es una práctica de &quot;Sanity Check&quot; fundamental para evitar que el sistema colapse con datos basura.Me gustó mucho cómo manejaron la interacción entre objetos. El método suministrar_producto refleja perfectamente cómo un proceso de negocio real (un proveedor entregando mercancía) se traduce a código, modificando el estado de un objeto Producto de forma segura a través de sus propios métodos.Sigan con ese entusiasmo y rigor. Están construyendo una base muy sólida que les facilitará enormemente la vida cuando empecemos a conectar estos objetos con bases de datos SQL reales. ¡Excelente trabajo, muchachos!A continuación, les comparto el desglose de su calificación: Rúbrica de Calificación (Total: 50 puntos)Criterio de EvaluaciónRequisito TécnicoPuntaje MáximoPuntaje ObtenidoPlaneación y LógicaPseudocódigo detallado en Markdown antes del código fuente.10.010.0EncapsulamientoCreación de la clase Proveedor con atributos privados (__).15.015.0Métodos de SeguridadImplementación de get_nit y set_nit con validación de formato y datos vacíos.10.010.0Interacción de ObjetosMétodo suministrar_producto funcional, modificando el stock de un objeto Producto.10.010.0Documentación y PruebasCódigo comentado línea por línea y bloque de pruebas ejecutado sin errores.5.05.0TOTAL50.050.0Calificación Final: 50 / 50  Atentamente, Diego Mauricio Zuluaga RodríguezProfesor - Departamento de Economía Universidad de La Sabana"/>
    <n v="50"/>
    <n v="50"/>
    <n v="1"/>
  </r>
  <r>
    <x v="0"/>
    <s v="Paula Andrea"/>
    <s v="Arciniegas Cardenas"/>
    <s v="paulaarcca@unisabana.edu.co"/>
    <x v="4"/>
    <d v="2026-03-18T00:00:00"/>
    <x v="1"/>
    <s v="Entregado"/>
    <m/>
    <n v="50"/>
    <n v="50"/>
    <n v="1"/>
  </r>
  <r>
    <x v="1"/>
    <s v="Sofia"/>
    <s v="Giraldo Pico"/>
    <s v="sofiagipi@unisabana.edu.co"/>
    <x v="4"/>
    <d v="2026-03-18T00:00:00"/>
    <x v="1"/>
    <s v="Entregado"/>
    <m/>
    <n v="0"/>
    <n v="50"/>
    <n v="0"/>
  </r>
  <r>
    <x v="2"/>
    <s v="Valery"/>
    <s v="Linares Hernandez"/>
    <s v="valerylihe@unisabana.edu.co"/>
    <x v="4"/>
    <d v="2026-03-18T00:00:00"/>
    <x v="1"/>
    <s v="Entregado"/>
    <m/>
    <n v="0"/>
    <n v="50"/>
    <n v="0"/>
  </r>
  <r>
    <x v="3"/>
    <s v="Nicolas"/>
    <s v="Torres Calderon"/>
    <s v="nicolastorca@unisabana.edu.co"/>
    <x v="4"/>
    <d v="2026-03-18T00:00:00"/>
    <x v="1"/>
    <s v="Entregado"/>
    <m/>
    <n v="50"/>
    <n v="50"/>
    <n v="1"/>
  </r>
  <r>
    <x v="4"/>
    <s v="Cristian"/>
    <s v="Bermudez"/>
    <s v="cristianbe@unisabana.edu.co"/>
    <x v="4"/>
    <d v="2026-03-18T00:00:00"/>
    <x v="1"/>
    <s v="Entregado"/>
    <m/>
    <n v="50"/>
    <n v="50"/>
    <n v="1"/>
  </r>
  <r>
    <x v="5"/>
    <s v="Mariana"/>
    <s v="Carmona Romero"/>
    <s v="marianacarrom@unisabana.edu.co"/>
    <x v="4"/>
    <d v="2026-03-18T00:00:00"/>
    <x v="1"/>
    <s v="Entregado"/>
    <m/>
    <n v="50"/>
    <n v="50"/>
    <n v="1"/>
  </r>
  <r>
    <x v="6"/>
    <s v="Mariana"/>
    <s v="Pena Rodriguez"/>
    <s v="marianapero@unisabana.edu.co"/>
    <x v="4"/>
    <d v="2026-03-18T00:00:00"/>
    <x v="1"/>
    <s v="Entregado"/>
    <m/>
    <n v="50"/>
    <n v="50"/>
    <n v="1"/>
  </r>
  <r>
    <x v="7"/>
    <s v="Isabella"/>
    <s v="Carranza Tapiero"/>
    <s v="isabellacata@unisabana.edu.co"/>
    <x v="4"/>
    <d v="2026-03-18T00:00:00"/>
    <x v="1"/>
    <s v="Entregado"/>
    <m/>
    <n v="50"/>
    <n v="50"/>
    <n v="1"/>
  </r>
  <r>
    <x v="8"/>
    <s v="Samuel David"/>
    <s v="Lozano Holguin"/>
    <s v="samuelloho@unisabana.edu.co"/>
    <x v="4"/>
    <d v="2026-03-18T00:00:00"/>
    <x v="1"/>
    <s v="Entregado"/>
    <m/>
    <n v="50"/>
    <n v="50"/>
    <n v="1"/>
  </r>
  <r>
    <x v="9"/>
    <s v="Sebastian"/>
    <s v="Vanoy Gutierrez"/>
    <s v="sebastianvagu@unisabana.edu.co"/>
    <x v="4"/>
    <d v="2026-03-18T00:00:00"/>
    <x v="1"/>
    <s v="Entregado"/>
    <m/>
    <n v="50"/>
    <n v="50"/>
    <n v="1"/>
  </r>
  <r>
    <x v="10"/>
    <s v="Jose Daniel"/>
    <s v="Escobar Hurtado"/>
    <s v="joseeshu@unisabana.edu.co"/>
    <x v="4"/>
    <d v="2026-03-18T00:00:00"/>
    <x v="1"/>
    <s v="Entregado"/>
    <m/>
    <n v="50"/>
    <n v="50"/>
    <n v="1"/>
  </r>
  <r>
    <x v="11"/>
    <s v="Maria Jose"/>
    <s v="Botero Galviz"/>
    <s v="mariabotga@unisabana.edu.co"/>
    <x v="4"/>
    <d v="2026-03-18T00:00:00"/>
    <x v="1"/>
    <s v="Entregado"/>
    <m/>
    <n v="50"/>
    <n v="50"/>
    <n v="1"/>
  </r>
  <r>
    <x v="12"/>
    <s v="Maria Juliana"/>
    <s v="Mejia Quintero"/>
    <s v="mariamequ@unisabana.edu.co"/>
    <x v="4"/>
    <d v="2026-03-18T00:00:00"/>
    <x v="1"/>
    <s v="Entregado"/>
    <m/>
    <n v="50"/>
    <n v="50"/>
    <n v="1"/>
  </r>
  <r>
    <x v="13"/>
    <s v="Alejandra"/>
    <s v="Leon Vargas"/>
    <s v="alejandraleva@unisabana.edu.co"/>
    <x v="4"/>
    <d v="2026-03-18T00:00:00"/>
    <x v="1"/>
    <s v="Entregado"/>
    <m/>
    <n v="50"/>
    <n v="50"/>
    <n v="1"/>
  </r>
  <r>
    <x v="14"/>
    <s v="Alessandro Di Mauro"/>
    <s v="Bonilla Correa"/>
    <s v="alessandroboco@unisabana.edu.co"/>
    <x v="4"/>
    <d v="2026-03-18T00:00:00"/>
    <x v="1"/>
    <s v="Entregado"/>
    <m/>
    <n v="0"/>
    <n v="50"/>
    <n v="0"/>
  </r>
  <r>
    <x v="15"/>
    <s v="Arianne Mariana"/>
    <s v="Amorocho Quiroga"/>
    <s v="arianneamqu@unisabana.edu.co"/>
    <x v="4"/>
    <d v="2026-03-18T00:00:00"/>
    <x v="1"/>
    <s v="Entregado"/>
    <m/>
    <n v="50"/>
    <n v="50"/>
    <n v="1"/>
  </r>
  <r>
    <x v="16"/>
    <s v="Maria Juliana"/>
    <s v="Herrera Pulido"/>
    <s v="mariahepu@unisabana.edu.co"/>
    <x v="4"/>
    <d v="2026-03-18T00:00:00"/>
    <x v="1"/>
    <s v="Entregado"/>
    <m/>
    <n v="50"/>
    <n v="50"/>
    <n v="1"/>
  </r>
  <r>
    <x v="17"/>
    <s v="Simon Gustavo"/>
    <s v="Restrepo Alvarez"/>
    <s v="simonreal@unisabana.edu.co"/>
    <x v="4"/>
    <d v="2026-03-18T00:00:00"/>
    <x v="1"/>
    <s v="Entregado"/>
    <m/>
    <n v="50"/>
    <n v="50"/>
    <n v="1"/>
  </r>
  <r>
    <x v="18"/>
    <s v="Daniel Felipe"/>
    <s v="Camacho Pedraza"/>
    <s v="danielcampe@unisabana.edu.co"/>
    <x v="4"/>
    <d v="2026-03-18T00:00:00"/>
    <x v="1"/>
    <s v="Entregado"/>
    <m/>
    <n v="50"/>
    <n v="50"/>
    <n v="1"/>
  </r>
  <r>
    <x v="19"/>
    <s v="Mateo"/>
    <s v="Perez Daza"/>
    <s v="mateopeda@unisabana.edu.co"/>
    <x v="4"/>
    <d v="2026-03-18T00:00:00"/>
    <x v="1"/>
    <s v="Entregado"/>
    <m/>
    <n v="50"/>
    <n v="50"/>
    <n v="1"/>
  </r>
  <r>
    <x v="20"/>
    <s v="Matias"/>
    <s v="Mondragon Osorio"/>
    <s v="matiasmoos@unisabana.edu.co"/>
    <x v="4"/>
    <d v="2026-03-18T00:00:00"/>
    <x v="1"/>
    <s v="Entregado"/>
    <m/>
    <n v="50"/>
    <n v="50"/>
    <n v="1"/>
  </r>
  <r>
    <x v="21"/>
    <s v="Juan David"/>
    <s v="Neuta Medina"/>
    <s v="juanneme@unisabana.edu.co"/>
    <x v="4"/>
    <d v="2026-03-18T00:00:00"/>
    <x v="1"/>
    <s v="Entregado"/>
    <m/>
    <n v="50"/>
    <n v="50"/>
    <n v="1"/>
  </r>
  <r>
    <x v="22"/>
    <s v="Laura Fernanda"/>
    <s v="Lopez Parra"/>
    <s v="lauraloppa@unisabana.edu.co"/>
    <x v="4"/>
    <d v="2026-03-18T00:00:00"/>
    <x v="1"/>
    <s v="Entregado"/>
    <m/>
    <n v="50"/>
    <n v="50"/>
    <n v="1"/>
  </r>
  <r>
    <x v="23"/>
    <s v="Lukas"/>
    <s v="Blanco Llanes"/>
    <s v="lukasblll@unisabana.edu.co"/>
    <x v="4"/>
    <d v="2026-03-18T00:00:00"/>
    <x v="1"/>
    <s v="Entregado"/>
    <m/>
    <n v="50"/>
    <n v="50"/>
    <n v="1"/>
  </r>
  <r>
    <x v="24"/>
    <s v="Juan Sebastian"/>
    <s v="Salas Hinojosa"/>
    <s v="juansahi@unisabana.edu.co"/>
    <x v="4"/>
    <d v="2026-03-18T00:00:00"/>
    <x v="1"/>
    <s v="Entregado"/>
    <m/>
    <n v="50"/>
    <n v="50"/>
    <n v="1"/>
  </r>
  <r>
    <x v="25"/>
    <s v="Avril Avril"/>
    <s v="Ariza Quitian"/>
    <s v="avrilarqu@unisabana.edu.co"/>
    <x v="4"/>
    <d v="2026-03-18T00:00:00"/>
    <x v="1"/>
    <s v="Entregado"/>
    <m/>
    <n v="50"/>
    <n v="50"/>
    <n v="1"/>
  </r>
  <r>
    <x v="26"/>
    <s v="Samuel David"/>
    <s v="Simancas Contreras"/>
    <s v="samuelsico@unisabana.edu.co"/>
    <x v="4"/>
    <d v="2026-03-18T00:00:00"/>
    <x v="1"/>
    <s v="Entregado"/>
    <m/>
    <n v="0"/>
    <n v="50"/>
    <n v="0"/>
  </r>
  <r>
    <x v="27"/>
    <s v="Maria Jose"/>
    <s v="Huertas Osorio"/>
    <s v="mariahueos@unisabana.edu.co"/>
    <x v="4"/>
    <d v="2026-03-18T00:00:00"/>
    <x v="1"/>
    <s v="Entregado"/>
    <m/>
    <n v="50"/>
    <n v="50"/>
    <n v="1"/>
  </r>
  <r>
    <x v="28"/>
    <s v="Juan Camilo"/>
    <s v="Leyton Lancheros"/>
    <s v="juanleyla@unisabana.edu.co"/>
    <x v="4"/>
    <d v="2026-03-18T00:00:00"/>
    <x v="1"/>
    <s v="Entregado"/>
    <m/>
    <n v="50"/>
    <n v="50"/>
    <n v="1"/>
  </r>
  <r>
    <x v="29"/>
    <s v="Samuel Mathias"/>
    <s v="Gonzalez Bernal"/>
    <s v="samuelgonbe@unisabana.edu.co"/>
    <x v="4"/>
    <d v="2026-03-18T00:00:00"/>
    <x v="1"/>
    <s v="Entregado"/>
    <m/>
    <n v="50"/>
    <n v="50"/>
    <n v="1"/>
  </r>
  <r>
    <x v="30"/>
    <s v="Valeria"/>
    <s v="Morales"/>
    <s v="valeriamor@unisabana.edu.co"/>
    <x v="4"/>
    <d v="2026-03-18T00:00:00"/>
    <x v="1"/>
    <s v="Entregado"/>
    <m/>
    <n v="50"/>
    <n v="50"/>
    <n v="1"/>
  </r>
  <r>
    <x v="31"/>
    <s v="Samantha"/>
    <s v="Vanegas Russi"/>
    <s v="samanthavaru@unisabana.edu.co"/>
    <x v="4"/>
    <d v="2026-03-18T00:00:00"/>
    <x v="1"/>
    <s v="Entregado"/>
    <m/>
    <n v="50"/>
    <n v="50"/>
    <n v="1"/>
  </r>
  <r>
    <x v="32"/>
    <s v="Juan Jose"/>
    <s v="Caballero Mantilla"/>
    <s v="juancabma@unisabana.edu.co"/>
    <x v="4"/>
    <d v="2026-03-18T00:00:00"/>
    <x v="1"/>
    <s v="Entregado"/>
    <m/>
    <n v="50"/>
    <n v="50"/>
    <n v="1"/>
  </r>
  <r>
    <x v="33"/>
    <s v="Daniel Camilo"/>
    <s v="Lopez Piraquive"/>
    <s v="danielloppi@unisabana.edu.co"/>
    <x v="4"/>
    <d v="2026-03-18T00:00:00"/>
    <x v="1"/>
    <s v="Entregado"/>
    <m/>
    <n v="50"/>
    <n v="50"/>
    <n v="1"/>
  </r>
  <r>
    <x v="34"/>
    <s v="Gabriela"/>
    <s v="Ruiz Perez"/>
    <s v="gabrielarupe@unisabana.edu.co"/>
    <x v="4"/>
    <d v="2026-03-18T00:00:00"/>
    <x v="1"/>
    <s v="Entregado"/>
    <m/>
    <n v="50"/>
    <n v="50"/>
    <n v="1"/>
  </r>
  <r>
    <x v="35"/>
    <s v="Juan Sebastian"/>
    <s v="Perdomo Herrera"/>
    <s v="juanperhe@unisabana.edu.co"/>
    <x v="4"/>
    <d v="2026-03-18T00:00:00"/>
    <x v="1"/>
    <s v="Entregado"/>
    <m/>
    <n v="0"/>
    <n v="50"/>
    <n v="0"/>
  </r>
  <r>
    <x v="36"/>
    <s v="Martin Martin"/>
    <s v="Trujillo Rodriguez"/>
    <s v="martintrro@unisabana.edu.co"/>
    <x v="4"/>
    <d v="2026-03-18T00:00:00"/>
    <x v="1"/>
    <s v="Entregado"/>
    <m/>
    <n v="50"/>
    <n v="50"/>
    <n v="1"/>
  </r>
  <r>
    <x v="37"/>
    <s v="Alan David"/>
    <s v="Rossoff Vanegas"/>
    <s v="alanrova@unisabana.edu.co"/>
    <x v="4"/>
    <d v="2026-03-18T00:00:00"/>
    <x v="1"/>
    <s v="Entregado"/>
    <m/>
    <n v="50"/>
    <n v="50"/>
    <n v="1"/>
  </r>
  <r>
    <x v="38"/>
    <s v="Diego Alejandro"/>
    <s v="Hermida Limas"/>
    <s v="diegoherli@unisabana.edu.co"/>
    <x v="4"/>
    <d v="2026-03-18T00:00:00"/>
    <x v="1"/>
    <s v="Entregado"/>
    <m/>
    <n v="50"/>
    <n v="50"/>
    <n v="1"/>
  </r>
  <r>
    <x v="0"/>
    <s v="Paula Andrea"/>
    <s v="Arciniegas Cardenas"/>
    <s v="paulaarcca@unisabana.edu.co"/>
    <x v="9"/>
    <d v="2026-03-12T00:00:00"/>
    <x v="1"/>
    <s v="Entregado"/>
    <m/>
    <n v="50"/>
    <n v="50"/>
    <n v="1"/>
  </r>
  <r>
    <x v="1"/>
    <s v="Sofia"/>
    <s v="Giraldo Pico"/>
    <s v="sofiagipi@unisabana.edu.co"/>
    <x v="9"/>
    <d v="2026-03-12T00:00:00"/>
    <x v="1"/>
    <s v="Entregado"/>
    <m/>
    <n v="50"/>
    <n v="50"/>
    <n v="1"/>
  </r>
  <r>
    <x v="2"/>
    <s v="Valery"/>
    <s v="Linares Hernandez"/>
    <s v="valerylihe@unisabana.edu.co"/>
    <x v="9"/>
    <d v="2026-03-12T00:00:00"/>
    <x v="1"/>
    <s v="Entregado"/>
    <m/>
    <n v="50"/>
    <n v="50"/>
    <n v="1"/>
  </r>
  <r>
    <x v="3"/>
    <s v="Nicolas"/>
    <s v="Torres Calderon"/>
    <s v="nicolastorca@unisabana.edu.co"/>
    <x v="9"/>
    <d v="2026-03-12T00:00:00"/>
    <x v="1"/>
    <s v="Entregado"/>
    <m/>
    <n v="0"/>
    <n v="50"/>
    <n v="0"/>
  </r>
  <r>
    <x v="4"/>
    <s v="Cristian"/>
    <s v="Bermudez"/>
    <s v="cristianbe@unisabana.edu.co"/>
    <x v="9"/>
    <d v="2026-03-12T00:00:00"/>
    <x v="1"/>
    <s v="Entregado"/>
    <m/>
    <n v="0"/>
    <n v="50"/>
    <n v="0"/>
  </r>
  <r>
    <x v="5"/>
    <s v="Mariana"/>
    <s v="Carmona Romero"/>
    <s v="marianacarrom@unisabana.edu.co"/>
    <x v="9"/>
    <d v="2026-03-12T00:00:00"/>
    <x v="1"/>
    <s v="Entregado"/>
    <m/>
    <n v="0"/>
    <n v="50"/>
    <n v="0"/>
  </r>
  <r>
    <x v="6"/>
    <s v="Mariana"/>
    <s v="Pena Rodriguez"/>
    <s v="marianapero@unisabana.edu.co"/>
    <x v="9"/>
    <d v="2026-03-12T00:00:00"/>
    <x v="1"/>
    <s v="Entregado"/>
    <m/>
    <n v="50"/>
    <n v="50"/>
    <n v="1"/>
  </r>
  <r>
    <x v="7"/>
    <s v="Isabella"/>
    <s v="Carranza Tapiero"/>
    <s v="isabellacata@unisabana.edu.co"/>
    <x v="9"/>
    <d v="2026-03-12T00:00:00"/>
    <x v="1"/>
    <s v="Entregado"/>
    <m/>
    <n v="50"/>
    <n v="50"/>
    <n v="1"/>
  </r>
  <r>
    <x v="8"/>
    <s v="Samuel David"/>
    <s v="Lozano Holguin"/>
    <s v="samuelloho@unisabana.edu.co"/>
    <x v="9"/>
    <d v="2026-03-12T00:00:00"/>
    <x v="1"/>
    <s v="Entregado"/>
    <m/>
    <n v="50"/>
    <n v="50"/>
    <n v="1"/>
  </r>
  <r>
    <x v="9"/>
    <s v="Sebastian"/>
    <s v="Vanoy Gutierrez"/>
    <s v="sebastianvagu@unisabana.edu.co"/>
    <x v="9"/>
    <d v="2026-03-12T00:00:00"/>
    <x v="1"/>
    <s v="Entregado"/>
    <m/>
    <n v="50"/>
    <n v="50"/>
    <n v="1"/>
  </r>
  <r>
    <x v="10"/>
    <s v="Jose Daniel"/>
    <s v="Escobar Hurtado"/>
    <s v="joseeshu@unisabana.edu.co"/>
    <x v="9"/>
    <d v="2026-03-12T00:00:00"/>
    <x v="1"/>
    <s v="Entregado"/>
    <m/>
    <n v="50"/>
    <n v="50"/>
    <n v="1"/>
  </r>
  <r>
    <x v="11"/>
    <s v="Maria Jose"/>
    <s v="Botero Galviz"/>
    <s v="mariabotga@unisabana.edu.co"/>
    <x v="9"/>
    <d v="2026-03-12T00:00:00"/>
    <x v="1"/>
    <s v="Entregado"/>
    <m/>
    <n v="50"/>
    <n v="50"/>
    <n v="1"/>
  </r>
  <r>
    <x v="12"/>
    <s v="Maria Juliana"/>
    <s v="Mejia Quintero"/>
    <s v="mariamequ@unisabana.edu.co"/>
    <x v="9"/>
    <d v="2026-03-12T00:00:00"/>
    <x v="1"/>
    <s v="Entregado"/>
    <m/>
    <n v="50"/>
    <n v="50"/>
    <n v="1"/>
  </r>
  <r>
    <x v="13"/>
    <s v="Alejandra"/>
    <s v="Leon Vargas"/>
    <s v="alejandraleva@unisabana.edu.co"/>
    <x v="9"/>
    <d v="2026-03-12T00:00:00"/>
    <x v="1"/>
    <s v="Entregado"/>
    <m/>
    <n v="50"/>
    <n v="50"/>
    <n v="1"/>
  </r>
  <r>
    <x v="14"/>
    <s v="Alessandro Di Mauro"/>
    <s v="Bonilla Correa"/>
    <s v="alessandroboco@unisabana.edu.co"/>
    <x v="9"/>
    <d v="2026-03-12T00:00:00"/>
    <x v="1"/>
    <s v="Entregado"/>
    <m/>
    <n v="0"/>
    <n v="50"/>
    <n v="0"/>
  </r>
  <r>
    <x v="15"/>
    <s v="Arianne Mariana"/>
    <s v="Amorocho Quiroga"/>
    <s v="arianneamqu@unisabana.edu.co"/>
    <x v="9"/>
    <d v="2026-03-12T00:00:00"/>
    <x v="1"/>
    <s v="Entregado"/>
    <m/>
    <n v="50"/>
    <n v="50"/>
    <n v="1"/>
  </r>
  <r>
    <x v="16"/>
    <s v="Maria Juliana"/>
    <s v="Herrera Pulido"/>
    <s v="mariahepu@unisabana.edu.co"/>
    <x v="9"/>
    <d v="2026-03-12T00:00:00"/>
    <x v="1"/>
    <s v="Entregado"/>
    <m/>
    <n v="50"/>
    <n v="50"/>
    <n v="1"/>
  </r>
  <r>
    <x v="17"/>
    <s v="Simon Gustavo"/>
    <s v="Restrepo Alvarez"/>
    <s v="simonreal@unisabana.edu.co"/>
    <x v="9"/>
    <d v="2026-03-12T00:00:00"/>
    <x v="1"/>
    <s v="Entregado"/>
    <m/>
    <n v="50"/>
    <n v="50"/>
    <n v="1"/>
  </r>
  <r>
    <x v="18"/>
    <s v="Daniel Felipe"/>
    <s v="Camacho Pedraza"/>
    <s v="danielcampe@unisabana.edu.co"/>
    <x v="9"/>
    <d v="2026-03-12T00:00:00"/>
    <x v="1"/>
    <s v="Entregado"/>
    <m/>
    <n v="50"/>
    <n v="50"/>
    <n v="1"/>
  </r>
  <r>
    <x v="19"/>
    <s v="Mateo"/>
    <s v="Perez Daza"/>
    <s v="mateopeda@unisabana.edu.co"/>
    <x v="9"/>
    <d v="2026-03-12T00:00:00"/>
    <x v="1"/>
    <s v="Entregado"/>
    <m/>
    <n v="50"/>
    <n v="50"/>
    <n v="1"/>
  </r>
  <r>
    <x v="20"/>
    <s v="Matias"/>
    <s v="Mondragon Osorio"/>
    <s v="matiasmoos@unisabana.edu.co"/>
    <x v="9"/>
    <d v="2026-03-12T00:00:00"/>
    <x v="1"/>
    <s v="Entregado"/>
    <m/>
    <n v="50"/>
    <n v="50"/>
    <n v="1"/>
  </r>
  <r>
    <x v="21"/>
    <s v="Juan David"/>
    <s v="Neuta Medina"/>
    <s v="juanneme@unisabana.edu.co"/>
    <x v="9"/>
    <d v="2026-03-12T00:00:00"/>
    <x v="1"/>
    <s v="Entregado"/>
    <m/>
    <n v="50"/>
    <n v="50"/>
    <n v="1"/>
  </r>
  <r>
    <x v="22"/>
    <s v="Laura Fernanda"/>
    <s v="Lopez Parra"/>
    <s v="lauraloppa@unisabana.edu.co"/>
    <x v="9"/>
    <d v="2026-03-12T00:00:00"/>
    <x v="1"/>
    <s v="Entregado"/>
    <m/>
    <n v="0"/>
    <n v="50"/>
    <n v="0"/>
  </r>
  <r>
    <x v="23"/>
    <s v="Lukas"/>
    <s v="Blanco Llanes"/>
    <s v="lukasblll@unisabana.edu.co"/>
    <x v="9"/>
    <d v="2026-03-12T00:00:00"/>
    <x v="1"/>
    <s v="Entregado"/>
    <m/>
    <n v="50"/>
    <n v="50"/>
    <n v="1"/>
  </r>
  <r>
    <x v="24"/>
    <s v="Juan Sebastian"/>
    <s v="Salas Hinojosa"/>
    <s v="juansahi@unisabana.edu.co"/>
    <x v="9"/>
    <d v="2026-03-12T00:00:00"/>
    <x v="1"/>
    <s v="Entregado"/>
    <m/>
    <n v="50"/>
    <n v="50"/>
    <n v="1"/>
  </r>
  <r>
    <x v="25"/>
    <s v="Avril Avril"/>
    <s v="Ariza Quitian"/>
    <s v="avrilarqu@unisabana.edu.co"/>
    <x v="9"/>
    <d v="2026-03-12T00:00:00"/>
    <x v="1"/>
    <s v="Entregado"/>
    <m/>
    <n v="50"/>
    <n v="50"/>
    <n v="1"/>
  </r>
  <r>
    <x v="26"/>
    <s v="Samuel David"/>
    <s v="Simancas Contreras"/>
    <s v="samuelsico@unisabana.edu.co"/>
    <x v="9"/>
    <d v="2026-03-12T00:00:00"/>
    <x v="1"/>
    <s v="Entregado"/>
    <m/>
    <n v="0"/>
    <n v="50"/>
    <n v="0"/>
  </r>
  <r>
    <x v="27"/>
    <s v="Maria Jose"/>
    <s v="Huertas Osorio"/>
    <s v="mariahueos@unisabana.edu.co"/>
    <x v="9"/>
    <d v="2026-03-12T00:00:00"/>
    <x v="1"/>
    <s v="Entregado"/>
    <m/>
    <n v="0"/>
    <n v="50"/>
    <n v="0"/>
  </r>
  <r>
    <x v="28"/>
    <s v="Juan Camilo"/>
    <s v="Leyton Lancheros"/>
    <s v="juanleyla@unisabana.edu.co"/>
    <x v="9"/>
    <d v="2026-03-12T00:00:00"/>
    <x v="1"/>
    <s v="Entregado"/>
    <m/>
    <n v="0"/>
    <n v="50"/>
    <n v="0"/>
  </r>
  <r>
    <x v="29"/>
    <s v="Samuel Mathias"/>
    <s v="Gonzalez Bernal"/>
    <s v="samuelgonbe@unisabana.edu.co"/>
    <x v="9"/>
    <d v="2026-03-12T00:00:00"/>
    <x v="1"/>
    <s v="Entregado"/>
    <m/>
    <n v="50"/>
    <n v="50"/>
    <n v="1"/>
  </r>
  <r>
    <x v="30"/>
    <s v="Valeria"/>
    <s v="Morales"/>
    <s v="valeriamor@unisabana.edu.co"/>
    <x v="9"/>
    <d v="2026-03-12T00:00:00"/>
    <x v="1"/>
    <s v="Entregado"/>
    <m/>
    <n v="50"/>
    <n v="50"/>
    <n v="1"/>
  </r>
  <r>
    <x v="31"/>
    <s v="Samantha"/>
    <s v="Vanegas Russi"/>
    <s v="samanthavaru@unisabana.edu.co"/>
    <x v="9"/>
    <d v="2026-03-12T00:00:00"/>
    <x v="1"/>
    <s v="Entregado"/>
    <m/>
    <n v="50"/>
    <n v="50"/>
    <n v="1"/>
  </r>
  <r>
    <x v="32"/>
    <s v="Juan Jose"/>
    <s v="Caballero Mantilla"/>
    <s v="juancabma@unisabana.edu.co"/>
    <x v="9"/>
    <d v="2026-03-12T00:00:00"/>
    <x v="1"/>
    <s v="Entregado"/>
    <m/>
    <n v="50"/>
    <n v="50"/>
    <n v="1"/>
  </r>
  <r>
    <x v="33"/>
    <s v="Daniel Camilo"/>
    <s v="Lopez Piraquive"/>
    <s v="danielloppi@unisabana.edu.co"/>
    <x v="9"/>
    <d v="2026-03-12T00:00:00"/>
    <x v="1"/>
    <s v="Entregado"/>
    <m/>
    <n v="0"/>
    <n v="50"/>
    <n v="0"/>
  </r>
  <r>
    <x v="34"/>
    <s v="Gabriela"/>
    <s v="Ruiz Perez"/>
    <s v="gabrielarupe@unisabana.edu.co"/>
    <x v="9"/>
    <d v="2026-03-12T00:00:00"/>
    <x v="1"/>
    <s v="Entregado"/>
    <m/>
    <n v="0"/>
    <n v="50"/>
    <n v="0"/>
  </r>
  <r>
    <x v="35"/>
    <s v="Juan Sebastian"/>
    <s v="Perdomo Herrera"/>
    <s v="juanperhe@unisabana.edu.co"/>
    <x v="9"/>
    <d v="2026-03-12T00:00:00"/>
    <x v="1"/>
    <s v="Entregado"/>
    <m/>
    <n v="0"/>
    <n v="50"/>
    <n v="0"/>
  </r>
  <r>
    <x v="36"/>
    <s v="Martin Martin"/>
    <s v="Trujillo Rodriguez"/>
    <s v="martintrro@unisabana.edu.co"/>
    <x v="9"/>
    <d v="2026-03-12T00:00:00"/>
    <x v="1"/>
    <s v="Entregado"/>
    <m/>
    <n v="50"/>
    <n v="50"/>
    <n v="1"/>
  </r>
  <r>
    <x v="37"/>
    <s v="Alan David"/>
    <s v="Rossoff Vanegas"/>
    <s v="alanrova@unisabana.edu.co"/>
    <x v="9"/>
    <d v="2026-03-12T00:00:00"/>
    <x v="1"/>
    <s v="Entregado"/>
    <m/>
    <n v="50"/>
    <n v="50"/>
    <n v="1"/>
  </r>
  <r>
    <x v="38"/>
    <s v="Diego Alejandro"/>
    <s v="Hermida Limas"/>
    <s v="diegoherli@unisabana.edu.co"/>
    <x v="9"/>
    <d v="2026-03-12T00:00:00"/>
    <x v="1"/>
    <s v="Entregado"/>
    <m/>
    <n v="50"/>
    <n v="50"/>
    <n v="1"/>
  </r>
  <r>
    <x v="0"/>
    <s v="Paula Andrea"/>
    <s v="Arciniegas Cardenas"/>
    <s v="paulaarcca@unisabana.edu.co"/>
    <x v="10"/>
    <d v="2026-03-11T00:00:00"/>
    <x v="2"/>
    <s v="Entregado"/>
    <s v="Retroalimentación de la Entrega: Modelando un Carrito de_x000a_Compras (POO)  Paula Andrea Arciniegas, Valeria Morales e Isabella_x000a_Carranza   Calificación Final: 50/50 (Equivalente a 5.0)  Comentarios del Profesor: _x000a_¡Excelente trabajo, equipo! Han logrado dar el salto de la programación_x000a_estructurada a la Programación Orientada a Objetos (POO) de manera impecable._x000a_Este ejercicio demuestra que comprenden cómo encapsular datos (atributos) y_x000a_acciones (métodos) dentro de una misma entidad.  _x000a_ Puntos_x000a_     Destacados: _x000a_ _x000a_  Autogestión_x000a_      y Planeación: Su pseudocódigo es uno de los más detallados y_x000a_      estructurados que he revisado. El desglose numérico (1.0, 2.1.1, etc.)_x000a_      demuestra un pensamiento lógico riguroso antes de escribir código. _x000a_  Encapsulamiento_x000a_      (self): Entendieron perfectamente que self.total permite que el_x000a_      método ver_carrito() sepa cuánto dinero sumó el método agregar_producto()._x000a_      Comparten la memoria interna del objeto de forma correcta. _x000a_  Uso_x000a_      de Funciones Integradas: La implementación de enumerate(self.items,_x000a_      start=1) en el ciclo for es un toque avanzado y muy elegante para listar_x000a_      los productos. _x000a_  Documentación:_x000a_      El uso de Docstrings (&quot;&quot;&quot; &quot;&quot;&quot;) al_x000a_      inicio de la clase y de los métodos es una excelente práctica profesional_x000a_      que facilita la lectura del código. _x000a_ _x000a_ Oportunidad_x000a_     de Mejora (Para próximos proyectos): _x000a_ _x000a_  En_x000a_      este ejercicio guardaron solo el nombre del producto en la lista self.items._x000a_      Aunque cumple con lo solicitado y el total se calcula bien, en un_x000a_      e-commerce real (o en futuras clases con bases de datos) necesitaremos_x000a_      ver el precio individual de cada ítem en el resumen final. Para el_x000a_      próximo reto, intenten guardar un diccionario en la lista: self.items.append({&quot;nombre&quot;:_x000a_      nombre_producto, &quot;precio&quot;: precio_producto}). _x000a_  Motivación: _x000a_Tienen una base muy sólida en POO. Entender cómo los objetos interactúan_x000a_consigo mismos es el paso más difícil, y ustedes lo han superado con éxito._x000a_¡Sigan con este nivel de excelencia para el resto del Corte 2!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1"/>
    <s v="Sofia"/>
    <s v="Giraldo Pico"/>
    <s v="sofiagipi@unisabana.edu.co"/>
    <x v="10"/>
    <d v="2026-03-11T00:00:00"/>
    <x v="2"/>
    <s v="Entregado"/>
    <s v="Retroalimentación de la Entrega: Modelando un Carrito de_x000a_Compras (POO)  Alejandra Leon Vargas y Sofia Giraldo Pico  Calificación Final: 50/50 (Equivalente a 5.0)  Comentarios del Profesor:  _x000a_¡Trabajo excepcional, equipo! Han entregado un prototipo que no solo cumple,_x000a_sino que supera con creces las expectativas del ejercicio. Demuestran una_x000a_comprensión profunda de la POO y una atención al detalle digna de un software_x000a_profesional.  _x000a_ Puntos_x000a_     Destacados (Nivel Avanzado): _x000a_ _x000a_  Programación_x000a_      Defensiva: La validación de precios (isinstance y precio &amp;lt;= 0) es_x000a_      una práctica de nivel superior. Al incluirla, se aseguraron de que el_x000a_      programa no colapse ni acepte datos ilógicos, un &quot;Sanity Check&quot;_x000a_      fundamental en cualquier aplicación financiera. _x000a_  Principio_x000a_      DRY (Don't Repeat Yourself): La creación de un método auxiliar (_formatear_moneda)_x000a_      para centralizar la lógica de formato de moneda es una técnica de_x000a_      arquitecto de software. Esto hace que el código sea más limpio, fácil de_x000a_      mantener y escalable. _x000a_  Autogestión_x000a_      y Planeación: El pseudocódigo es claro, detallado y se alinea_x000a_      perfectamente con la implementación final. Demuestra que invirtieron_x000a_      tiempo en el diseño antes de la codificación. _x000a_  Documentación_x000a_      y UX: El código está impecablemente documentado, y la presentación de_x000a_      los resultados en la consola es limpia y muy profesional. _x000a_  Motivación:  _x000a_Este es el estándar de excelencia que buscamos en el curso. Han demostrado que_x000a_no solo pueden seguir instrucciones, sino que pueden anticipar problemas y_x000a_diseñar soluciones elegantes y robustas. Si mantienen este nivel de pensamiento_x000a_crítico y rigurosidad técnica, están más que preparadas para los retos de bases_x000a_de datos y análisis que vienen en el resto del semestre. ¡Felicitaciones!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y estructura de la clase, incluyendo_x000a_  métodos auxiliares.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Prototipo funcional con validaciones de datos y formato de_x000a_  salida profesional.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
    <s v="Valery"/>
    <s v="Linares Hernandez"/>
    <s v="valerylihe@unisabana.edu.co"/>
    <x v="10"/>
    <d v="2026-03-11T00:00:00"/>
    <x v="2"/>
    <s v="Entregado"/>
    <s v="Retroalimentación de la Entrega: Modelando un Carrito de_x000a_Compras (POO)  Valery Linares Hernandez y Maria Jose Botero Galviz  Calificación Final: 50/50 (Equivalente a 5.0)  Comentarios del Profesor: _x000a_Equipo, esta es una entrega de nivel excepcional. Han demostrado no solo que_x000a_pueden seguir instrucciones, sino que pueden pensar como arquitectos de_x000a_software, anticipando problemas y escribiendo código limpio, eficiente y_x000a_robusto. _x000a_ Puntos_x000a_     Destacados (Lo que los diferencia): _x000a_ _x000a_  Autogestión_x000a_      y Planeación: El pseudocódigo es impecable y demuestra que diseñaron_x000a_      la solución completa, incluyendo validaciones y métodos auxiliares, antes_x000a_      de programar. _x000a_  Robustez_x000a_      del Código (Sanity Check): La validación if not isinstance(...) para_x000a_      el precio es una práctica de &quot;programación defensiva&quot; de nivel_x000a_      profesional. Evita que el programa colapse si el usuario ingresa texto o_x000a_      un precio negativo. Excelente iniciativa. _x000a_  Código_x000a_      &quot;Pythónico&quot; Avanzado: El uso de enumerate con_x000a_      desempaquetado de tuplas (for posicion, (nombre, precio) in_x000a_      enumerate(...)) es una técnica elegante y muy eficiente que demuestra un_x000a_      dominio superior del lenguaje. _x000a_  UX_x000a_      y Profesionalismo: El método auxiliar _formatear_moneda para_x000a_      estandarizar la salida de dinero es una decisión de diseño brillante._x000a_      Muestra que están pensando en la experiencia del usuario final y en la_x000a_      mantenibilidad del código (principio DRY). _x000a_ _x000a_ Oportunidad_x000a_     de Mejora (El Siguiente Nivel): _x000a_ _x000a_  Su_x000a_      código es tan sólido que el siguiente paso natural es aplicar los_x000a_      conceptos de la Clase 6. ¿Cómo se vería esto si tuvieran una clase Producto_x000a_      de la que heredan ProductoFisico y ProductoDigital? ¿Cómo protegerían el total_x000a_      con encapsulamiento (__total) para que solo pueda ser modificado por los_x000a_      métodos de la clase? Sigan por esa línea de pensamiento. _x000a_  Motivación: _x000a_Este es el nivel de calidad que los diferenciará en el mercado laboral. Han_x000a_demostrado una capacidad de abstracción y atención al detalle que va más allá_x000a_de lo esperado. ¡Felicitaciones por una entrega sobresaliente!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3"/>
    <s v="Nicolas"/>
    <s v="Torres Calderon"/>
    <s v="nicolastorca@unisabana.edu.co"/>
    <x v="10"/>
    <d v="2026-03-11T00:00:00"/>
    <x v="2"/>
    <s v="Entregado"/>
    <s v="Retroalimentación de la Entrega: Modelando un Carrito de_x000a_Compras (POO)  Cristian Bermudez, Camilo Leyton y Nicolas Torres  Calificación Final: 40/50 (Equivalente a 4.0)  Comentarios del Profesor: _x000a_Equipo (Cristian, Camilo y Nicolás), su entrega tiene contrastes importantes._x000a_Por un lado, el nivel técnico del código es excelente; por otro, hay fallas_x000a_críticas en la competencia de Autogestión y seguimiento de_x000a_instrucciones.  _x000a_ Puntos_x000a_     Destacados (Lo Técnico): _x000a_ _x000a_  Estructura_x000a_      de Datos: La decisión de guardar cada producto como una tupla (nombre_producto,_x000a_      precio_producto) dentro de la lista self.items es una excelente práctica._x000a_      Demuestra que entienden cómo anidar colecciones para mantener los datos_x000a_      organizados. _x000a_  Encapsulamiento:_x000a_      El uso de self para mantener el estado del objeto (self.total y self.items)_x000a_      es impecable. _x000a_  Documentación:_x000a_      Cumplieron a cabalidad con el requisito de comentar línea por línea el_x000a_      funcionamiento del código. _x000a_ _x000a_ Oportunidades_x000a_     de Mejora (Autogestión y Sanity Check): _x000a_ _x000a_  Planeación_x000a_      Inexistente (0/10 pts): Omitieron por completo el Pseudocódigo o_x000a_      Diagrama de Flujo en la celda de Markdown. Las instrucciones marcaban_x000a_      esto como una &quot;Regla de Oro: Planeación Obligatoria&quot;. En_x000a_      la EICEA y en la vida real, no basta con que el código funcione; se debe_x000a_      demostrar la planeación lógica detrás de la solución. _x000a_  Atención_x000a_      al Detalle: Titularon su entrega como &quot;Análisis de Marketing_x000a_      con IA&quot;, el cual era el tema de una tarea anterior. Entregar un_x000a_      desarrollo técnico impecable con el título de otro proyecto resta_x000a_      profesionalismo frente a un cliente o jefe. ¡Cuidado con el copy-paste en_x000a_      las plantillas! _x000a_  Motivación: _x000a_Tienen la capacidad técnica y lógica para sacar la máxima nota. El código que_x000a_escribieron es de alto nivel. Para las próximas entregas, asegúrense de leer la_x000a_rúbrica completa y auditar sus entregables antes de subirlos. ¡Ajusten ese_x000a_detalle de planeación y llegarán a la excelencia!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0.0 (No se incluyó)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40.0 _x000a_  _x000a_ Diego Mauricio Zuluaga Rodríguez _x000a_Profesor - Departamento de Economía _x000a_Universidad de La Sabana"/>
    <n v="40"/>
    <n v="50"/>
    <n v="0.8"/>
  </r>
  <r>
    <x v="4"/>
    <s v="Cristian"/>
    <s v="Bermudez"/>
    <s v="cristianbe@unisabana.edu.co"/>
    <x v="10"/>
    <d v="2026-03-11T00:00:00"/>
    <x v="2"/>
    <s v="Entregado"/>
    <s v="Retroalimentación de la Entrega: Modelando un Carrito de_x000a_Compras (POO)  Cristian Bermudez, Camilo Leyton y Nicolas Torres  Calificación Final: 40/50 (Equivalente a 4.0)  Comentarios del Profesor: _x000a_Equipo (Cristian, Camilo y Nicolás), su entrega tiene contrastes importantes._x000a_Por un lado, el nivel técnico del código es excelente; por otro, hay fallas_x000a_críticas en la competencia de Autogestión y seguimiento de_x000a_instrucciones.  _x000a_ Puntos_x000a_     Destacados (Lo Técnico): _x000a_ _x000a_  Estructura_x000a_      de Datos: La decisión de guardar cada producto como una tupla (nombre_producto,_x000a_      precio_producto) dentro de la lista self.items es una excelente práctica._x000a_      Demuestra que entienden cómo anidar colecciones para mantener los datos_x000a_      organizados. _x000a_  Encapsulamiento:_x000a_      El uso de self para mantener el estado del objeto (self.total y self.items)_x000a_      es impecable. _x000a_  Documentación:_x000a_      Cumplieron a cabalidad con el requisito de comentar línea por línea el_x000a_      funcionamiento del código. _x000a_ _x000a_ Oportunidades_x000a_     de Mejora (Autogestión y Sanity Check): _x000a_ _x000a_  Planeación_x000a_      Inexistente (0/10 pts): Omitieron por completo el Pseudocódigo o_x000a_      Diagrama de Flujo en la celda de Markdown. Las instrucciones marcaban_x000a_      esto como una &quot;Regla de Oro: Planeación Obligatoria&quot;. En_x000a_      la EICEA y en la vida real, no basta con que el código funcione; se debe_x000a_      demostrar la planeación lógica detrás de la solución. _x000a_  Atención_x000a_      al Detalle: Titularon su entrega como &quot;Análisis de Marketing_x000a_      con IA&quot;, el cual era el tema de una tarea anterior. Entregar un_x000a_      desarrollo técnico impecable con el título de otro proyecto resta_x000a_      profesionalismo frente a un cliente o jefe. ¡Cuidado con el copy-paste en_x000a_      las plantillas! _x000a_  Motivación: _x000a_Tienen la capacidad técnica y lógica para sacar la máxima nota. El código que_x000a_escribieron es de alto nivel. Para las próximas entregas, asegúrense de leer la_x000a_rúbrica completa y auditar sus entregables antes de subirlos. ¡Ajusten ese_x000a_detalle de planeación y llegarán a la excelencia!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0.0 (No se incluyó)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40.0 _x000a_  _x000a_ Diego Mauricio Zuluaga Rodríguez _x000a_Profesor - Departamento de Economía _x000a_Universidad de La Sabana"/>
    <n v="40"/>
    <n v="50"/>
    <n v="0.8"/>
  </r>
  <r>
    <x v="5"/>
    <s v="Mariana"/>
    <s v="Carmona Romero"/>
    <s v="marianacarrom@unisabana.edu.co"/>
    <x v="10"/>
    <d v="2026-03-11T00:00:00"/>
    <x v="2"/>
    <s v="Entregado"/>
    <s v="Carmona Romero, Mariana  Les escribo para informarles que no se registró la entrega_x000a_de la &quot;Tarea Clase 5: Modelando un Carrito de Compras (POO)&quot;_x000a_antes de la fecha límite establecida.  Conforme a las reglas de autogestión y el contrato_x000a_pedagógico del curso, la nota registrada para esta actividad es 0.0 y no_x000a_es modificable.  Más allá del impacto en la nota, mi principal preocupación_x000a_es el vacío conceptual que esta omisión genera. La tarea de la Clase 5_x000a_era el pilar fundamental para introducirse en la Programación Orientada a_x000a_Objetos (POO). Sin haber modelado su primera clase, los temas que veremos en la_x000a_Clase 6 (Herencia, Polimorfismo y Arquitectura de Software) serán_x000a_extremadamente difíciles de asimilar.  Estructurar una clase es el prerrequisito para poder_x000a_conectar la lógica con bases de datos SQL, que es el objetivo final del Corte_x000a_2.  Plan de Acción Urgente (Requerido):  Para que puedan seguir el ritmo del curso, es imperativo_x000a_que realicen las siguientes acciones antes de la próxima clase:  _x000a_ Revisar_x000a_     la solución ideal que ya fue compartida en el módulo de la clase._x000a_     Analicen la estructura, el uso de self y la lógica de los métodos. _x000a_ Realizar_x000a_     el ejercicio por su cuenta (aunque no tenga calificación). La única_x000a_     forma de entender POO es programando. _x000a_ Llegar_x000a_     a la Clase 6 habiendo entendido los conceptos de clase, __init__, self,_x000a_     atributos y métodos.  Mi objetivo es que no se queden atrás en el contenido, que_x000a_es acumulativo. Espero su compromiso para nivelarse esta semana.  Diego Mauricio Zuluaga Rodríguez _x000a_Profesor - Departamento de Economía _x000a_Universidad de La Sabana"/>
    <n v="0"/>
    <n v="50"/>
    <n v="0"/>
  </r>
  <r>
    <x v="6"/>
    <s v="Mariana"/>
    <s v="Pena Rodriguez"/>
    <s v="marianapero@unisabana.edu.co"/>
    <x v="10"/>
    <d v="2026-03-11T00:00:00"/>
    <x v="2"/>
    <s v="Entregado"/>
    <s v="Retroalimentación de la Entrega: Clase 6 - Carrito de_x000a_Compras (POO)  Mariana Peña, Matías Mondragón y Arianne Amorocho  Calificación Final: 50/50  Comentarios del Profesor: ¡Excelente trabajo, equipo! Han alcanzado un nivel de_x000a_madurez técnica muy alto. Esta entrega es un ejemplo perfecto de cómo se debe_x000a_estructurar un proyecto de software: desde el pensamiento lógico inicial hasta_x000a_la implementación limpia y profesional.  _x000a_ Puntos_x000a_     Destacados: _x000a_ _x000a_  Arquitectura_x000a_      de Datos: A diferencia de soluciones básicas, ustedes decidieron_x000a_      almacenar los items como diccionarios dentro de la lista ({&quot;producto&quot;:_x000a_      nombre, &quot;precio&quot;: precio}). Esto es un acierto técnico total;_x000a_      facilita enormemente la escalabilidad si mañana quisieran agregar más_x000a_      datos (como una descripción, marca o categoría) sin romper el código. _x000a_  Pseudocódigo_x000a_      de Alto Nivel: La planeación en Markdown es impecable. El desglose_x000a_      1.0, 2.0, 3.0 es el estándar de oro para asegurar que la lógica sea_x000a_      coherente antes de escribir una sola línea de Python. _x000a_  UX_x000a_      (Experiencia de Usuario): El formato del ticket final (🧾_x000a_      RESUMEN DE TU CARRITO) demuestra que entienden que el código no solo es_x000a_      para la máquina, sino para el usuario final. El uso de ljust y los_x000a_      separadores visuales lo hace lucir profesional. _x000a_  Documentación:_x000a_      Comentar el código &quot;línea a línea&quot; no solo cumple con la_x000a_      instrucción, sino que ayuda a que cualquier persona (incluidos ustedes en_x000a_      el futuro) entienda la lógica al instante. _x000a_  Motivación:  _x000a_Han dominado la base de la Programación Orientada a Objetos. Entender cómo_x000a_encapsular el estado de un carrito dentro de una clase es el primer paso para_x000a_construir sistemas empresariales. Mantengan este rigor; el siguiente paso será_x000a_conectar estas clases con bases de datos reales para que los productos no se_x000a_pierdan al cerrar el programa. ¡Felicitaciones!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atributos de instancia (items, total)_x000a_  y métodos de clase. _x000a_  _x000a_  _x000a_  15.0 _x000a_  _x000a_  _x000a_  15.0 _x000a_  _x000a_ _x000a_ _x000a_  _x000a_  Documentación _x000a_  _x000a_  _x000a_  Explicación clara y detallada de cada línea de código_x000a_  mediante comentarios. _x000a_  _x000a_  _x000a_  10.0 _x000a_  _x000a_  _x000a_  10.0 _x000a_  _x000a_ _x000a_ _x000a_  _x000a_  Funcionalidad _x000a_  _x000a_  _x000a_  Métodos agregar_producto y ver_carrito funcionales y_x000a_  robustos.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7"/>
    <s v="Isabella"/>
    <s v="Carranza Tapiero"/>
    <s v="isabellacata@unisabana.edu.co"/>
    <x v="10"/>
    <d v="2026-03-11T00:00:00"/>
    <x v="2"/>
    <s v="Entregado"/>
    <s v="Retroalimentación de la Entrega: Modelando un Carrito de_x000a_Compras (POO)  Paula Andrea Arciniegas, Valeria Morales e Isabella_x000a_Carranza  Calificación Final: 50/50 (Equivalente a 5.0)  Comentarios del Profesor: _x000a_¡Excelente trabajo, equipo! Han logrado dar el salto de la programación_x000a_estructurada a la Programación Orientada a Objetos (POO) de manera impecable._x000a_Este ejercicio demuestra que comprenden cómo encapsular datos (atributos) y_x000a_acciones (métodos) dentro de una misma entidad.  _x000a_ Puntos_x000a_     Destacados: _x000a_ _x000a_  Autogestión_x000a_      y Planeación: Su pseudocódigo es uno de los más detallados y_x000a_      estructurados que he revisado. El desglose numérico (1.0, 2.1.1, etc.)_x000a_      demuestra un pensamiento lógico riguroso antes de escribir código. _x000a_  Encapsulamiento_x000a_      (self): Entendieron perfectamente que self.total permite que el_x000a_      método ver_carrito() sepa cuánto dinero sumó el método agregar_producto()._x000a_      Comparten la memoria interna del objeto de forma correcta. _x000a_  Uso_x000a_      de Funciones Integradas: La implementación de enumerate(self.items,_x000a_      start=1) en el ciclo for es un toque avanzado y muy elegante para listar_x000a_      los productos. _x000a_  Documentación:_x000a_      El uso de Docstrings (&quot;&quot;&quot; &quot;&quot;&quot;) al_x000a_      inicio de la clase y de los métodos es una excelente práctica profesional_x000a_      que facilita la lectura del código. _x000a_ _x000a_ Oportunidad_x000a_     de Mejora (Para próximos proyectos): _x000a_ _x000a_  En_x000a_      este ejercicio guardaron solo el nombre del producto en la lista self.items._x000a_      Aunque cumple con lo solicitado y el total se calcula bien, en un_x000a_      e-commerce real (o en futuras clases con bases de datos) necesitaremos_x000a_      ver el precio individual de cada ítem en el resumen final. Para el_x000a_      próximo reto, intenten guardar un diccionario en la lista: self.items.append({&quot;nombre&quot;:_x000a_      nombre_producto, &quot;precio&quot;: precio_producto}). _x000a_  Motivación: _x000a_Tienen una base muy sólida en POO. Entender cómo los objetos interactúan_x000a_consigo mismos es el paso más difícil, y ustedes lo han superado con éxito._x000a_¡Sigan con este nivel de excelencia para el resto del Corte 2!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8"/>
    <s v="Samuel David"/>
    <s v="Lozano Holguin"/>
    <s v="samuelloho@unisabana.edu.co"/>
    <x v="10"/>
    <d v="2026-03-11T00:00:00"/>
    <x v="2"/>
    <s v="Entregado"/>
    <s v="Retroalimentación de la Entrega: Tarea Clase 5 -_x000a_Modelando un Carrito de Compras (POO)  Samuel Lozano, Sebastian Vanoy y Samuel Gonzales  Calificación Final: 16/50 (Equivalente a 1.6)  Comentarios del Profesor: Equipo, valoro el esfuerzo en la entrega. El archivo está_x000a_bien estructurado, incluyeron todas las secciones solicitadas (Markdown,_x000a_Pseudocódigo, Código) y demostraron iniciativa al agregar un método adicional (eliminar_producto)._x000a_Sin embargo, el proyecto presenta un error fundamental en la lógica de la_x000a_Programación Orientada a Objetos que debemos corregir de inmediato.  _x000a_ Punto_x000a_     Crítico (Error de Lógica): _x000a_ _x000a_  El_x000a_      error principal está en el constructor (__init__). Un CarritoDeCompras se_x000a_      crea vacío, y los productos (con sus nombres y precios) se añaden después._x000a_      Su diseño actual obliga a crear el carrito con un nombre y precio fijos. _x000a_  Consecuencia:_x000a_      El método agregar_producto suma siempre el mismo precio con el que se_x000a_      creó el objeto, no el precio del producto que se está agregando. Ejemplo:_x000a_      si crean mi_compra con un precio de 10, y luego agregan un_x000a_      &quot;Computador&quot; de 3,000,000, el total solo aumenta en 10. Esto_x000a_      invalida la funcionalidad central del carrito. _x000a_ _x000a_ Oportunidades_x000a_     de Mejora: _x000a_ _x000a_  Planeación:_x000a_      El diagrama de flujo y el pseudocódigo son demasiado genéricos. Debían_x000a_      detallar la lógica específica de la clase CarritoDeCompras, no el proceso_x000a_      general de programar. _x000a_  Requerimientos:_x000a_      Se solicitó un método ver_carrito que mostrara los productos y el total._x000a_      El método calcular_total que crearon solo retorna el valor, pero no_x000a_      cumple con la función de mostrar el listado de ítems. _x000a_  Motivación:  _x000a_Este es un error conceptual muy común y es una excelente oportunidad de_x000a_aprendizaje. Entender por qué el precio debe ser un parámetro del método agregar_producto_x000a_y no del constructor es la clave para dominar la POO. Les pido que revisen la_x000a_solución ideal que compartiré, la comparen con su código y anoten sus dudas_x000a_para la próxima clase. Superar este obstáculo ahora les garantizará el éxito en_x000a_los temas que vienen.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Diagrama específico y coherente con la tarea. _x000a_  _x000a_  _x000a_  10.0 _x000a_  _x000a_  _x000a_  2.0 _x000a_  _x000a_ _x000a_ _x000a_  _x000a_  Encapsulamiento y Estructura _x000a_  _x000a_  _x000a_  Uso correcto de self y definición correcta de la clase y_x000a_  sus métodos. _x000a_  _x000a_  _x000a_  15.0 _x000a_  _x000a_  _x000a_  5.0 _x000a_  _x000a_ _x000a_ _x000a_  _x000a_  Funcionalidad _x000a_  _x000a_  _x000a_  El prototipo realiza las operaciones de agregar y mostrar_x000a_  correctamente. _x000a_  _x000a_  _x000a_  15.0 _x000a_  _x000a_  _x000a_  3.0 _x000a_  _x000a_ _x000a_ _x000a_  _x000a_  Documentación _x000a_  _x000a_  _x000a_  Claridad en las explicaciones línea a línea del código. _x000a_  _x000a_  _x000a_  10.0 _x000a_  _x000a_  _x000a_  6.0 _x000a_  _x000a_ _x000a_ _x000a_  _x000a_  TOTAL _x000a_  _x000a_  _x000a_  _x000a_  50.0 _x000a_  _x000a_  _x000a_  16.0 _x000a_  _x000a_ Diego Mauricio Zuluaga Rodríguez _x000a_Profesor - Departamento de Economía _x000a_Universidad de La Sabana"/>
    <n v="16"/>
    <n v="50"/>
    <n v="0.32"/>
  </r>
  <r>
    <x v="9"/>
    <s v="Sebastian"/>
    <s v="Vanoy Gutierrez"/>
    <s v="sebastianvagu@unisabana.edu.co"/>
    <x v="10"/>
    <d v="2026-03-11T00:00:00"/>
    <x v="2"/>
    <s v="Entregado"/>
    <s v="Retroalimentación de la Entrega: Tarea Clase 5 -_x000a_Modelando un Carrito de Compras (POO)  Samuel Lozano, Sebastian Vanoy y Samuel Gonzales  Calificación Final: 16/50 (Equivalente a 1.6)  Comentarios del Profesor: Equipo, valoro el esfuerzo en la entrega. El archivo está_x000a_bien estructurado, incluyeron todas las secciones solicitadas (Markdown,_x000a_Pseudocódigo, Código) y demostraron iniciativa al agregar un método adicional (eliminar_producto)._x000a_Sin embargo, el proyecto presenta un error fundamental en la lógica de la_x000a_Programación Orientada a Objetos que debemos corregir de inmediato.  _x000a_ Punto_x000a_     Crítico (Error de Lógica): _x000a_ _x000a_  El_x000a_      error principal está en el constructor (__init__). Un CarritoDeCompras se_x000a_      crea vacío, y los productos (con sus nombres y precios) se añaden después._x000a_      Su diseño actual obliga a crear el carrito con un nombre y precio fijos. _x000a_  Consecuencia:_x000a_      El método agregar_producto suma siempre el mismo precio con el que se_x000a_      creó el objeto, no el precio del producto que se está agregando. Ejemplo:_x000a_      si crean mi_compra con un precio de 10, y luego agregan un_x000a_      &quot;Computador&quot; de 3,000,000, el total solo aumenta en 10. Esto_x000a_      invalida la funcionalidad central del carrito. _x000a_ _x000a_ Oportunidades_x000a_     de Mejora: _x000a_ _x000a_  Planeación:_x000a_      El diagrama de flujo y el pseudocódigo son demasiado genéricos. Debían_x000a_      detallar la lógica específica de la clase CarritoDeCompras, no el proceso_x000a_      general de programar. _x000a_  Requerimientos:_x000a_      Se solicitó un método ver_carrito que mostrara los productos y el total._x000a_      El método calcular_total que crearon solo retorna el valor, pero no_x000a_      cumple con la función de mostrar el listado de ítems. _x000a_  Motivación:  _x000a_Este es un error conceptual muy común y es una excelente oportunidad de_x000a_aprendizaje. Entender por qué el precio debe ser un parámetro del método agregar_producto_x000a_y no del constructor es la clave para dominar la POO. Les pido que revisen la_x000a_solución ideal que compartiré, la comparen con su código y anoten sus dudas_x000a_para la próxima clase. Superar este obstáculo ahora les garantizará el éxito en_x000a_los temas que vienen.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Diagrama específico y coherente con la tarea. _x000a_  _x000a_  _x000a_  10.0 _x000a_  _x000a_  _x000a_  2.0 _x000a_  _x000a_ _x000a_ _x000a_  _x000a_  Encapsulamiento y Estructura _x000a_  _x000a_  _x000a_  Uso correcto de self y definición correcta de la clase y_x000a_  sus métodos. _x000a_  _x000a_  _x000a_  15.0 _x000a_  _x000a_  _x000a_  5.0 _x000a_  _x000a_ _x000a_ _x000a_  _x000a_  Funcionalidad _x000a_  _x000a_  _x000a_  El prototipo realiza las operaciones de agregar y mostrar_x000a_  correctamente. _x000a_  _x000a_  _x000a_  15.0 _x000a_  _x000a_  _x000a_  3.0 _x000a_  _x000a_ _x000a_ _x000a_  _x000a_  Documentación _x000a_  _x000a_  _x000a_  Claridad en las explicaciones línea a línea del código. _x000a_  _x000a_  _x000a_  10.0 _x000a_  _x000a_  _x000a_  6.0 _x000a_  _x000a_ _x000a_ _x000a_  _x000a_  TOTAL _x000a_  _x000a_  _x000a_  _x000a_  50.0 _x000a_  _x000a_  _x000a_  16.0 _x000a_  _x000a_ Diego Mauricio Zuluaga Rodríguez _x000a_Profesor - Departamento de Economía _x000a_Universidad de La Sabana"/>
    <n v="16"/>
    <n v="50"/>
    <n v="0.32"/>
  </r>
  <r>
    <x v="10"/>
    <s v="Jose Daniel"/>
    <s v="Escobar Hurtado"/>
    <s v="joseeshu@unisabana.edu.co"/>
    <x v="10"/>
    <d v="2026-03-11T00:00:00"/>
    <x v="2"/>
    <s v="Entregado"/>
    <s v="Retroalimentación de la Entrega: Modelando un Carrito de_x000a_Compras (POO)  Juan David Neuta, Laura Fernanda Lopez y Jose Daniel_x000a_Escobar,  Calificación Final: 50/50 (Equivalente a 5.0)  Comentarios del Profesor: Equipo, han entregado un trabajo que va más allá de lo_x000a_solicitado, demostrando una excelente capacidad de investigación y un alto_x000a_nivel de autogestión. La lógica de POO es impecable, pero lo que realmente_x000a_destaca es la atención a la Experiencia de Usuario (UX) en la consola.  _x000a_ Puntos_x000a_     Destacados: _x000a_ _x000a_  Autogestión_x000a_      y Creatividad (Valor Agregado): La implementación de la clase bcolors_x000a_      para darle formato y color a la salida de la terminal es un detalle de_x000a_      nivel avanzado. Esto demuestra que están explorando el ecosistema de_x000a_      Python más allá de lo visto en clase. _x000a_  Planeación_x000a_      y Documentación: El pseudocódigo es claro y coincide perfectamente_x000a_      con la implementación final. Además, el uso de emojis en los comentarios_x000a_      (#) hace que el código sea muy amigable y fácil de leer. _x000a_  Encapsulamiento_x000a_      y Funcionalidad: La estructura de la clase CarritoDeCompras, el uso_x000a_      de self y los métodos agregar_producto y ver_carrito son técnicamente_x000a_      perfectos. _x000a_ _x000a_ Oportunidad_x000a_     de Mejora (Para próximos proyectos): _x000a_ _x000a_  Al_x000a_      igual que otros grupos, guardaron solo el nombre del producto en_x000a_      la lista self.items. Para el próximo reto, intenten guardar un diccionario_x000a_      en la lista: self.items.append({&quot;nombre&quot;: nombre_producto,_x000a_      &quot;precio&quot;: precio_producto}). Esto les permitirá mostrar el_x000a_      precio individual de cada producto en el resumen final. _x000a_  En_x000a_      el print del total, recuerden usar el formato de f-string para limitar_x000a_      los decimales a dos, como se hace en finanzas: print(f&quot;Total:_x000a_      ${self.total:.2f}&quot;). _x000a_  Motivación:  _x000a_Tienen una excelente base en POO y, lo más importante, la curiosidad para_x000a_investigar y aplicar conceptos nuevos por su cuenta. Esa proactividad es lo que_x000a_distingue a un buen programador de uno excepcional. ¡Mantengan esa energía para_x000a_el resto del Corte 2!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11"/>
    <s v="Maria Jose"/>
    <s v="Botero Galviz"/>
    <s v="mariabotga@unisabana.edu.co"/>
    <x v="10"/>
    <d v="2026-03-11T00:00:00"/>
    <x v="2"/>
    <s v="Entregado"/>
    <s v="Retroalimentación de la Entrega: Modelando un Carrito de_x000a_Compras (POO)  Valery Linares Hernandez y Maria Jose Botero Galviz  Calificación Final: 50/50 (Equivalente a 5.0)  Comentarios del Profesor: _x000a_Equipo, esta es una entrega de nivel excepcional. Han demostrado no solo que_x000a_pueden seguir instrucciones, sino que pueden pensar como arquitectos de_x000a_software, anticipando problemas y escribiendo código limpio, eficiente y_x000a_robusto. _x000a_ Puntos_x000a_     Destacados (Lo que los diferencia): _x000a_ _x000a_  Autogestión_x000a_      y Planeación: El pseudocódigo es impecable y demuestra que diseñaron_x000a_      la solución completa, incluyendo validaciones y métodos auxiliares, antes_x000a_      de programar. _x000a_  Robustez_x000a_      del Código (Sanity Check): La validación if not isinstance(...) para_x000a_      el precio es una práctica de &quot;programación defensiva&quot; de nivel_x000a_      profesional. Evita que el programa colapse si el usuario ingresa texto o_x000a_      un precio negativo. Excelente iniciativa. _x000a_  Código_x000a_      &quot;Pythónico&quot; Avanzado: El uso de enumerate con_x000a_      desempaquetado de tuplas (for posicion, (nombre, precio) in_x000a_      enumerate(...)) es una técnica elegante y muy eficiente que demuestra un_x000a_      dominio superior del lenguaje. _x000a_  UX_x000a_      y Profesionalismo: El método auxiliar _formatear_moneda para_x000a_      estandarizar la salida de dinero es una decisión de diseño brillante._x000a_      Muestra que están pensando en la experiencia del usuario final y en la_x000a_      mantenibilidad del código (principio DRY). _x000a_ _x000a_ Oportunidad_x000a_     de Mejora (El Siguiente Nivel): _x000a_ _x000a_  Su_x000a_      código es tan sólido que el siguiente paso natural es aplicar los_x000a_      conceptos de la Clase 6. ¿Cómo se vería esto si tuvieran una clase Producto_x000a_      de la que heredan ProductoFisico y ProductoDigital? ¿Cómo protegerían el total_x000a_      con encapsulamiento (__total) para que solo pueda ser modificado por los_x000a_      métodos de la clase? Sigan por esa línea de pensamiento. _x000a_  Motivación: _x000a_Este es el nivel de calidad que los diferenciará en el mercado laboral. Han_x000a_demostrado una capacidad de abstracción y atención al detalle que va más allá_x000a_de lo esperado. ¡Felicitaciones por una entrega sobresaliente!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12"/>
    <s v="Maria Juliana"/>
    <s v="Mejia Quintero"/>
    <s v="mariamequ@unisabana.edu.co"/>
    <x v="10"/>
    <d v="2026-03-11T00:00:00"/>
    <x v="2"/>
    <s v="Entregado"/>
    <s v="Retroalimentación de la Entrega: Carrito de Compras (POO)  Maria Juliana Mejia, Maria Juliana Herrera y Mariana_x000a_Carmona  Calificación Final: 45/50 (Equivalente a 4.5)  Comentarios del Profesor: Equipo, el ejercicio es funcional y cumple con la lógica_x000a_solicitada, pero debo hacerles una observación técnica importante sobre la_x000a_estructura de sus archivos .ipynb.  _x000a_ Puntos_x000a_     Destacados: _x000a_ _x000a_  Planeación:_x000a_      Excelente uso de etiquetas XML (&amp;lt;planeacion&amp;gt;) para estructurar el_x000a_      pseudocódigo. Es una forma muy ordenada de documentar el pensamiento_x000a_      lógico. _x000a_  Funcionalidad:_x000a_      El objeto mi_compra interactúa correctamente con los métodos y el ciclo for_x000a_      en ver_carrito es impecable. _x000a_  Documentación:_x000a_      Comentaron cada línea de código de forma clara y coherente con las_x000a_      instrucciones. _x000a_ _x000a_ Observación_x000a_     de Autogestión (Estructura de Notebooks): _x000a_     En sus celdas de código, definieron la clase CarritoDeCompras de forma_x000a_     fragmentada (celdas 2 y 3 separadas de la declaración inicial). Si un_x000a_     estudiante o un colega intenta ejecutar solo la celda final, el código_x000a_     fallará porque no está todo integrado en un solo bloque coherente. _x000a_ _x000a_  Consejo:_x000a_      En Jupyter Notebooks, siempre asegúrense de que el bloque completo de la_x000a_      clase esté en una sola celda para garantizar que el objeto pueda ser_x000a_      instanciado sin errores de referencia. _x000a_  Motivación:  _x000a_Tienen una capacidad lógica muy alta y su código es limpio. Corrigiendo el_x000a_detalle de la estructura de las celdas, sus entregas serán perfectas._x000a_¡Excelente desempeño en esta transición a la POO!  Rúbrica de Calificación _x000a_ _x000a_  _x000a_  Criterio de Evaluación _x000a_  _x000a_  _x000a_  Descripción Técnica _x000a_  _x000a_  _x000a_  Puntaje Máximo _x000a_  _x000a_  _x000a_  Puntaje Obtenido _x000a_  _x000a_ _x000a_ _x000a_  _x000a_  Planeación _x000a_  _x000a_  _x000a_  Pseudocódigo claro, estructurado y presentado en Markdown. _x000a_  _x000a_  _x000a_  10.0 _x000a_  _x000a_  _x000a_  10.0 _x000a_  _x000a_ _x000a_ _x000a_  _x000a_  Encapsulamiento _x000a_  _x000a_  _x000a_  Estructura de clase correcta con __init__, self y métodos_x000a_  definidos. _x000a_  _x000a_  _x000a_  15.0 _x000a_  _x000a_  _x000a_  15.0 _x000a_  _x000a_ _x000a_ _x000a_  _x000a_  Documentación _x000a_  _x000a_  _x000a_  Comentarios explicativos en cada línea del código. _x000a_  _x000a_  _x000a_  10.0 _x000a_  _x000a_  _x000a_  10.0 _x000a_  _x000a_ _x000a_ _x000a_  _x000a_  Funcionalidad _x000a_  _x000a_  _x000a_  El código corre sin errores y cumple con las operaciones_x000a_  solicitadas. _x000a_  _x000a_  _x000a_  15.0 _x000a_  _x000a_  _x000a_  10.0 _x000a_  _x000a_ _x000a_ _x000a_  _x000a_  TOTAL _x000a_  _x000a_  _x000a_  _x000a_  50.0 _x000a_  _x000a_  _x000a_  45.0 _x000a_  _x000a_ (La penalización de 5 puntos se debe a que el código_x000a_estaba fragmentado en múltiples celdas, lo que compromete la integridad y_x000a_ejecución limpia del prototipo). Diego Mauricio Zuluaga Rodríguez _x000a_Profesor - Departamento de Economía _x000a_Universidad de La Sabana"/>
    <n v="45"/>
    <n v="50"/>
    <n v="0.9"/>
  </r>
  <r>
    <x v="13"/>
    <s v="Alejandra"/>
    <s v="Leon Vargas"/>
    <s v="alejandraleva@unisabana.edu.co"/>
    <x v="10"/>
    <d v="2026-03-11T00:00:00"/>
    <x v="2"/>
    <s v="Entregado"/>
    <s v="Retroalimentación de la Entrega: Modelando un Carrito de_x000a_Compras (POO)  Alejandra Leon Vargas y Sofia Giraldo Pico  Calificación Final: 50/50 (Equivalente a 5.0)  Comentarios del Profesor:  _x000a_¡Trabajo excepcional, equipo! Han entregado un prototipo que no solo cumple,_x000a_sino que supera con creces las expectativas del ejercicio. Demuestran una_x000a_comprensión profunda de la POO y una atención al detalle digna de un software_x000a_profesional.  _x000a_ Puntos_x000a_     Destacados (Nivel Avanzado): _x000a_ _x000a_  Programación_x000a_      Defensiva: La validación de precios (isinstance y precio &amp;lt;= 0) es_x000a_      una práctica de nivel superior. Al incluirla, se aseguraron de que el_x000a_      programa no colapse ni acepte datos ilógicos, un &quot;Sanity Check&quot;_x000a_      fundamental en cualquier aplicación financiera. _x000a_  Principio_x000a_      DRY (Don't Repeat Yourself): La creación de un método auxiliar (_formatear_moneda)_x000a_      para centralizar la lógica de formato de moneda es una técnica de_x000a_      arquitecto de software. Esto hace que el código sea más limpio, fácil de_x000a_      mantener y escalable. _x000a_  Autogestión_x000a_      y Planeación: El pseudocódigo es claro, detallado y se alinea_x000a_      perfectamente con la implementación final. Demuestra que invirtieron_x000a_      tiempo en el diseño antes de la codificación. _x000a_  Documentación_x000a_      y UX: El código está impecablemente documentado, y la presentación de_x000a_      los resultados en la consola es limpia y muy profesional. _x000a_  Motivación:  _x000a_Este es el estándar de excelencia que buscamos en el curso. Han demostrado que_x000a_no solo pueden seguir instrucciones, sino que pueden anticipar problemas y_x000a_diseñar soluciones elegantes y robustas. Si mantienen este nivel de pensamiento_x000a_crítico y rigurosidad técnica, están más que preparadas para los retos de bases_x000a_de datos y análisis que vienen en el resto del semestre. ¡Felicitaciones!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y estructura de la clase, incluyendo_x000a_  métodos auxiliares.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Prototipo funcional con validaciones de datos y formato de_x000a_  salida profesional.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14"/>
    <s v="Alessandro Di Mauro"/>
    <s v="Bonilla Correa"/>
    <s v="alessandroboco@unisabana.edu.co"/>
    <x v="10"/>
    <d v="2026-03-11T00:00:00"/>
    <x v="2"/>
    <s v="Entregado"/>
    <s v="Retroalimentación de la Entrega: Modelando un Carrito de_x000a_Compras (POO)  Gabriela Ruiz, María José Huertas y Alessandro Bonilla  Calificación Final: 40/50 (Equivalente a 4.0)  Comentarios del Profesor: _x000a_Equipo, he revisado su entrega y tengo dos observaciones muy importantes: una_x000a_excelente a nivel técnico y una crítica a nivel de autogestión. _x000a_ Lo_x000a_     Excelente (Técnica y Funcionalidad): _x000a_     A nivel de código, su trabajo es impecable. Comprendieron a la perfección_x000a_     cómo funciona la Programación Orientada a Objetos. El uso de tuplas (nombre_producto,_x000a_     precio_producto) dentro de la lista self.items es una decisión de diseño_x000a_     brillante y muy eficiente. Además, la documentación línea por línea es_x000a_     clara y demuestra que entienden exactamente qué hace cada instrucción. Por_x000a_     la parte técnica, merecen un 5.0. _x000a_ La_x000a_     Oportunidad de Mejora (Autogestión y Planeación): _x000a_     Lamentablemente, omitieron la Regla de Oro de esta entrega. Las_x000a_     instrucciones indicaban explícitamente: &quot;Planeación Obligatoria:_x000a_     Antes de escribir una sola línea de código, deben realizar el Pseudocódigo_x000a_     o Diagrama de Flujo... incluido en la primera celda&quot;. Su celda de_x000a_     Markdown solo tiene el título. Como hemos hablado desde el Corte 1, en este curso (y en la_x000a_vida profesional) seguir las instrucciones y planear antes de ejecutar es_x000a_innegociable. Un buen CTO diseña la arquitectura antes de programar. Esta_x000a_omisión les cuesta la totalidad de los puntos de la rúbrica de Planeación.  Motivación: _x000a_Ustedes tienen una capacidad técnica altísima, el código que escribieron lo_x000a_demuestra. No permitan que saltarse un paso en las instrucciones afecte su_x000a_promedio. Tienen todo el potencial para liderar la curva de notas en este Corte_x000a_2. ¡Asegúrense de incluir la planeación en el próximo reto y el 5.0 será suy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0.0 (No se incluyó pseudocódigo ni diagrama)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funcionales. Excelente uso de tuplas para_x000a_  almacenar los datos del producto. _x000a_  _x000a_  _x000a_  15.0 _x000a_  _x000a_  _x000a_  15.0 _x000a_  _x000a_ _x000a_ _x000a_  _x000a_  TOTAL _x000a_  _x000a_  _x000a_  _x000a_  50.0 _x000a_  _x000a_  _x000a_  40.0 _x000a_  _x000a_ Diego Mauricio Zuluaga Rodríguez _x000a_Profesor - Departamento de Economía _x000a_Universidad de La Sabana"/>
    <n v="40"/>
    <n v="50"/>
    <n v="0.8"/>
  </r>
  <r>
    <x v="15"/>
    <s v="Arianne Mariana"/>
    <s v="Amorocho Quiroga"/>
    <s v="arianneamqu@unisabana.edu.co"/>
    <x v="10"/>
    <d v="2026-03-11T00:00:00"/>
    <x v="2"/>
    <s v="Entregado"/>
    <s v="El archivo adjunto no contiene la solución de la tarea."/>
    <n v="0"/>
    <n v="50"/>
    <n v="0"/>
  </r>
  <r>
    <x v="16"/>
    <s v="Maria Juliana"/>
    <s v="Herrera Pulido"/>
    <s v="mariahepu@unisabana.edu.co"/>
    <x v="10"/>
    <d v="2026-03-11T00:00:00"/>
    <x v="2"/>
    <s v="Entregado"/>
    <s v="Retroalimentación de la Entrega: Carrito de Compras (POO)  Maria Juliana Mejia, Maria Juliana Herrera y Mariana_x000a_Carmona  Calificación Final: 45/50 (Equivalente a 4.5)  Comentarios del Profesor: Equipo, el ejercicio es funcional y cumple con la lógica_x000a_solicitada, pero debo hacerles una observación técnica importante sobre la_x000a_estructura de sus archivos .ipynb.  _x000a_ Puntos_x000a_     Destacados: _x000a_ _x000a_  Planeación:_x000a_      Excelente uso de etiquetas XML (&amp;lt;planeacion&amp;gt;) para estructurar el_x000a_      pseudocódigo. Es una forma muy ordenada de documentar el pensamiento_x000a_      lógico. _x000a_  Funcionalidad:_x000a_      El objeto mi_compra interactúa correctamente con los métodos y el ciclo for_x000a_      en ver_carrito es impecable. _x000a_  Documentación:_x000a_      Comentaron cada línea de código de forma clara y coherente con las_x000a_      instrucciones. _x000a_ _x000a_ Observación_x000a_     de Autogestión (Estructura de Notebooks): _x000a_     En sus celdas de código, definieron la clase CarritoDeCompras de forma_x000a_     fragmentada (celdas 2 y 3 separadas de la declaración inicial). Si un_x000a_     estudiante o un colega intenta ejecutar solo la celda final, el código_x000a_     fallará porque no está todo integrado en un solo bloque coherente. _x000a_ _x000a_  Consejo:_x000a_      En Jupyter Notebooks, siempre asegúrense de que el bloque completo de la_x000a_      clase esté en una sola celda para garantizar que el objeto pueda ser_x000a_      instanciado sin errores de referencia. _x000a_  Motivación:  _x000a_Tienen una capacidad lógica muy alta y su código es limpio. Corrigiendo el_x000a_detalle de la estructura de las celdas, sus entregas serán perfectas._x000a_¡Excelente desempeño en esta transición a la POO!  Rúbrica de Calificación _x000a_ _x000a_  _x000a_  Criterio de Evaluación _x000a_  _x000a_  _x000a_  Descripción Técnica _x000a_  _x000a_  _x000a_  Puntaje Máximo _x000a_  _x000a_  _x000a_  Puntaje Obtenido _x000a_  _x000a_ _x000a_ _x000a_  _x000a_  Planeación _x000a_  _x000a_  _x000a_  Pseudocódigo claro, estructurado y presentado en Markdown. _x000a_  _x000a_  _x000a_  10.0 _x000a_  _x000a_  _x000a_  10.0 _x000a_  _x000a_ _x000a_ _x000a_  _x000a_  Encapsulamiento _x000a_  _x000a_  _x000a_  Estructura de clase correcta con __init__, self y métodos_x000a_  definidos. _x000a_  _x000a_  _x000a_  15.0 _x000a_  _x000a_  _x000a_  15.0 _x000a_  _x000a_ _x000a_ _x000a_  _x000a_  Documentación _x000a_  _x000a_  _x000a_  Comentarios explicativos en cada línea del código. _x000a_  _x000a_  _x000a_  10.0 _x000a_  _x000a_  _x000a_  10.0 _x000a_  _x000a_ _x000a_ _x000a_  _x000a_  Funcionalidad _x000a_  _x000a_  _x000a_  El código corre sin errores y cumple con las operaciones_x000a_  solicitadas. _x000a_  _x000a_  _x000a_  15.0 _x000a_  _x000a_  _x000a_  10.0 _x000a_  _x000a_ _x000a_ _x000a_  _x000a_  TOTAL _x000a_  _x000a_  _x000a_  _x000a_  50.0 _x000a_  _x000a_  _x000a_  45.0 _x000a_  _x000a_ (La penalización de 5 puntos se debe a que el código_x000a_estaba fragmentado en múltiples celdas, lo que compromete la integridad y_x000a_ejecución limpia del prototipo). Diego Mauricio Zuluaga Rodríguez _x000a_Profesor - Departamento de Economía _x000a_Universidad de La Sabana"/>
    <n v="45"/>
    <n v="50"/>
    <n v="0.9"/>
  </r>
  <r>
    <x v="17"/>
    <s v="Simon Gustavo"/>
    <s v="Restrepo Alvarez"/>
    <s v="simonreal@unisabana.edu.co"/>
    <x v="10"/>
    <d v="2026-03-11T00:00:00"/>
    <x v="2"/>
    <s v="Entregado"/>
    <s v="Retroalimentación de la Entrega: Modelando un Carrito de_x000a_Compras (POO)  Simón Restrepo, Mateo Pérez y Diego Hermida  Calificación Final: 50/50 (Equivalente a 5.0)  Comentarios del Profesor: ¡Excelente trabajo, equipo! Han entregado una solución que_x000a_refleja una comprensión profunda de la Programación Orientada a Objetos. El_x000a_código no solo es funcional, sino que cumple con todos los estándares de buenas_x000a_prácticas que hemos discutido en clase.  _x000a_ Puntos_x000a_     Destacados: _x000a_ _x000a_  Planeación_x000a_      Rigurosa: El pseudocódigo en Markdown es impecable. Siguieron al pie_x000a_      de la letra la instrucción de planificar la lógica antes de programar, lo_x000a_      cual es la marca de un profesional en desarrollo. _x000a_  Documentación_x000a_      de Alta Calidad: Documentaron absolutamente cada línea del código._x000a_      Esto no solo facilita la corrección, sino que demuestra que entienden la_x000a_      intención detrás de cada instrucción. _x000a_  Limpieza_x000a_      y UX: El uso de enumerate(self.items, start=1) es una práctica_x000a_      excelente para mejorar la experiencia del usuario final al listar los_x000a_      productos. La presentación del ver_carrito() es profesional y limpia. _x000a_  Estructura_x000a_      de la Clase: La encapsulación de los atributos self.items y self.total_x000a_      es correcta, permitiendo que el objeto mantenga su propio estado de forma_x000a_      autónoma. _x000a_ _x000a_ Oportunidad_x000a_     de Mejora: _x000a_ _x000a_  El_x000a_      código es funcional y cumple con lo solicitado. Como reto adicional para_x000a_      futuros módulos, les sugiero intentar manejar los errores de entrada con try-except_x000a_      (por si el precio no fuera un número) y explorar cómo guardar el producto_x000a_      como un diccionario dentro de la lista para tener más control sobre las_x000a_      propiedades de cada artículo. _x000a_  Motivación:  _x000a_Han demostrado un nivel de madurez técnica muy alto en esta actividad. Esta_x000a_forma de trabajar (planear, codificar y comentar) es la que les permitirá_x000a_afrontar con éxito los temas de Bases de Datos y Power BI que vienen a_x000a_continuación. ¡Sigan con este nivel de rigor!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y coherente con la implementación_x000a_  final. _x000a_  _x000a_  _x000a_  10.0 _x000a_  _x000a_  _x000a_  10.0 _x000a_  _x000a_ _x000a_ _x000a_  _x000a_  Encapsulamiento _x000a_  _x000a_  _x000a_  Uso correcto de self para manejar atributos de instancia. _x000a_  _x000a_  _x000a_  15.0 _x000a_  _x000a_  _x000a_  15.0 _x000a_  _x000a_ _x000a_ _x000a_  _x000a_  Documentación _x000a_  _x000a_  _x000a_  Explicación detallada línea a línea de todo el script. _x000a_  _x000a_  _x000a_  10.0 _x000a_  _x000a_  _x000a_  10.0 _x000a_  _x000a_ _x000a_ _x000a_  _x000a_  Funcionalidad _x000a_  _x000a_  _x000a_  Métodos agregar_producto y ver_carrito funcionales. Prueba_x000a_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18"/>
    <s v="Daniel Felipe"/>
    <s v="Camacho Pedraza"/>
    <s v="danielcampe@unisabana.edu.co"/>
    <x v="10"/>
    <d v="2026-03-11T00:00:00"/>
    <x v="2"/>
    <s v="Entregado"/>
    <s v="Camacho Pedraza, Daniel Felipe  Le escribo para informarle que no se registró la entrega_x000a_de la &quot;Tarea Clase 5: Modelando un Carrito de Compras (POO)&quot;_x000a_antes de la fecha límite establecida.  Conforme a las reglas de autogestión y el contrato_x000a_pedagógico del curso, la nota registrada para esta actividad es 0.0 y no_x000a_es modificable.  Más allá del impacto en la nota, mi principal preocupación_x000a_es el vacío conceptual que esta omisión genera. La tarea de la Clase 5_x000a_era el pilar fundamental para introducirse en la Programación Orientada a_x000a_Objetos (POO). Sin haber modelado su primera clase, los temas que veremos en la_x000a_Clase 6 (Herencia, Polimorfismo y Arquitectura de Software) serán_x000a_extremadamente difíciles de asimilar.  Estructurar una clase es el prerrequisito para poder_x000a_conectar la lógica con bases de datos SQL, que es el objetivo final del Corte_x000a_2.  Plan de Acción Urgente (Requerido):  Para que puedan seguir el ritmo del curso, es imperativo_x000a_que realicen las siguientes acciones antes de la próxima clase:  _x000a_ Revisar_x000a_     la solución ideal que ya fue compartida en el módulo de la clase._x000a_     Analicen la estructura, el uso de self y la lógica de los métodos. _x000a_ Realizar_x000a_     el ejercicio por su cuenta (aunque no tenga calificación). La única_x000a_     forma de entender POO es programando. _x000a_ Llegar_x000a_     a la Clase 6 habiendo entendido los conceptos de clase, __init__, self,_x000a_     atributos y métodos.  Mi objetivo es que no se queden atrás en el contenido, que_x000a_es acumulativo. Espero su compromiso para nivelarse esta semana.  Diego Mauricio Zuluaga Rodríguez _x000a_Profesor - Departamento de Economía _x000a_Universidad de La Sabana"/>
    <n v="0"/>
    <n v="50"/>
    <n v="0"/>
  </r>
  <r>
    <x v="19"/>
    <s v="Mateo"/>
    <s v="Perez Daza"/>
    <s v="mateopeda@unisabana.edu.co"/>
    <x v="10"/>
    <d v="2026-03-11T00:00:00"/>
    <x v="2"/>
    <s v="Entregado"/>
    <s v="Retroalimentación de la Entrega: Modelando un Carrito de_x000a_Compras (POO)  Simón Restrepo, Mateo Pérez y Diego Hermida  Calificación Final: 50/50 (Equivalente a 5.0)  Comentarios del Profesor: ¡Excelente trabajo, equipo! Han entregado una solución que_x000a_refleja una comprensión profunda de la Programación Orientada a Objetos. El_x000a_código no solo es funcional, sino que cumple con todos los estándares de buenas_x000a_prácticas que hemos discutido en clase.  _x000a_ Puntos_x000a_     Destacados: _x000a_ _x000a_  Planeación_x000a_      Rigurosa: El pseudocódigo en Markdown es impecable. Siguieron al pie_x000a_      de la letra la instrucción de planificar la lógica antes de programar, lo_x000a_      cual es la marca de un profesional en desarrollo. _x000a_  Documentación_x000a_      de Alta Calidad: Documentaron absolutamente cada línea del código._x000a_      Esto no solo facilita la corrección, sino que demuestra que entienden la_x000a_      intención detrás de cada instrucción. _x000a_  Limpieza_x000a_      y UX: El uso de enumerate(self.items, start=1) es una práctica_x000a_      excelente para mejorar la experiencia del usuario final al listar los_x000a_      productos. La presentación del ver_carrito() es profesional y limpia. _x000a_  Estructura_x000a_      de la Clase: La encapsulación de los atributos self.items y self.total_x000a_      es correcta, permitiendo que el objeto mantenga su propio estado de forma_x000a_      autónoma. _x000a_ _x000a_ Oportunidad_x000a_     de Mejora: _x000a_ _x000a_  El_x000a_      código es funcional y cumple con lo solicitado. Como reto adicional para_x000a_      futuros módulos, les sugiero intentar manejar los errores de entrada con try-except_x000a_      (por si el precio no fuera un número) y explorar cómo guardar el producto_x000a_      como un diccionario dentro de la lista para tener más control sobre las_x000a_      propiedades de cada artículo. _x000a_  Motivación:  _x000a_Han demostrado un nivel de madurez técnica muy alto en esta actividad. Esta_x000a_forma de trabajar (planear, codificar y comentar) es la que les permitirá_x000a_afrontar con éxito los temas de Bases de Datos y Power BI que vienen a_x000a_continuación. ¡Sigan con este nivel de rigor!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y coherente con la implementación_x000a_  final. _x000a_  _x000a_  _x000a_  10.0 _x000a_  _x000a_  _x000a_  10.0 _x000a_  _x000a_ _x000a_ _x000a_  _x000a_  Encapsulamiento _x000a_  _x000a_  _x000a_  Uso correcto de self para manejar atributos de instancia. _x000a_  _x000a_  _x000a_  15.0 _x000a_  _x000a_  _x000a_  15.0 _x000a_  _x000a_ _x000a_ _x000a_  _x000a_  Documentación _x000a_  _x000a_  _x000a_  Explicación detallada línea a línea de todo el script. _x000a_  _x000a_  _x000a_  10.0 _x000a_  _x000a_  _x000a_  10.0 _x000a_  _x000a_ _x000a_ _x000a_  _x000a_  Funcionalidad _x000a_  _x000a_  _x000a_  Métodos agregar_producto y ver_carrito funcionales. Prueba_x000a_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0"/>
    <s v="Matias"/>
    <s v="Mondragon Osorio"/>
    <s v="matiasmoos@unisabana.edu.co"/>
    <x v="10"/>
    <d v="2026-03-11T00:00:00"/>
    <x v="2"/>
    <s v="Entregado"/>
    <s v="Retroalimentación de la Entrega: Clase 6 - Carrito de_x000a_Compras (POO)  Mariana Peña, Matías Mondragón y Arianne Amorocho  Calificación Final: 50/50  Comentarios del Profesor: ¡Excelente trabajo, equipo! Han alcanzado un nivel de_x000a_madurez técnica muy alto. Esta entrega es un ejemplo perfecto de cómo se debe_x000a_estructurar un proyecto de software: desde el pensamiento lógico inicial hasta_x000a_la implementación limpia y profesional.  _x000a_ Puntos_x000a_     Destacados: _x000a_ _x000a_  Arquitectura_x000a_      de Datos: A diferencia de soluciones básicas, ustedes decidieron_x000a_      almacenar los items como diccionarios dentro de la lista ({&quot;producto&quot;:_x000a_      nombre, &quot;precio&quot;: precio}). Esto es un acierto técnico total;_x000a_      facilita enormemente la escalabilidad si mañana quisieran agregar más_x000a_      datos (como una descripción, marca o categoría) sin romper el código. _x000a_  Pseudocódigo_x000a_      de Alto Nivel: La planeación en Markdown es impecable. El desglose_x000a_      1.0, 2.0, 3.0 es el estándar de oro para asegurar que la lógica sea_x000a_      coherente antes de escribir una sola línea de Python. _x000a_  UX_x000a_      (Experiencia de Usuario): El formato del ticket final (🧾_x000a_      RESUMEN DE TU CARRITO) demuestra que entienden que el código no solo es_x000a_      para la máquina, sino para el usuario final. El uso de ljust y los_x000a_      separadores visuales lo hace lucir profesional. _x000a_  Documentación:_x000a_      Comentar el código &quot;línea a línea&quot; no solo cumple con la_x000a_      instrucción, sino que ayuda a que cualquier persona (incluidos ustedes en_x000a_      el futuro) entienda la lógica al instante. _x000a_  Motivación:  _x000a_Han dominado la base de la Programación Orientada a Objetos. Entender cómo_x000a_encapsular el estado de un carrito dentro de una clase es el primer paso para_x000a_construir sistemas empresariales. Mantengan este rigor; el siguiente paso será_x000a_conectar estas clases con bases de datos reales para que los productos no se_x000a_pierdan al cerrar el programa. ¡Felicitaciones!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atributos de instancia (items, total)_x000a_  y métodos de clase. _x000a_  _x000a_  _x000a_  15.0 _x000a_  _x000a_  _x000a_  15.0 _x000a_  _x000a_ _x000a_ _x000a_  _x000a_  Documentación _x000a_  _x000a_  _x000a_  Explicación clara y detallada de cada línea de código_x000a_  mediante comentarios. _x000a_  _x000a_  _x000a_  10.0 _x000a_  _x000a_  _x000a_  10.0 _x000a_  _x000a_ _x000a_ _x000a_  _x000a_  Funcionalidad _x000a_  _x000a_  _x000a_  Métodos agregar_producto y ver_carrito funcionales y_x000a_  robustos.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1"/>
    <s v="Juan David"/>
    <s v="Neuta Medina"/>
    <s v="juanneme@unisabana.edu.co"/>
    <x v="10"/>
    <d v="2026-03-11T00:00:00"/>
    <x v="2"/>
    <s v="Entregado"/>
    <s v="Retroalimentación de la Entrega: Modelando un Carrito de_x000a_Compras (POO)  Juan David Neuta, Laura Fernanda Lopez y Jose Daniel_x000a_Escobar,  Calificación Final: 50/50 (Equivalente a 5.0)  Comentarios del Profesor: Equipo, han entregado un trabajo que va más allá de lo_x000a_solicitado, demostrando una excelente capacidad de investigación y un alto_x000a_nivel de autogestión. La lógica de POO es impecable, pero lo que realmente_x000a_destaca es la atención a la Experiencia de Usuario (UX) en la consola.  _x000a_ Puntos_x000a_     Destacados: _x000a_ _x000a_  Autogestión_x000a_      y Creatividad (Valor Agregado): La implementación de la clase bcolors_x000a_      para darle formato y color a la salida de la terminal es un detalle de_x000a_      nivel avanzado. Esto demuestra que están explorando el ecosistema de_x000a_      Python más allá de lo visto en clase. _x000a_  Planeación_x000a_      y Documentación: El pseudocódigo es claro y coincide perfectamente_x000a_      con la implementación final. Además, el uso de emojis en los comentarios_x000a_      (#) hace que el código sea muy amigable y fácil de leer. _x000a_  Encapsulamiento_x000a_      y Funcionalidad: La estructura de la clase CarritoDeCompras, el uso_x000a_      de self y los métodos agregar_producto y ver_carrito son técnicamente_x000a_      perfectos. _x000a_ _x000a_ Oportunidad_x000a_     de Mejora (Para próximos proyectos): _x000a_ _x000a_  Al_x000a_      igual que otros grupos, guardaron solo el nombre del producto en_x000a_      la lista self.items. Para el próximo reto, intenten guardar un diccionario_x000a_      en la lista: self.items.append({&quot;nombre&quot;: nombre_producto,_x000a_      &quot;precio&quot;: precio_producto}). Esto les permitirá mostrar el_x000a_      precio individual de cada producto en el resumen final. _x000a_  En_x000a_      el print del total, recuerden usar el formato de f-string para limitar_x000a_      los decimales a dos, como se hace en finanzas: print(f&quot;Total:_x000a_      ${self.total:.2f}&quot;). _x000a_  Motivación:  _x000a_Tienen una excelente base en POO y, lo más importante, la curiosidad para_x000a_investigar y aplicar conceptos nuevos por su cuenta. Esa proactividad es lo que_x000a_distingue a un buen programador de uno excepcional. ¡Mantengan esa energía para_x000a_el resto del Corte 2!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2"/>
    <s v="Laura Fernanda"/>
    <s v="Lopez Parra"/>
    <s v="lauraloppa@unisabana.edu.co"/>
    <x v="10"/>
    <d v="2026-03-11T00:00:00"/>
    <x v="2"/>
    <s v="Entregado"/>
    <s v="Retroalimentación de la Entrega: Modelando un Carrito de_x000a_Compras (POO)  Juan David Neuta, Laura Fernanda Lopez y Jose Daniel_x000a_Escobar,  Calificación Final: 50/50 (Equivalente a 5.0)  Comentarios del Profesor: Equipo, han entregado un trabajo que va más allá de lo_x000a_solicitado, demostrando una excelente capacidad de investigación y un alto_x000a_nivel de autogestión. La lógica de POO es impecable, pero lo que realmente_x000a_destaca es la atención a la Experiencia de Usuario (UX) en la consola.  _x000a_ Puntos_x000a_     Destacados: _x000a_ _x000a_  Autogestión_x000a_      y Creatividad (Valor Agregado): La implementación de la clase bcolors_x000a_      para darle formato y color a la salida de la terminal es un detalle de_x000a_      nivel avanzado. Esto demuestra que están explorando el ecosistema de_x000a_      Python más allá de lo visto en clase. _x000a_  Planeación_x000a_      y Documentación: El pseudocódigo es claro y coincide perfectamente_x000a_      con la implementación final. Además, el uso de emojis en los comentarios_x000a_      (#) hace que el código sea muy amigable y fácil de leer. _x000a_  Encapsulamiento_x000a_      y Funcionalidad: La estructura de la clase CarritoDeCompras, el uso_x000a_      de self y los métodos agregar_producto y ver_carrito son técnicamente_x000a_      perfectos. _x000a_ _x000a_ Oportunidad_x000a_     de Mejora (Para próximos proyectos): _x000a_ _x000a_  Al_x000a_      igual que otros grupos, guardaron solo el nombre del producto en_x000a_      la lista self.items. Para el próximo reto, intenten guardar un diccionario_x000a_      en la lista: self.items.append({&quot;nombre&quot;: nombre_producto,_x000a_      &quot;precio&quot;: precio_producto}). Esto les permitirá mostrar el_x000a_      precio individual de cada producto en el resumen final. _x000a_  En_x000a_      el print del total, recuerden usar el formato de f-string para limitar_x000a_      los decimales a dos, como se hace en finanzas: print(f&quot;Total:_x000a_      ${self.total:.2f}&quot;). _x000a_  Motivación:  _x000a_Tienen una excelente base en POO y, lo más importante, la curiosidad para_x000a_investigar y aplicar conceptos nuevos por su cuenta. Esa proactividad es lo que_x000a_distingue a un buen programador de uno excepcional. ¡Mantengan esa energía para_x000a_el resto del Corte 2!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3"/>
    <s v="Lukas"/>
    <s v="Blanco Llanes"/>
    <s v="lukasblll@unisabana.edu.co"/>
    <x v="10"/>
    <d v="2026-03-11T00:00:00"/>
    <x v="2"/>
    <s v="Entregado"/>
    <s v="Retroalimentación de la Entrega: Modelando un Carrito de_x000a_Compras (POO)  Juan Sebastian Salas, Alan David Rossoff y Lukas Blanco  Calificación Final: 50/50 (Equivalente a 5.0)  Comentarios del Profesor: _x000a_¡Excelente trabajo, equipo! Han implementado los conceptos fundamentales de la_x000a_Programación Orientada a Objetos (POO) con un nivel de precisión y orden digno_x000a_de un entorno profesional. _x000a_ Puntos_x000a_     Destacados: _x000a_ _x000a_  Estructuras_x000a_      de Datos Avanzadas: El uso de un diccionario {&quot;nombre&quot;:_x000a_      nombre_producto, &quot;precio&quot;: precio_producto} dentro de la lista self.items_x000a_      es la forma más óptima y escalable de guardar la información. Esto demuestra_x000a_      que están pensando en cómo se estructuran las bases de datos reales en un_x000a_      e-commerce. _x000a_  Documentación_x000a_      Rigurosa: Cumplieron a la perfección la regla de documentar línea por_x000a_      línea. Además, la inclusión de Docstrings (&quot;&quot;&quot;_x000a_      &quot;&quot;&quot;) en la clase y los métodos refleja buenas prácticas de_x000a_      ingeniería de software. _x000a_  Encapsulamiento:_x000a_      La manipulación del estado interno del objeto (self.items y self.total)_x000a_      funciona sin errores, manteniendo la coherencia de los datos durante todo_x000a_      el ciclo de vida de mi_compra. _x000a_ _x000a_ Observación_x000a_     de Autogestión (Atención al Detalle): _x000a_ _x000a_  Aunque_x000a_      el pseudocódigo es excelente y muy claro, olvidaron incluir sus nombres_x000a_      completos dentro de la celda de Markdown al inicio del documento. En el_x000a_      mundo corporativo y académico, firmar sus entregables es el primer paso_x000a_      de la presentación profesional. Ténganlo en cuenta para el próximo_x000a_      proyecto. _x000a_  Motivación: _x000a_Han construido una base muy sólida. Entender cómo los objetos guardan su propio_x000a_estado (memoria) y ejecutan sus propias acciones es la clave para modelar_x000a_sistemas complejos. ¡Sigan con esta misma rigurosidad para los temas de_x000a_Herencia y Polimorfism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_x000a_  lógicamente con la implementación final. _x000a_  _x000a_  _x000a_  10.0 _x000a_  _x000a_  _x000a_  10.0 _x000a_  _x000a_ _x000a_ _x000a_  _x000a_  Encapsulamiento _x000a_  _x000a_  _x000a_  Uso correcto de self para inicializar, leer y modificar_x000a_  atributos intern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totalmente_x000a_  funcionales. Prueba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4"/>
    <s v="Juan Sebastian"/>
    <s v="Salas Hinojosa"/>
    <s v="juansahi@unisabana.edu.co"/>
    <x v="10"/>
    <d v="2026-03-11T00:00:00"/>
    <x v="2"/>
    <s v="Entregado"/>
    <s v="Retroalimentación de la Entrega: Modelando un Carrito de_x000a_Compras (POO)  Juan Sebastian Salas, Alan David Rossoff y Lukas Blanco  Calificación Final: 50/50 (Equivalente a 5.0)  Comentarios del Profesor: _x000a_¡Excelente trabajo, equipo! Han implementado los conceptos fundamentales de la_x000a_Programación Orientada a Objetos (POO) con un nivel de precisión y orden digno_x000a_de un entorno profesional. _x000a_ Puntos_x000a_     Destacados: _x000a_ _x000a_  Estructuras_x000a_      de Datos Avanzadas: El uso de un diccionario {&quot;nombre&quot;:_x000a_      nombre_producto, &quot;precio&quot;: precio_producto} dentro de la lista self.items_x000a_      es la forma más óptima y escalable de guardar la información. Esto demuestra_x000a_      que están pensando en cómo se estructuran las bases de datos reales en un_x000a_      e-commerce. _x000a_  Documentación_x000a_      Rigurosa: Cumplieron a la perfección la regla de documentar línea por_x000a_      línea. Además, la inclusión de Docstrings (&quot;&quot;&quot;_x000a_      &quot;&quot;&quot;) en la clase y los métodos refleja buenas prácticas de_x000a_      ingeniería de software. _x000a_  Encapsulamiento:_x000a_      La manipulación del estado interno del objeto (self.items y self.total)_x000a_      funciona sin errores, manteniendo la coherencia de los datos durante todo_x000a_      el ciclo de vida de mi_compra. _x000a_ _x000a_ Observación_x000a_     de Autogestión (Atención al Detalle): _x000a_ _x000a_  Aunque_x000a_      el pseudocódigo es excelente y muy claro, olvidaron incluir sus nombres_x000a_      completos dentro de la celda de Markdown al inicio del documento. En el_x000a_      mundo corporativo y académico, firmar sus entregables es el primer paso_x000a_      de la presentación profesional. Ténganlo en cuenta para el próximo_x000a_      proyecto. _x000a_  Motivación: _x000a_Han construido una base muy sólida. Entender cómo los objetos guardan su propio_x000a_estado (memoria) y ejecutan sus propias acciones es la clave para modelar_x000a_sistemas complejos. ¡Sigan con esta misma rigurosidad para los temas de_x000a_Herencia y Polimorfism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_x000a_  lógicamente con la implementación final. _x000a_  _x000a_  _x000a_  10.0 _x000a_  _x000a_  _x000a_  10.0 _x000a_  _x000a_ _x000a_ _x000a_  _x000a_  Encapsulamiento _x000a_  _x000a_  _x000a_  Uso correcto de self para inicializar, leer y modificar_x000a_  atributos intern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totalmente_x000a_  funcionales. Prueba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5"/>
    <s v="Avril Avril"/>
    <s v="Ariza Quitian"/>
    <s v="avrilarqu@unisabana.edu.co"/>
    <x v="10"/>
    <d v="2026-03-11T00:00:00"/>
    <x v="2"/>
    <s v="Entregado"/>
    <s v="Retroalimentación de la Entrega: Modelando un Carrito de_x000a_Compras (POO)  Avril Ariza y Samantha Vanegas  Calificación Final: 50/50 (Equivalente a 5.0)  Comentarios del Profesor: _x000a_¡Excelente trabajo, Avril y Samantha! Han logrado implementar los conceptos de_x000a_la Programación Orientada a Objetos (POO) de una forma muy limpia y_x000a_estructurada. El paso de programar de forma lineal a &quot;pensar en_x000a_objetos&quot; es el más retador del curso, y ustedes lo han resuelto con gran_x000a_nivel.  _x000a_ Puntos_x000a_     Destacados: _x000a_ _x000a_  Estructuras_x000a_      de Datos Avanzadas: Me encantó que decidieran guardar cada producto_x000a_      como un diccionario ({&quot;nombre&quot;: nombre_producto,_x000a_      &quot;precio&quot;: precio_producto}) dentro de la lista self.items. Esta_x000a_      es una práctica profesional que facilita muchísimo la lectura de los_x000a_      datos en el método ver_carrito(). _x000a_  Autogestión_x000a_      y Planeación: El pseudocódigo en Markdown es claro, secuencial y_x000a_      coincide exactamente con la lógica que programaron después. _x000a_  Encapsulamiento:_x000a_      El uso de self para mantener el estado del objeto (self.total y self.items)_x000a_      fue implementado sin errores. _x000a_  Documentación:_x000a_      Cumplieron a cabalidad con la regla de documentar línea por línea,_x000a_      explicando el qué y el porqué de cada instrucción. _x000a_ _x000a_ Oportunidad_x000a_     de Mejora (UX y Sanity Check): _x000a_ _x000a_  Formato_x000a_      Financiero: Al imprimir valores en pesos colombianos (COP), es ideal_x000a_      usar separadores de miles para facilitar la lectura. En lugar de $50000,_x000a_      pueden usar f-strings con formato: print(f&quot;Total a pagar:_x000a_      ${self.total:,.0f}&quot;) para que imprima $50,000. _x000a_  Validación_x000a_      de Vacíos: ¿Qué pasaría si un usuario llama a mi_compra.ver_carrito()_x000a_      antes de agregar productos? Sería excelente agregar un condicional if_x000a_      len(self.items) == 0: para mostrar un mensaje como &quot;El carrito_x000a_      está vacío&quot;. _x000a_  Motivación: _x000a_Tienen una lógica de programación muy bien estructurada. Dominar la creación de_x000a_Clases y Objetos les abrirá las puertas para entender cómo funcionan las bases_x000a_de datos y el análisis de información a gran escala. ¡Sigan con este nivel de_x000a_excelencia!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Uso de_x000a_  diccionarios.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6"/>
    <s v="Samuel David"/>
    <s v="Simancas Contreras"/>
    <s v="samuelsico@unisabana.edu.co"/>
    <x v="10"/>
    <d v="2026-03-11T00:00:00"/>
    <x v="2"/>
    <s v="Entregado"/>
    <s v="Retroalimentación de la Entrega: Carrito de Compras (POO)  Samuel David Simancas, Juan Sebastian Perdomo y Daniel_x000a_Felipe Camacho  Calificación Final: 50/50 (Equivalente a 5.0)  Comentarios del Profesor: ¡Excelente trabajo, equipo! Han entregado una solución de_x000a_nivel profesional. Se nota un esfuerzo genuino por no solo cumplir con la_x000a_funcionalidad, sino por entregar un código estéticamente impecable y muy bien_x000a_documentado.  _x000a_ Puntos_x000a_     Destacados: _x000a_ _x000a_  Planeación_x000a_      (Diagrama de Flujo): El diagrama realizado en formato texto (ASCII)_x000a_      es una forma creativa y muy efectiva de visualizar el flujo lógico. Es_x000a_      claro, directo y cumple con el requisito de planeación previa. _x000a_  Calidad_x000a_      del Código (Clean Code): Han utilizado técnicas avanzadas de formato_x000a_      (f-strings con alineación, como :&amp;lt;4 y :&amp;gt;12), lo que hace que la_x000a_      salida en consola parezca una factura real de un e-commerce. Esto_x000a_      demuestra una gran atención al detalle en la experiencia de usuario (UX). _x000a_  Documentación:_x000a_      El uso de Docstrings (&quot;&quot;&quot; &quot;&quot;&quot;) para_x000a_      describir la clase y los métodos, sumado a los comentarios internos, hace_x000a_      que el código sea muy fácil de mantener. _x000a_  Validación_x000a_      de Estados: La implementación de if not self.items: para manejar el_x000a_      caso del carrito vacío es la forma más &quot;Pythónica&quot; y eficiente_x000a_      de realizar esta validación. _x000a_ _x000a_ Sugerencia_x000a_     Técnica: _x000a_ _x000a_  El_x000a_      código es excelente. Como siguiente paso en su aprendizaje, les sugiero_x000a_      investigar cómo manejar el caso en que el usuario intente ingresar un_x000a_      precio negativo (ej: -50000). Podrían agregar un pequeño if dentro de agregar_producto_x000a_      para validar que el precio sea mayor a cero. _x000a_  Motivación:  _x000a_Han demostrado que dominan la estructura de clases, la gestión de atributos y_x000a_la lógica de métodos. Este nivel de organización es exactamente lo que se_x000a_espera de un analista que busca automatizar procesos de negocio. ¡Sigan con_x000a_este nivel de compromiso para el resto del corte!  Rúbrica de Calificación _x000a_ _x000a_  _x000a_  Criterio de Evaluación _x000a_  _x000a_  _x000a_  Requisito Técnico _x000a_  _x000a_  _x000a_  Puntaje Máximo _x000a_  _x000a_  _x000a_  Puntaje Obtenido _x000a_  _x000a_ _x000a_ _x000a_  _x000a_  Planeación _x000a_  _x000a_  _x000a_  Diagrama de flujo claro y coherente con la implementación. _x000a_  _x000a_  _x000a_  10.0 _x000a_  _x000a_  _x000a_  10.0 _x000a_  _x000a_ _x000a_ _x000a_  _x000a_  Encapsulamiento _x000a_  _x000a_  _x000a_  Uso correcto de self para gestionar atributos (items, total). _x000a_  _x000a_  _x000a_  15.0 _x000a_  _x000a_  _x000a_  15.0 _x000a_  _x000a_ _x000a_ _x000a_  _x000a_  Documentación _x000a_  _x000a_  _x000a_  Comentarios y Docstrings explicando la lógica de cada_x000a_  bloque. _x000a_  _x000a_  _x000a_  10.0 _x000a_  _x000a_  _x000a_  10.0 _x000a_  _x000a_ _x000a_ _x000a_  _x000a_  Funcionalidad _x000a_  _x000a_  _x000a_  Métodos funcionales, menú y lógica de suma correctos.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27"/>
    <s v="Maria Jose"/>
    <s v="Huertas Osorio"/>
    <s v="mariahueos@unisabana.edu.co"/>
    <x v="10"/>
    <d v="2026-03-11T00:00:00"/>
    <x v="2"/>
    <s v="Entregado"/>
    <s v="Retroalimentación de la Entrega: Modelando un Carrito de_x000a_Compras (POO)  Gabriela Ruiz, María José Huertas y Alessandro Bonilla  Calificación Final: 40/50 (Equivalente a 4.0)  Comentarios del Profesor: _x000a_Equipo, he revisado su entrega y tengo dos observaciones muy importantes: una_x000a_excelente a nivel técnico y una crítica a nivel de autogestión. _x000a_ Lo_x000a_     Excelente (Técnica y Funcionalidad): _x000a_     A nivel de código, su trabajo es impecable. Comprendieron a la perfección_x000a_     cómo funciona la Programación Orientada a Objetos. El uso de tuplas (nombre_producto,_x000a_     precio_producto) dentro de la lista self.items es una decisión de diseño_x000a_     brillante y muy eficiente. Además, la documentación línea por línea es_x000a_     clara y demuestra que entienden exactamente qué hace cada instrucción. Por_x000a_     la parte técnica, merecen un 5.0. _x000a_ La_x000a_     Oportunidad de Mejora (Autogestión y Planeación): _x000a_     Lamentablemente, omitieron la Regla de Oro de esta entrega. Las_x000a_     instrucciones indicaban explícitamente: &quot;Planeación Obligatoria:_x000a_     Antes de escribir una sola línea de código, deben realizar el Pseudocódigo_x000a_     o Diagrama de Flujo... incluido en la primera celda&quot;. Su celda de_x000a_     Markdown solo tiene el título. Como hemos hablado desde el Corte 1, en este curso (y en la_x000a_vida profesional) seguir las instrucciones y planear antes de ejecutar es_x000a_innegociable. Un buen CTO diseña la arquitectura antes de programar. Esta_x000a_omisión les cuesta la totalidad de los puntos de la rúbrica de Planeación.  Motivación: _x000a_Ustedes tienen una capacidad técnica altísima, el código que escribieron lo_x000a_demuestra. No permitan que saltarse un paso en las instrucciones afecte su_x000a_promedio. Tienen todo el potencial para liderar la curva de notas en este Corte_x000a_2. ¡Asegúrense de incluir la planeación en el próximo reto y el 5.0 será suy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0.0 (No se incluyó pseudocódigo ni diagrama)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funcionales. Excelente uso de tuplas para_x000a_  almacenar los datos del producto. _x000a_  _x000a_  _x000a_  15.0 _x000a_  _x000a_  _x000a_  15.0 _x000a_  _x000a_ _x000a_ _x000a_  _x000a_  TOTAL _x000a_  _x000a_  _x000a_  _x000a_  50.0 _x000a_  _x000a_  _x000a_  40.0 _x000a_  _x000a_ Diego Mauricio Zuluaga Rodríguez _x000a_Profesor - Departamento de Economía _x000a_Universidad de La Sabana"/>
    <n v="40"/>
    <n v="50"/>
    <n v="0.8"/>
  </r>
  <r>
    <x v="28"/>
    <s v="Juan Camilo"/>
    <s v="Leyton Lancheros"/>
    <s v="juanleyla@unisabana.edu.co"/>
    <x v="10"/>
    <d v="2026-03-11T00:00:00"/>
    <x v="2"/>
    <s v="Entregado"/>
    <s v="Retroalimentación de la Entrega: Modelando un Carrito de_x000a_Compras (POO)  Cristian Bermudez, Camilo Leyton y Nicolas Torres  Calificación Final: 40/50 (Equivalente a 4.0)  Comentarios del Profesor: _x000a_Equipo (Cristian, Camilo y Nicolás), su entrega tiene contrastes importantes._x000a_Por un lado, el nivel técnico del código es excelente; por otro, hay fallas_x000a_críticas en la competencia de Autogestión y seguimiento de_x000a_instrucciones.  _x000a_ Puntos_x000a_     Destacados (Lo Técnico): _x000a_ _x000a_  Estructura_x000a_      de Datos: La decisión de guardar cada producto como una tupla (nombre_producto,_x000a_      precio_producto) dentro de la lista self.items es una excelente práctica._x000a_      Demuestra que entienden cómo anidar colecciones para mantener los datos_x000a_      organizados. _x000a_  Encapsulamiento:_x000a_      El uso de self para mantener el estado del objeto (self.total y self.items)_x000a_      es impecable. _x000a_  Documentación:_x000a_      Cumplieron a cabalidad con el requisito de comentar línea por línea el_x000a_      funcionamiento del código. _x000a_ _x000a_ Oportunidades_x000a_     de Mejora (Autogestión y Sanity Check): _x000a_ _x000a_  Planeación_x000a_      Inexistente (0/10 pts): Omitieron por completo el Pseudocódigo o_x000a_      Diagrama de Flujo en la celda de Markdown. Las instrucciones marcaban_x000a_      esto como una &quot;Regla de Oro: Planeación Obligatoria&quot;. En_x000a_      la EICEA y en la vida real, no basta con que el código funcione; se debe_x000a_      demostrar la planeación lógica detrás de la solución. _x000a_  Atención_x000a_      al Detalle: Titularon su entrega como &quot;Análisis de Marketing_x000a_      con IA&quot;, el cual era el tema de una tarea anterior. Entregar un_x000a_      desarrollo técnico impecable con el título de otro proyecto resta_x000a_      profesionalismo frente a un cliente o jefe. ¡Cuidado con el copy-paste en_x000a_      las plantillas! _x000a_  Motivación: _x000a_Tienen la capacidad técnica y lógica para sacar la máxima nota. El código que_x000a_escribieron es de alto nivel. Para las próximas entregas, asegúrense de leer la_x000a_rúbrica completa y auditar sus entregables antes de subirlos. ¡Ajusten ese_x000a_detalle de planeación y llegarán a la excelencia!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0.0 (No se incluyó)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40.0 _x000a_  _x000a_ Diego Mauricio Zuluaga Rodríguez _x000a_Profesor - Departamento de Economía _x000a_Universidad de La Sabana"/>
    <n v="40"/>
    <n v="50"/>
    <n v="0.8"/>
  </r>
  <r>
    <x v="29"/>
    <s v="Samuel Mathias"/>
    <s v="Gonzalez Bernal"/>
    <s v="samuelgonbe@unisabana.edu.co"/>
    <x v="10"/>
    <d v="2026-03-11T00:00:00"/>
    <x v="2"/>
    <s v="Entregado"/>
    <s v="Retroalimentación de la Entrega: Tarea Clase 5 -_x000a_Modelando un Carrito de Compras (POO)  Samuel Lozano, Sebastian Vanoy y Samuel Gonzales  Calificación Final: 16/50 (Equivalente a 1.6)  Comentarios del Profesor: Equipo, valoro el esfuerzo en la entrega. El archivo está_x000a_bien estructurado, incluyeron todas las secciones solicitadas (Markdown,_x000a_Pseudocódigo, Código) y demostraron iniciativa al agregar un método adicional (eliminar_producto)._x000a_Sin embargo, el proyecto presenta un error fundamental en la lógica de la_x000a_Programación Orientada a Objetos que debemos corregir de inmediato.  _x000a_ Punto_x000a_     Crítico (Error de Lógica): _x000a_ _x000a_  El_x000a_      error principal está en el constructor (__init__). Un CarritoDeCompras se_x000a_      crea vacío, y los productos (con sus nombres y precios) se añaden después._x000a_      Su diseño actual obliga a crear el carrito con un nombre y precio fijos. _x000a_  Consecuencia:_x000a_      El método agregar_producto suma siempre el mismo precio con el que se_x000a_      creó el objeto, no el precio del producto que se está agregando. Ejemplo:_x000a_      si crean mi_compra con un precio de 10, y luego agregan un_x000a_      &quot;Computador&quot; de 3,000,000, el total solo aumenta en 10. Esto_x000a_      invalida la funcionalidad central del carrito. _x000a_ _x000a_ Oportunidades_x000a_     de Mejora: _x000a_ _x000a_  Planeación:_x000a_      El diagrama de flujo y el pseudocódigo son demasiado genéricos. Debían_x000a_      detallar la lógica específica de la clase CarritoDeCompras, no el proceso_x000a_      general de programar. _x000a_  Requerimientos:_x000a_      Se solicitó un método ver_carrito que mostrara los productos y el total._x000a_      El método calcular_total que crearon solo retorna el valor, pero no_x000a_      cumple con la función de mostrar el listado de ítems. _x000a_  Motivación:  _x000a_Este es un error conceptual muy común y es una excelente oportunidad de_x000a_aprendizaje. Entender por qué el precio debe ser un parámetro del método agregar_producto_x000a_y no del constructor es la clave para dominar la POO. Les pido que revisen la_x000a_solución ideal que compartiré, la comparen con su código y anoten sus dudas_x000a_para la próxima clase. Superar este obstáculo ahora les garantizará el éxito en_x000a_los temas que vienen.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Diagrama específico y coherente con la tarea. _x000a_  _x000a_  _x000a_  10.0 _x000a_  _x000a_  _x000a_  2.0 _x000a_  _x000a_ _x000a_ _x000a_  _x000a_  Encapsulamiento y Estructura _x000a_  _x000a_  _x000a_  Uso correcto de self y definición correcta de la clase y_x000a_  sus métodos. _x000a_  _x000a_  _x000a_  15.0 _x000a_  _x000a_  _x000a_  5.0 _x000a_  _x000a_ _x000a_ _x000a_  _x000a_  Funcionalidad _x000a_  _x000a_  _x000a_  El prototipo realiza las operaciones de agregar y mostrar_x000a_  correctamente. _x000a_  _x000a_  _x000a_  15.0 _x000a_  _x000a_  _x000a_  3.0 _x000a_  _x000a_ _x000a_ _x000a_  _x000a_  Documentación _x000a_  _x000a_  _x000a_  Claridad en las explicaciones línea a línea del código. _x000a_  _x000a_  _x000a_  10.0 _x000a_  _x000a_  _x000a_  6.0 _x000a_  _x000a_ _x000a_ _x000a_  _x000a_  TOTAL _x000a_  _x000a_  _x000a_  _x000a_  50.0 _x000a_  _x000a_  _x000a_  16.0 _x000a_  _x000a_ Diego Mauricio Zuluaga Rodríguez _x000a_Profesor - Departamento de Economía _x000a_Universidad de La Sabana"/>
    <n v="16"/>
    <n v="50"/>
    <n v="0.32"/>
  </r>
  <r>
    <x v="30"/>
    <s v="Valeria"/>
    <s v="Morales"/>
    <s v="valeriamor@unisabana.edu.co"/>
    <x v="10"/>
    <d v="2026-03-11T00:00:00"/>
    <x v="2"/>
    <s v="Entregado"/>
    <s v="Retroalimentación de la Entrega: Modelando un Carrito de_x000a_Compras (POO)  Paula Andrea Arciniegas, Valeria Morales e Isabella_x000a_Carranza  Calificación Final: 50/50 (Equivalente a 5.0)  Comentarios del Profesor: _x000a_¡Excelente trabajo, equipo! Han logrado dar el salto de la programación_x000a_estructurada a la Programación Orientada a Objetos (POO) de manera impecable._x000a_Este ejercicio demuestra que comprenden cómo encapsular datos (atributos) y_x000a_acciones (métodos) dentro de una misma entidad.  _x000a_ Puntos_x000a_     Destacados: _x000a_ _x000a_  Autogestión_x000a_      y Planeación: Su pseudocódigo es uno de los más detallados y_x000a_      estructurados que he revisado. El desglose numérico (1.0, 2.1.1, etc.)_x000a_      demuestra un pensamiento lógico riguroso antes de escribir código. _x000a_  Encapsulamiento_x000a_      (self): Entendieron perfectamente que self.total permite que el_x000a_      método ver_carrito() sepa cuánto dinero sumó el método agregar_producto()._x000a_      Comparten la memoria interna del objeto de forma correcta. _x000a_  Uso_x000a_      de Funciones Integradas: La implementación de enumerate(self.items,_x000a_      start=1) en el ciclo for es un toque avanzado y muy elegante para listar_x000a_      los productos. _x000a_  Documentación:_x000a_      El uso de Docstrings (&quot;&quot;&quot; &quot;&quot;&quot;) al_x000a_      inicio de la clase y de los métodos es una excelente práctica profesional_x000a_      que facilita la lectura del código. _x000a_ _x000a_ Oportunidad_x000a_     de Mejora (Para próximos proyectos): _x000a_ _x000a_  En_x000a_      este ejercicio guardaron solo el nombre del producto en la lista self.items._x000a_      Aunque cumple con lo solicitado y el total se calcula bien, en un_x000a_      e-commerce real (o en futuras clases con bases de datos) necesitaremos_x000a_      ver el precio individual de cada ítem en el resumen final. Para el_x000a_      próximo reto, intenten guardar un diccionario en la lista: self.items.append({&quot;nombre&quot;:_x000a_      nombre_producto, &quot;precio&quot;: precio_producto}). _x000a_  Motivación: _x000a_Tienen una base muy sólida en POO. Entender cómo los objetos interactúan_x000a_consigo mismos es el paso más difícil, y ustedes lo han superado con éxito._x000a_¡Sigan con este nivel de excelencia para el resto del Corte 2!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31"/>
    <s v="Samantha"/>
    <s v="Vanegas Russi"/>
    <s v="samanthavaru@unisabana.edu.co"/>
    <x v="10"/>
    <d v="2026-03-11T00:00:00"/>
    <x v="2"/>
    <s v="Entregado"/>
    <s v="Retroalimentación de la Entrega: Modelando un Carrito de_x000a_Compras (POO)  Avril Ariza y Samantha Vanegas  Calificación Final: 50/50 (Equivalente a 5.0)  Comentarios del Profesor: _x000a_¡Excelente trabajo, Avril y Samantha! Han logrado implementar los conceptos de_x000a_la Programación Orientada a Objetos (POO) de una forma muy limpia y_x000a_estructurada. El paso de programar de forma lineal a &quot;pensar en_x000a_objetos&quot; es el más retador del curso, y ustedes lo han resuelto con gran_x000a_nivel.  _x000a_ Puntos_x000a_     Destacados: _x000a_ _x000a_  Estructuras_x000a_      de Datos Avanzadas: Me encantó que decidieran guardar cada producto_x000a_      como un diccionario ({&quot;nombre&quot;: nombre_producto,_x000a_      &quot;precio&quot;: precio_producto}) dentro de la lista self.items. Esta_x000a_      es una práctica profesional que facilita muchísimo la lectura de los_x000a_      datos en el método ver_carrito(). _x000a_  Autogestión_x000a_      y Planeación: El pseudocódigo en Markdown es claro, secuencial y_x000a_      coincide exactamente con la lógica que programaron después. _x000a_  Encapsulamiento:_x000a_      El uso de self para mantener el estado del objeto (self.total y self.items)_x000a_      fue implementado sin errores. _x000a_  Documentación:_x000a_      Cumplieron a cabalidad con la regla de documentar línea por línea,_x000a_      explicando el qué y el porqué de cada instrucción. _x000a_ _x000a_ Oportunidad_x000a_     de Mejora (UX y Sanity Check): _x000a_ _x000a_  Formato_x000a_      Financiero: Al imprimir valores en pesos colombianos (COP), es ideal_x000a_      usar separadores de miles para facilitar la lectura. En lugar de $50000,_x000a_      pueden usar f-strings con formato: print(f&quot;Total a pagar:_x000a_      ${self.total:,.0f}&quot;) para que imprima $50,000. _x000a_  Validación_x000a_      de Vacíos: ¿Qué pasaría si un usuario llama a mi_compra.ver_carrito()_x000a_      antes de agregar productos? Sería excelente agregar un condicional if_x000a_      len(self.items) == 0: para mostrar un mensaje como &quot;El carrito_x000a_      está vacío&quot;. _x000a_  Motivación: _x000a_Tienen una lógica de programación muy bien estructurada. Dominar la creación de_x000a_Clases y Objetos les abrirá las puertas para entender cómo funcionan las bases_x000a_de datos y el análisis de información a gran escala. ¡Sigan con este nivel de_x000a_excelencia!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Uso de_x000a_  diccionarios.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32"/>
    <s v="Juan Jose"/>
    <s v="Caballero Mantilla"/>
    <s v="juancabma@unisabana.edu.co"/>
    <x v="10"/>
    <d v="2026-03-11T00:00:00"/>
    <x v="2"/>
    <s v="Entregado"/>
    <s v="Retroalimentación de la Entrega: Modelando un Carrito de_x000a_Compras (POO)  Martin Trujillo, Daniel Lopez y Juan Jose Caballero  Calificación Final: 50/50 (Equivalente a 5.0)  Comentarios del Profesor: _x000a_Equipo, han realizado una ejecución sólida y precisa del ejercicio. El código_x000a_es funcional, la planeación es coherente y la documentación cumple con el_x000a_estándar solicitado. Han demostrado una comprensión clara de los fundamentos de_x000a_la Programación Orientada a Objetos.  _x000a_ Puntos_x000a_     Destacados: _x000a_ _x000a_  Autogestión_x000a_      y Planeación: El pseudocódigo es claro y sigue una secuencia lógica_x000a_      que se ve reflejada directamente en el código final. Cumplieron a_x000a_      cabalidad la regla de &quot;pensar antes de programar&quot;. _x000a_  Documentación:_x000a_      La documentación línea por línea es excelente. Explica el &quot;qué&quot;_x000a_      hace cada instrucción, lo cual es vital para la trazabilidad y el trabajo_x000a_      en equipo. _x000a_  Funcionalidad:_x000a_      El prototipo del carrito funciona exactamente como se solicitó. Los_x000a_      métodos agregar_producto y ver_carrito están bien implementados y la_x000a_      prueba de clase es exitosa. _x000a_ _x000a_ Oportunidades_x000a_     de Mejora (Para el siguiente nivel técnico): _x000a_ _x000a_  Formato_x000a_      de Salida (UX): El print() con comas funciona, pero para un acabado_x000a_      más profesional, les recomiendo empezar a usar f-strings. Por_x000a_      ejemplo: print(f&quot;Total a pagar: ${self.total:,.2f}&quot;). Esto les_x000a_      da control total sobre el formato (separadores de miles, decimales,_x000a_      etc.). _x000a_  Robustez_x000a_      del Código (Sanity Check): En el método ver_carrito(), ¿qué pasaría_x000a_      si el carrito estuviera vacío? El ciclo for no se ejecutaría, pero el_x000a_      programa no le informaría al usuario que no tiene productos. Una buena_x000a_      práctica es añadir un if len(self.items) == 0: para manejar ese caso_x000a_      específico. _x000a_  Motivación: _x000a_Tienen una base técnica muy fuerte. Ahora que dominan la creación de una clase,_x000a_el siguiente paso es hacer que las clases interactúen entre sí (Herencia y_x000a_Polimorfismo), que es lo que veremos en la Clase 6. ¡Excelente trabaj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claro y coherente con la implementación_x000a_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33"/>
    <s v="Daniel Camilo"/>
    <s v="Lopez Piraquive"/>
    <s v="danielloppi@unisabana.edu.co"/>
    <x v="10"/>
    <d v="2026-03-11T00:00:00"/>
    <x v="2"/>
    <s v="Entregado"/>
    <s v="Retroalimentación de la Entrega: Modelando un Carrito de_x000a_Compras (POO)  Martin Trujillo, Daniel Lopez y Juan Jose Caballero  Calificación Final: 50/50 (Equivalente a 5.0)  Comentarios del Profesor: _x000a_Equipo, han realizado una ejecución sólida y precisa del ejercicio. El código_x000a_es funcional, la planeación es coherente y la documentación cumple con el_x000a_estándar solicitado. Han demostrado una comprensión clara de los fundamentos de_x000a_la Programación Orientada a Objetos.  _x000a_ Puntos_x000a_     Destacados: _x000a_ _x000a_  Autogestión_x000a_      y Planeación: El pseudocódigo es claro y sigue una secuencia lógica_x000a_      que se ve reflejada directamente en el código final. Cumplieron a_x000a_      cabalidad la regla de &quot;pensar antes de programar&quot;. _x000a_  Documentación:_x000a_      La documentación línea por línea es excelente. Explica el &quot;qué&quot;_x000a_      hace cada instrucción, lo cual es vital para la trazabilidad y el trabajo_x000a_      en equipo. _x000a_  Funcionalidad:_x000a_      El prototipo del carrito funciona exactamente como se solicitó. Los_x000a_      métodos agregar_producto y ver_carrito están bien implementados y la_x000a_      prueba de clase es exitosa. _x000a_ _x000a_ Oportunidades_x000a_     de Mejora (Para el siguiente nivel técnico): _x000a_ _x000a_  Formato_x000a_      de Salida (UX): El print() con comas funciona, pero para un acabado_x000a_      más profesional, les recomiendo empezar a usar f-strings. Por_x000a_      ejemplo: print(f&quot;Total a pagar: ${self.total:,.2f}&quot;). Esto les_x000a_      da control total sobre el formato (separadores de miles, decimales,_x000a_      etc.). _x000a_  Robustez_x000a_      del Código (Sanity Check): En el método ver_carrito(), ¿qué pasaría_x000a_      si el carrito estuviera vacío? El ciclo for no se ejecutaría, pero el_x000a_      programa no le informaría al usuario que no tiene productos. Una buena_x000a_      práctica es añadir un if len(self.items) == 0: para manejar ese caso_x000a_      específico. _x000a_  Motivación: _x000a_Tienen una base técnica muy fuerte. Ahora que dominan la creación de una clase,_x000a_el siguiente paso es hacer que las clases interactúen entre sí (Herencia y_x000a_Polimorfismo), que es lo que veremos en la Clase 6. ¡Excelente trabaj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claro y coherente con la implementación_x000a_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34"/>
    <s v="Gabriela"/>
    <s v="Ruiz Perez"/>
    <s v="gabrielarupe@unisabana.edu.co"/>
    <x v="10"/>
    <d v="2026-03-11T00:00:00"/>
    <x v="2"/>
    <s v="Entregado"/>
    <s v="Retroalimentación de la Entrega: Modelando un Carrito de_x000a_Compras (POO)  Gabriela Ruiz, María José Huertas y Alessandro Bonilla  Calificación Final: 40/50 (Equivalente a 4.0)  Comentarios del Profesor: _x000a_Equipo, he revisado su entrega y tengo dos observaciones muy importantes: una_x000a_excelente a nivel técnico y una crítica a nivel de autogestión. _x000a_ Lo_x000a_     Excelente (Técnica y Funcionalidad): _x000a_     A nivel de código, su trabajo es impecable. Comprendieron a la perfección_x000a_     cómo funciona la Programación Orientada a Objetos. El uso de tuplas (nombre_producto,_x000a_     precio_producto) dentro de la lista self.items es una decisión de diseño_x000a_     brillante y muy eficiente. Además, la documentación línea por línea es_x000a_     clara y demuestra que entienden exactamente qué hace cada instrucción. Por_x000a_     la parte técnica, merecen un 5.0. _x000a_ La_x000a_     Oportunidad de Mejora (Autogestión y Planeación): _x000a_     Lamentablemente, omitieron la Regla de Oro de esta entrega. Las_x000a_     instrucciones indicaban explícitamente: &quot;Planeación Obligatoria:_x000a_     Antes de escribir una sola línea de código, deben realizar el Pseudocódigo_x000a_     o Diagrama de Flujo... incluido en la primera celda&quot;. Su celda de_x000a_     Markdown solo tiene el título. Como hemos hablado desde el Corte 1, en este curso (y en la_x000a_vida profesional) seguir las instrucciones y planear antes de ejecutar es_x000a_innegociable. Un buen CTO diseña la arquitectura antes de programar. Esta_x000a_omisión les cuesta la totalidad de los puntos de la rúbrica de Planeación.  Motivación: _x000a_Ustedes tienen una capacidad técnica altísima, el código que escribieron lo_x000a_demuestra. No permitan que saltarse un paso en las instrucciones afecte su_x000a_promedio. Tienen todo el potencial para liderar la curva de notas en este Corte_x000a_2. ¡Asegúrense de incluir la planeación en el próximo reto y el 5.0 será suy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 con la_x000a_  implementación final. _x000a_  _x000a_  _x000a_  10.0 _x000a_  _x000a_  _x000a_  0.0 (No se incluyó pseudocódigo ni diagrama)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funcionales. Excelente uso de tuplas para_x000a_  almacenar los datos del producto. _x000a_  _x000a_  _x000a_  15.0 _x000a_  _x000a_  _x000a_  15.0 _x000a_  _x000a_ _x000a_ _x000a_  _x000a_  TOTAL _x000a_  _x000a_  _x000a_  _x000a_  50.0 _x000a_  _x000a_  _x000a_  40.0 _x000a_  _x000a_ Diego Mauricio Zuluaga Rodríguez _x000a_Profesor - Departamento de Economía _x000a_Universidad de La Sabana"/>
    <n v="40"/>
    <n v="50"/>
    <n v="0.8"/>
  </r>
  <r>
    <x v="35"/>
    <s v="Juan Sebastian"/>
    <s v="Perdomo Herrera"/>
    <s v="juanperhe@unisabana.edu.co"/>
    <x v="10"/>
    <d v="2026-03-11T00:00:00"/>
    <x v="2"/>
    <s v="Entregado"/>
    <s v="Retroalimentación de la Entrega: Carrito de Compras (POO)  Samuel David Simancas, Juan Sebastian Perdomo y Daniel_x000a_Felipe Camacho  Calificación Final: 50/50 (Equivalente a 5.0)  Comentarios del Profesor: ¡Excelente trabajo, equipo! Han entregado una solución de_x000a_nivel profesional. Se nota un esfuerzo genuino por no solo cumplir con la_x000a_funcionalidad, sino por entregar un código estéticamente impecable y muy bien_x000a_documentado.  _x000a_ Puntos_x000a_     Destacados: _x000a_ _x000a_  Planeación_x000a_      (Diagrama de Flujo): El diagrama realizado en formato texto (ASCII)_x000a_      es una forma creativa y muy efectiva de visualizar el flujo lógico. Es_x000a_      claro, directo y cumple con el requisito de planeación previa. _x000a_  Calidad_x000a_      del Código (Clean Code): Han utilizado técnicas avanzadas de formato_x000a_      (f-strings con alineación, como :&amp;lt;4 y :&amp;gt;12), lo que hace que la_x000a_      salida en consola parezca una factura real de un e-commerce. Esto_x000a_      demuestra una gran atención al detalle en la experiencia de usuario (UX). _x000a_  Documentación:_x000a_      El uso de Docstrings (&quot;&quot;&quot; &quot;&quot;&quot;) para_x000a_      describir la clase y los métodos, sumado a los comentarios internos, hace_x000a_      que el código sea muy fácil de mantener. _x000a_  Validación_x000a_      de Estados: La implementación de if not self.items: para manejar el_x000a_      caso del carrito vacío es la forma más &quot;Pythónica&quot; y eficiente_x000a_      de realizar esta validación. _x000a_ _x000a_ Sugerencia_x000a_     Técnica: _x000a_ _x000a_  El_x000a_      código es excelente. Como siguiente paso en su aprendizaje, les sugiero_x000a_      investigar cómo manejar el caso en que el usuario intente ingresar un_x000a_      precio negativo (ej: -50000). Podrían agregar un pequeño if dentro de agregar_producto_x000a_      para validar que el precio sea mayor a cero. _x000a_  Motivación:  _x000a_Han demostrado que dominan la estructura de clases, la gestión de atributos y_x000a_la lógica de métodos. Este nivel de organización es exactamente lo que se_x000a_espera de un analista que busca automatizar procesos de negocio. ¡Sigan con_x000a_este nivel de compromiso para el resto del corte!  Rúbrica de Calificación _x000a_ _x000a_  _x000a_  Criterio de Evaluación _x000a_  _x000a_  _x000a_  Requisito Técnico _x000a_  _x000a_  _x000a_  Puntaje Máximo _x000a_  _x000a_  _x000a_  Puntaje Obtenido _x000a_  _x000a_ _x000a_ _x000a_  _x000a_  Planeación _x000a_  _x000a_  _x000a_  Diagrama de flujo claro y coherente con la implementación. _x000a_  _x000a_  _x000a_  10.0 _x000a_  _x000a_  _x000a_  10.0 _x000a_  _x000a_ _x000a_ _x000a_  _x000a_  Encapsulamiento _x000a_  _x000a_  _x000a_  Uso correcto de self para gestionar atributos (items, total). _x000a_  _x000a_  _x000a_  15.0 _x000a_  _x000a_  _x000a_  15.0 _x000a_  _x000a_ _x000a_ _x000a_  _x000a_  Documentación _x000a_  _x000a_  _x000a_  Comentarios y Docstrings explicando la lógica de cada_x000a_  bloque. _x000a_  _x000a_  _x000a_  10.0 _x000a_  _x000a_  _x000a_  10.0 _x000a_  _x000a_ _x000a_ _x000a_  _x000a_  Funcionalidad _x000a_  _x000a_  _x000a_  Métodos funcionales, menú y lógica de suma correctos.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36"/>
    <s v="Martin Martin"/>
    <s v="Trujillo Rodriguez"/>
    <s v="martintrro@unisabana.edu.co"/>
    <x v="10"/>
    <d v="2026-03-11T00:00:00"/>
    <x v="2"/>
    <s v="Entregado"/>
    <s v="Retroalimentación de la Entrega: Modelando un Carrito de_x000a_Compras (POO)  Martin Trujillo, Daniel Lopez y Juan Jose Caballero  Calificación Final: 50/50 (Equivalente a 5.0)  Comentarios del Profesor: _x000a_Equipo, han realizado una ejecución sólida y precisa del ejercicio. El código_x000a_es funcional, la planeación es coherente y la documentación cumple con el_x000a_estándar solicitado. Han demostrado una comprensión clara de los fundamentos de_x000a_la Programación Orientada a Objetos.  _x000a_ Puntos_x000a_     Destacados: _x000a_ _x000a_  Autogestión_x000a_      y Planeación: El pseudocódigo es claro y sigue una secuencia lógica_x000a_      que se ve reflejada directamente en el código final. Cumplieron a_x000a_      cabalidad la regla de &quot;pensar antes de programar&quot;. _x000a_  Documentación:_x000a_      La documentación línea por línea es excelente. Explica el &quot;qué&quot;_x000a_      hace cada instrucción, lo cual es vital para la trazabilidad y el trabajo_x000a_      en equipo. _x000a_  Funcionalidad:_x000a_      El prototipo del carrito funciona exactamente como se solicitó. Los_x000a_      métodos agregar_producto y ver_carrito están bien implementados y la_x000a_      prueba de clase es exitosa. _x000a_ _x000a_ Oportunidades_x000a_     de Mejora (Para el siguiente nivel técnico): _x000a_ _x000a_  Formato_x000a_      de Salida (UX): El print() con comas funciona, pero para un acabado_x000a_      más profesional, les recomiendo empezar a usar f-strings. Por_x000a_      ejemplo: print(f&quot;Total a pagar: ${self.total:,.2f}&quot;). Esto les_x000a_      da control total sobre el formato (separadores de miles, decimales,_x000a_      etc.). _x000a_  Robustez_x000a_      del Código (Sanity Check): En el método ver_carrito(), ¿qué pasaría_x000a_      si el carrito estuviera vacío? El ciclo for no se ejecutaría, pero el_x000a_      programa no le informaría al usuario que no tiene productos. Una buena_x000a_      práctica es añadir un if len(self.items) == 0: para manejar ese caso_x000a_      específico. _x000a_  Motivación: _x000a_Tienen una base técnica muy fuerte. Ahora que dominan la creación de una clase,_x000a_el siguiente paso es hacer que las clases interactúen entre sí (Herencia y_x000a_Polimorfismo), que es lo que veremos en la Clase 6. ¡Excelente trabaj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claro y coherente con la implementación_x000a_  final. _x000a_  _x000a_  _x000a_  10.0 _x000a_  _x000a_  _x000a_  10.0 _x000a_  _x000a_ _x000a_ _x000a_  _x000a_  Encapsulamiento _x000a_  _x000a_  _x000a_  Uso correcto de self para inicializar y modificar_x000a_  atribut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funcionales. Prueba_x000a_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37"/>
    <s v="Alan David"/>
    <s v="Rossoff Vanegas"/>
    <s v="alanrova@unisabana.edu.co"/>
    <x v="10"/>
    <d v="2026-03-11T00:00:00"/>
    <x v="2"/>
    <s v="Entregado"/>
    <s v="Retroalimentación de la Entrega: Modelando un Carrito de_x000a_Compras (POO)  Juan Sebastian Salas, Alan David Rossoff y Lukas Blanco  Calificación Final: 50/50 (Equivalente a 5.0)  Comentarios del Profesor: _x000a_¡Excelente trabajo, equipo! Han implementado los conceptos fundamentales de la_x000a_Programación Orientada a Objetos (POO) con un nivel de precisión y orden digno_x000a_de un entorno profesional. _x000a_ Puntos_x000a_     Destacados: _x000a_ _x000a_  Estructuras_x000a_      de Datos Avanzadas: El uso de un diccionario {&quot;nombre&quot;:_x000a_      nombre_producto, &quot;precio&quot;: precio_producto} dentro de la lista self.items_x000a_      es la forma más óptima y escalable de guardar la información. Esto demuestra_x000a_      que están pensando en cómo se estructuran las bases de datos reales en un_x000a_      e-commerce. _x000a_  Documentación_x000a_      Rigurosa: Cumplieron a la perfección la regla de documentar línea por_x000a_      línea. Además, la inclusión de Docstrings (&quot;&quot;&quot;_x000a_      &quot;&quot;&quot;) en la clase y los métodos refleja buenas prácticas de_x000a_      ingeniería de software. _x000a_  Encapsulamiento:_x000a_      La manipulación del estado interno del objeto (self.items y self.total)_x000a_      funciona sin errores, manteniendo la coherencia de los datos durante todo_x000a_      el ciclo de vida de mi_compra. _x000a_ _x000a_ Observación_x000a_     de Autogestión (Atención al Detalle): _x000a_ _x000a_  Aunque_x000a_      el pseudocódigo es excelente y muy claro, olvidaron incluir sus nombres_x000a_      completos dentro de la celda de Markdown al inicio del documento. En el_x000a_      mundo corporativo y académico, firmar sus entregables es el primer paso_x000a_      de la presentación profesional. Ténganlo en cuenta para el próximo_x000a_      proyecto. _x000a_  Motivación: _x000a_Han construido una base muy sólida. Entender cómo los objetos guardan su propio_x000a_estado (memoria) y ejecutan sus propias acciones es la clave para modelar_x000a_sistemas complejos. ¡Sigan con esta misma rigurosidad para los temas de_x000a_Herencia y Polimorfismo!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en Markdown que coincide_x000a_  lógicamente con la implementación final. _x000a_  _x000a_  _x000a_  10.0 _x000a_  _x000a_  _x000a_  10.0 _x000a_  _x000a_ _x000a_ _x000a_  _x000a_  Encapsulamiento _x000a_  _x000a_  _x000a_  Uso correcto de self para inicializar, leer y modificar_x000a_  atributos internos (items, total). _x000a_  _x000a_  _x000a_  15.0 _x000a_  _x000a_  _x000a_  15.0 _x000a_  _x000a_ _x000a_ _x000a_  _x000a_  Documentación _x000a_  _x000a_  _x000a_  Código comentado línea por línea explicando la acción de_x000a_  cada instrucción. _x000a_  _x000a_  _x000a_  10.0 _x000a_  _x000a_  _x000a_  10.0 _x000a_  _x000a_ _x000a_ _x000a_  _x000a_  Funcionalidad _x000a_  _x000a_  _x000a_  Métodos agregar_producto y ver_carrito totalmente_x000a_  funcionales. Prueba de clase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38"/>
    <s v="Diego Alejandro"/>
    <s v="Hermida Limas"/>
    <s v="diegoherli@unisabana.edu.co"/>
    <x v="10"/>
    <d v="2026-03-11T00:00:00"/>
    <x v="2"/>
    <s v="Entregado"/>
    <s v="Retroalimentación de la Entrega: Modelando un Carrito de_x000a_Compras (POO)  Simón Restrepo, Mateo Pérez y Diego Hermida  Calificación Final: 50/50 (Equivalente a 5.0)  Comentarios del Profesor: ¡Excelente trabajo, equipo! Han entregado una solución que_x000a_refleja una comprensión profunda de la Programación Orientada a Objetos. El_x000a_código no solo es funcional, sino que cumple con todos los estándares de buenas_x000a_prácticas que hemos discutido en clase.  _x000a_ Puntos_x000a_     Destacados: _x000a_ _x000a_  Planeación_x000a_      Rigurosa: El pseudocódigo en Markdown es impecable. Siguieron al pie_x000a_      de la letra la instrucción de planificar la lógica antes de programar, lo_x000a_      cual es la marca de un profesional en desarrollo. _x000a_  Documentación_x000a_      de Alta Calidad: Documentaron absolutamente cada línea del código._x000a_      Esto no solo facilita la corrección, sino que demuestra que entienden la_x000a_      intención detrás de cada instrucción. _x000a_  Limpieza_x000a_      y UX: El uso de enumerate(self.items, start=1) es una práctica_x000a_      excelente para mejorar la experiencia del usuario final al listar los_x000a_      productos. La presentación del ver_carrito() es profesional y limpia. _x000a_  Estructura_x000a_      de la Clase: La encapsulación de los atributos self.items y self.total_x000a_      es correcta, permitiendo que el objeto mantenga su propio estado de forma_x000a_      autónoma. _x000a_ _x000a_ Oportunidad_x000a_     de Mejora: _x000a_ _x000a_  El_x000a_      código es funcional y cumple con lo solicitado. Como reto adicional para_x000a_      futuros módulos, les sugiero intentar manejar los errores de entrada con try-except_x000a_      (por si el precio no fuera un número) y explorar cómo guardar el producto_x000a_      como un diccionario dentro de la lista para tener más control sobre las_x000a_      propiedades de cada artículo. _x000a_  Motivación:  _x000a_Han demostrado un nivel de madurez técnica muy alto en esta actividad. Esta_x000a_forma de trabajar (planear, codificar y comentar) es la que les permitirá_x000a_afrontar con éxito los temas de Bases de Datos y Power BI que vienen a_x000a_continuación. ¡Sigan con este nivel de rigor!  Rúbrica de Calificación _x000a_ _x000a_  _x000a_  Criterio de Evaluación _x000a_  _x000a_  _x000a_  Requisito Técnico _x000a_  _x000a_  _x000a_  Puntaje Máximo _x000a_  _x000a_  _x000a_  Puntaje Obtenido _x000a_  _x000a_ _x000a_ _x000a_  _x000a_  Planeación _x000a_  _x000a_  _x000a_  Pseudocódigo detallado y coherente con la implementación_x000a_  final. _x000a_  _x000a_  _x000a_  10.0 _x000a_  _x000a_  _x000a_  10.0 _x000a_  _x000a_ _x000a_ _x000a_  _x000a_  Encapsulamiento _x000a_  _x000a_  _x000a_  Uso correcto de self para manejar atributos de instancia. _x000a_  _x000a_  _x000a_  15.0 _x000a_  _x000a_  _x000a_  15.0 _x000a_  _x000a_ _x000a_ _x000a_  _x000a_  Documentación _x000a_  _x000a_  _x000a_  Explicación detallada línea a línea de todo el script. _x000a_  _x000a_  _x000a_  10.0 _x000a_  _x000a_  _x000a_  10.0 _x000a_  _x000a_ _x000a_ _x000a_  _x000a_  Funcionalidad _x000a_  _x000a_  _x000a_  Métodos agregar_producto y ver_carrito funcionales. Prueba_x000a_  exitosa. _x000a_  _x000a_  _x000a_  15.0 _x000a_  _x000a_  _x000a_  15.0 _x000a_  _x000a_ _x000a_ _x000a_  _x000a_  TOTAL _x000a_  _x000a_  _x000a_  _x000a_  50.0 _x000a_  _x000a_  _x000a_  50.0 _x000a_  _x000a_ Diego Mauricio Zuluaga Rodríguez _x000a_Profesor - Departamento de Economía _x000a_Universidad de La Sabana"/>
    <n v="50"/>
    <n v="50"/>
    <n v="1"/>
  </r>
  <r>
    <x v="0"/>
    <s v="Paula Andrea"/>
    <s v="Arciniegas Cardenas"/>
    <s v="paulaarcca@unisabana.edu.co"/>
    <x v="11"/>
    <d v="2026-03-11T00:00:00"/>
    <x v="2"/>
    <s v="Entregado"/>
    <s v="Retroalimentación de la Entrega: Mi Primer Análisis con IA (Prompt Engineering)Grupo: Valeria Morales, Isabella Carranza Tapiero, Paula Andrea Arciniegas Cárdenas.Calificación Final: 50/50 (Equivalente a 5.0)Comentarios del Profesor:¡Excelente trabajo, equipo! Han presentado una de las tareas más completas y mejor estructuradas del curso. No solo cumplieron con los requisitos técnicos de programación y Prompt Engineering, sino que elevaron el nivel del ejercicio al incluir un análisis de negocio real.Puntos Destacados:Dominio del Prompt Engineering (XML): El uso de etiquetas XML para estructurar las instrucciones fue impecable. Utilizar etiquetas como &amp;lt;objetivo&amp;gt;, &amp;lt;instruccion&amp;gt; y &amp;lt;salida_esperada&amp;gt; demuestra una comprensión avanzada de cómo comunicarse con modelos de lenguaje de forma profesional y determinista.Excelencia Técnica en Python: La implementación en la Tarea 3 utilizando una expresión generadora (sum(1 for venta in ventas_semanales if venta &amp;gt; umbral)) es una solución muy eficiente y elegante, demostrando un nivel de programación superior al promedio.Documentación y Ética: El bloque final de documentación XML es extraordinario. Es fundamental que hayan incluido las &quot;Notas Éticas&quot; sobre la auditoría humana y las alucinaciones de la IA; esto es precisamente lo que buscamos en la competencia de Autogestión.Valor Agregado (Marketing Insights): Felicito al grupo por ir más allá del código. Incluir conclusiones y recomendaciones basadas en los datos (como el análisis del desempeño del domingo vs. el sábado) es lo que diferencia a un programador de un analista de decisiones de la EICEA.Motivación:Han demostrado que dominan la herramienta y, lo más importante, que mantienen el criterio crítico sobre los resultados. Este es el camino para convertirse en líderes que utilizan la tecnología para generar valor estratégico. ¡Sigan con este nivel de rigor y curiosidad!Rúbrica de CalificaciónCriterio de EvaluaciónRequisito TécnicoPuntaje MáximoPuntaje ObtenidoEstructura (Prompt Engineering)Uso impecable de etiquetas XML y redacción de instrucciones precisas para las 4 tareas.15.015.0Funcionalidad PythonCódigo funcional, eficiente y validado. Uso correcto de funciones integradas y lógica de índices.15.015.0Documentación XMLExplicación detallada de cada prompt y proceso lógico en formato XML.10.010.0Autogestión y PresentaciónEntrega puntual, formato .ipynb perfecto y adición de análisis de resultados (Insights).10.010.0TOTAL50.050.0Diego Mauricio Zuluaga Rodríguez Profesor - Departamento de Economía Universidad de La Sabana"/>
    <n v="50"/>
    <n v="50"/>
    <n v="1"/>
  </r>
  <r>
    <x v="1"/>
    <s v="Sofia"/>
    <s v="Giraldo Pico"/>
    <s v="sofiagipi@unisabana.edu.co"/>
    <x v="11"/>
    <d v="2026-03-11T00:00:00"/>
    <x v="2"/>
    <s v="Entregado"/>
    <s v="Retroalimentación de la Entrega: Mi Primer Análisis con IA (Prompt Engineering)Grupo: Alejandra León Vargas, Sofia Giraldo Pico.Calificación Final: 45/50 (Equivalente a 4.5)Comentarios del Profesor:Buen trabajo, equipo. Han logrado aplicar correctamente la metodología de Prompt Engineering utilizando etiquetas XML para estructurar las instrucciones enviadas a la IA. El flujo del Notebook es claro y el código generado cumple con los objetivos técnicos planteados.Puntos Destacados:Estructura XML: El uso de las etiquetas &amp;lt;instruccion&amp;gt; y &amp;lt;explicacion&amp;gt; fue preciso y facilitó que la IA generara respuestas alineadas con lo solicitado.Lógica Técnica: El código generado por la IA es eficiente. El uso de la comprensión de listas para contar los días de altas ventas (sum(1 for venta in...)) y el manejo de index() + 1 para identificar el día son soluciones limpias.Documentación: Incluyeron una celda final de explicación que resume bien el uso de las funciones integradas de Python.Oportunidad de Mejora (Autogestión):Puntualidad: La tarea fue entregada 28 minutos tarde. Como hemos conversado, la autogestión del tiempo es una competencia crítica en este curso y en la vida profesional. Por este motivo, se aplica una penalización de -5 puntos sobre la nota final.Formato de Salida: Para futuros ejercicios financieros, les sugiero pedirle a la IA que use f-strings con formato de miles (ej: f&quot;${valor:,.2f}&quot;) para que los resultados sean más legibles para un usuario de negocios.Motivación: Tienen un dominio claro de cómo guiar a la IA. No pierdan de vista que la disciplina en los tiempos de entrega es lo que separa a un buen analista de uno excepcional. ¡Sigan adelante con el mismo rigor técnico en el resto del corte!Rúbrica de CalificaciónCriterio de EvaluaciónRequisito TécnicoPuntaje MáximoPuntaje ObtenidoEstructura (Prompt Engineering)Uso correcto de etiquetas XML y redacción de instrucciones claras para las 4 tareas.15.015.0Funcionalidad PythonEl código generado resuelve correctamente los cálculos (total, promedio, conteo y máximo).15.015.0DocumentaciónInclusión de explicaciones en XML y comentarios en el código.10.010.0Autogestión y PresentaciónFormato .ipynb correcto y trabajo en equipo.10.010.0Penalización por RetrasoEntrega extemporánea (28 minutos tarde).-5.0-5.0TOTAL50.045.0Diego Mauricio Zuluaga Rodríguez Profesor - Departamento de Economía Universidad de La Sabana"/>
    <n v="45"/>
    <n v="50"/>
    <n v="0.9"/>
  </r>
  <r>
    <x v="2"/>
    <s v="Valery"/>
    <s v="Linares Hernandez"/>
    <s v="valerylihe@unisabana.edu.co"/>
    <x v="11"/>
    <d v="2026-03-11T00:00:00"/>
    <x v="2"/>
    <s v="Entregado"/>
    <s v="Retroalimentación de la Entrega: Mi Primer Análisis con IA (Prompt Engineering)Grupo: Maria Juliana Mejia Quintero, Valery Linares Hernandez, Maria Jose Botero Galviz.Calificación Final: 50/50 (Equivalente a 5.0)Comentarios del Profesor: ¡Excelente trabajo, equipo! Han elevado el nivel de la tarea al diseñar prompts con una estructura XML personalizada (&amp;lt;rol&amp;gt;, &amp;lt;entrada&amp;gt;, &amp;lt;tarea&amp;gt;, &amp;lt;salida&amp;gt;). Esta metodología no solo facilita el trabajo de la IA, sino que demuestra una capacidad de abstracción y organización lógica superior, fundamental para la toma de decisiones basada en datos.Puntos Destacados:Estructura de Prompts (XML): El uso de etiquetas específicas para definir el rol y la salida esperada es una práctica de nivel profesional en Prompt Engineering. Han logrado que la IA entienda el contexto exacto de la necesidad de negocio.Desafío Lógico: Es muy valioso que hayan solicitado a la IA resolver los problemas bajo restricciones (como calcular el total con while sin usar sum(), o encontrar el mayor sin usar max()). Esto demuestra que no solo buscan el resultado, sino que auditan la lógica algorítmica detrás de la solución.Precisión Técnica: El código es limpio, funcional y utiliza correctamente los tipos de datos y estructuras de control vistos en el corte. El formateo de salida con f-strings para el promedio (:.2f) es impecable.Autogestión: El Notebook está perfectamente organizado, facilitando la revisión y el seguimiento de cada instrucción.Motivación: Han demostrado que dominan la herramienta y, lo más importante, que mantienen el control sobre ella. En el mundo de la analítica, la IA es un multiplicador de fuerza, pero el criterio lo ponen ustedes. Sigan explorando estas estructuras lógicas complejas; tienen el potencial para liderar proyectos de automatización de alto impacto. ¡Felicitaciones!Rúbrica de CalificaciónCriterio de EvaluaciónRequisito TécnicoPuntaje MáximoPuntaje ObtenidoEstructura (Prompt Engineering)Uso avanzado de etiquetas XML para definir rol, entrada y tarea de forma precisa.15.015.0Funcionalidad PythonCódigo impecable. Resolución exitosa de las 4 tareas con restricciones lógicas.15.015.0Documentación y XMLExplicación clara de los prompts y uso correcto de etiquetas para documentar.10.010.0Autogestión y PresentaciónEntrega grupal puntual, formato .ipynb correcto y salida en consola profesional.10.010.0TOTAL50.050.0Diego Mauricio Zuluaga Rodríguez Profesor - Departamento de Economía Universidad de La Sabana"/>
    <n v="50"/>
    <n v="50"/>
    <n v="1"/>
  </r>
  <r>
    <x v="3"/>
    <s v="Nicolas"/>
    <s v="Torres Calderon"/>
    <s v="nicolastorca@unisabana.edu.co"/>
    <x v="11"/>
    <d v="2026-03-11T00:00:00"/>
    <x v="2"/>
    <s v="Entregado"/>
    <s v="Retroalimentación de la Entrega: Mi Primer Análisis con IA (Prompt Engineering)Grupo: Nicolas Torres Calderón, Juan Camilo Leyton Lancheros, Cristian Bermudez.Calificación Final: 20/50 (Equivalente a 2.0)Comentarios del Profesor:Equipo, he revisado su entrega. Desde el punto de vista técnico, el código en Python es correcto y eficiente. Lograron resolver los cuatro problemas planteados (total, promedio, conteo y valor máximo) con una lógica impecable. Sin embargo, esta tarea no evaluaba únicamente si el código funcionaba, sino su capacidad de Autogestión y el dominio de la técnica de Prompt Engineering.Puntos a mejorar (Críticos):Incumplimiento de Requisitos de Prompting: El enunciado solicitaba explícitamente mostrar los prompts utilizando lenguaje XML (&amp;lt;instruccion&amp;gt;) en celdas de Markdown. En su entrega, no hay rastro de las instrucciones que le dieron a la IA.Falta de Documentación y Explicación: Se requería que la IA explicara el código generado para cada punto y que ustedes comentaran las líneas de código. Su archivo solo contiene el código &quot;crudo&quot;, omitiendo el componente pedagógico y ético de la actividad.Presentación (UX): Aunque los cálculos son correctos, no aplicaron formatos de moneda (f-strings) para que los resultados fueran legibles para un usuario final (ej. $10,750,000.00 en lugar de 10750000).Motivación: Tienen una excelente base lógica y técnica en Python; el código que escribieron (o generaron) es de alta calidad. No obstante, en este curso la Autogestión (seguir instrucciones al pie de la letra) es tan importante como la programación. Los invito a leer con mucha más minuciosidad los requerimientos de las próximas entregas. Si aplican su talento técnico siguiendo los protocolos solicitados, sus resultados serán sobresalientes.Rúbrica de CalificaciónCriterio de EvaluaciónRequisito TécnicoPuntaje MáximoPuntaje ObtenidoEstructura (Prompt Engineering)Uso de etiquetas XML y redacción de instrucciones claras en Markdown.15.00.0Funcionalidad PythonEl código resuelve los cálculos correctamente y se ejecuta sin errores.15.015.0DocumentaciónInclusión de las explicaciones de la IA y comentarios en el código.10.00.0Autogestión y PresentaciónFormato de entrega (.ipynb), trabajo en equipo y claridad de salida.10.05.0TOTAL50.020.0Diego Mauricio Zuluaga Rodríguez Profesor - Departamento de Economía Universidad de La Sabana"/>
    <n v="20"/>
    <n v="50"/>
    <n v="0.4"/>
  </r>
  <r>
    <x v="4"/>
    <s v="Cristian"/>
    <s v="Bermudez"/>
    <s v="cristianbe@unisabana.edu.co"/>
    <x v="11"/>
    <d v="2026-03-11T00:00:00"/>
    <x v="2"/>
    <s v="Entregado"/>
    <s v="Retroalimentación de la Entrega: Mi Primer Análisis con IA (Prompt Engineering)Grupo: Nicolas Torres Calderón, Juan Camilo Leyton Lancheros, Cristian Bermudez.Calificación Final: 20/50 (Equivalente a 2.0)Comentarios del Profesor:Equipo, he revisado su entrega. Desde el punto de vista técnico, el código en Python es correcto y eficiente. Lograron resolver los cuatro problemas planteados (total, promedio, conteo y valor máximo) con una lógica impecable. Sin embargo, esta tarea no evaluaba únicamente si el código funcionaba, sino su capacidad de Autogestión y el dominio de la técnica de Prompt Engineering.Puntos a mejorar (Críticos):Incumplimiento de Requisitos de Prompting: El enunciado solicitaba explícitamente mostrar los prompts utilizando lenguaje XML (&amp;lt;instruccion&amp;gt;) en celdas de Markdown. En su entrega, no hay rastro de las instrucciones que le dieron a la IA.Falta de Documentación y Explicación: Se requería que la IA explicara el código generado para cada punto y que ustedes comentaran las líneas de código. Su archivo solo contiene el código &quot;crudo&quot;, omitiendo el componente pedagógico y ético de la actividad.Presentación (UX): Aunque los cálculos son correctos, no aplicaron formatos de moneda (f-strings) para que los resultados fueran legibles para un usuario final (ej. $10,750,000.00 en lugar de 10750000).Motivación: Tienen una excelente base lógica y técnica en Python; el código que escribieron (o generaron) es de alta calidad. No obstante, en este curso la Autogestión (seguir instrucciones al pie de la letra) es tan importante como la programación. Los invito a leer con mucha más minuciosidad los requerimientos de las próximas entregas. Si aplican su talento técnico siguiendo los protocolos solicitados, sus resultados serán sobresalientes.Rúbrica de CalificaciónCriterio de EvaluaciónRequisito TécnicoPuntaje MáximoPuntaje ObtenidoEstructura (Prompt Engineering)Uso de etiquetas XML y redacción de instrucciones claras en Markdown.15.00.0Funcionalidad PythonEl código resuelve los cálculos correctamente y se ejecuta sin errores.15.015.0DocumentaciónInclusión de las explicaciones de la IA y comentarios en el código.10.00.0Autogestión y PresentaciónFormato de entrega (.ipynb), trabajo en equipo y claridad de salida.10.05.0TOTAL50.020.0Diego Mauricio Zuluaga Rodríguez Profesor - Departamento de Economía Universidad de La Sabana"/>
    <n v="20"/>
    <n v="50"/>
    <n v="0.4"/>
  </r>
  <r>
    <x v="5"/>
    <s v="Mariana"/>
    <s v="Carmona Romero"/>
    <s v="marianacarrom@unisabana.edu.co"/>
    <x v="11"/>
    <d v="2026-03-11T00:00:00"/>
    <x v="2"/>
    <s v="Entregado"/>
    <s v="Calificación: 0.0/50Retroalimentación:Estimado estudiante,He revisado el buzón de entrega y no se registra tu participación en la Tarea 2 Clase 5: Mi Primer Análisis con IA (Prompt Engineering).Como hemos enfatizado desde el inicio del semestre, la Autogestión es la competencia principal que buscamos desarrollar en este curso. En el mundo profesional, y especialmente en roles de liderazgo técnico (CTO), el cumplimiento de los cronogramas y la entrega de los &quot;Checkpoints&quot; es tan importante como la calidad del código mismo.Recuerda el análisis que vimos al cierre del Corte 1: las notas de seguimiento (20%) son las que definen si tu promedio refleja excelencia o simplemente suficiencia. Un 0.0 en esta actividad impacta directamente tu progreso en este segundo corte.Motivación:No permitas que este incumplimiento afecte tu ritmo de aprendizaje. Estamos entrando en temas de alta complejidad técnica y tu compromiso con las tareas semanales es lo único que garantizará tu éxito en el próximo parcial. Te invito a retomar la disciplina y asegurar la entrega de las próximas actividades a tiempo.Atentamente,Diego Mauricio Zuluaga RodríguezProfesor - Departamento de EconomíaUniversidad de La Sabana"/>
    <n v="0"/>
    <n v="50"/>
    <n v="0"/>
  </r>
  <r>
    <x v="6"/>
    <s v="Mariana"/>
    <s v="Pena Rodriguez"/>
    <s v="marianapero@unisabana.edu.co"/>
    <x v="11"/>
    <d v="2026-03-11T00:00:00"/>
    <x v="2"/>
    <s v="Entregado"/>
    <s v="Retroalimentación de la Entrega: Mi Primer Análisis con IA (Prompt Engineering)Grupo: Mariana Peña Rodríguez, Matías Mondragón Osorio, Arianne Mariana Amorocho Quiroga.Calificación Final: 50/50 (Equivalente a 5.0)Comentarios del Profesor: ¡Excelente_x000a_ trabajo, equipo! Han capturado a la perfección la esencia de lo que _x000a_significa ser un &quot;Arquitecto de Soluciones&quot; en la era de la Inteligencia_x000a_ Artificial. No se limitaron a usar la IA como una calculadora _x000a_glorificada, sino que la utilizaron como un asistente técnico al que le _x000a_exigieron explicaciones lógicas y matemáticas.Puntos Destacados:Prompt Engineering (Uso de XML): La estructuración de sus instrucciones utilizando las etiquetas &amp;lt;instruccion&amp;gt;_x000a_ fue impecable. Fueron directos, establecieron el rol (&quot;Actúa como un _x000a_analista de datos&quot;) y exigieron explicaciones detalladas. Esta es la _x000a_forma correcta de interactuar con modelos de lenguaje.Lógica de Programación: La solución para encontrar el día de la semana con la venta más alta (usando max() y .index()_x000a_ para mapearlo con una lista de días de texto) es brillante y muy _x000a_&quot;Pythónica&quot;. Demuestra que auditaron el código y entendieron la relación_x000a_ entre los índices de dos listas paralelas.Presentación (UX): El uso de f-strings con separadores de miles (:,.2f)_x000a_ y emojis hace que los resultados en consola sean legibles y _x000a_profesionales, listos para ser presentados en un informe gerencial.Autogestión:_x000a_ La declaración de autoría y la nota ética al inicio del Notebook _x000a_demuestran un alto nivel de profesionalismo y responsabilidad sobre el _x000a_código generado.Motivación: Sigan_x000a_ cultivando esta habilidad. En el mercado laboral actual, la ventaja _x000a_competitiva no la tiene quien memoriza todo el código, sino quien sabe _x000a_hacer las preguntas correctas a la IA y tiene el criterio técnico para _x000a_auditar, corregir y optimizar las respuestas. ¡Están en el camino _x000a_correcto para liderar proyectos tecnológicos en sus carreras!Rúbrica de CalificaciónCriterio de EvaluaciónRequisito TécnicoPuntaje MáximoPuntaje ObtenidoEstructura (Prompt Engineering)Uso correcto de etiquetas XML y redacción de instrucciones claras, precisas y con contexto para las 4 tareas.15.015.0Funcionalidad PythonEl código generado resuelve correctamente los cálculos (total, promedio, conteo y máximo). Ejecución sin errores.15.015.0DocumentaciónInclusión de las explicaciones de la IA en celdas Markdown y código debidamente comentado.10.010.0Autogestión y PresentaciónFormato de entrega correcto (.ipynb), trabajo en equipo evidenciado y excelente formato de salida en consola.10.010.0TOTAL50.050.0Diego Mauricio Zuluaga Rodríguez Profesor - Departamento de Economía Universidad de La Sabana"/>
    <n v="50"/>
    <n v="50"/>
    <n v="1"/>
  </r>
  <r>
    <x v="7"/>
    <s v="Isabella"/>
    <s v="Carranza Tapiero"/>
    <s v="isabellacata@unisabana.edu.co"/>
    <x v="11"/>
    <d v="2026-03-11T00:00:00"/>
    <x v="2"/>
    <s v="Entregado"/>
    <s v="Retroalimentación de la Entrega: Mi Primer Análisis con IA (Prompt Engineering)Grupo: Valeria Morales, Isabella Carranza Tapiero, Paula Andrea Arciniegas Cárdenas.Calificación Final: 50/50 (Equivalente a 5.0)Comentarios del Profesor:¡Excelente trabajo, equipo! Han presentado una de las tareas más completas y mejor estructuradas del curso. No solo cumplieron con los requisitos técnicos de programación y Prompt Engineering, sino que elevaron el nivel del ejercicio al incluir un análisis de negocio real.Puntos Destacados:Dominio del Prompt Engineering (XML): El uso de etiquetas XML para estructurar las instrucciones fue impecable. Utilizar etiquetas como &amp;lt;objetivo&amp;gt;, &amp;lt;instruccion&amp;gt; y &amp;lt;salida_esperada&amp;gt; demuestra una comprensión avanzada de cómo comunicarse con modelos de lenguaje de forma profesional y determinista.Excelencia Técnica en Python: La implementación en la Tarea 3 utilizando una expresión generadora (sum(1 for venta in ventas_semanales if venta &amp;gt; umbral)) es una solución muy eficiente y elegante, demostrando un nivel de programación superior al promedio.Documentación y Ética: El bloque final de documentación XML es extraordinario. Es fundamental que hayan incluido las &quot;Notas Éticas&quot; sobre la auditoría humana y las alucinaciones de la IA; esto es precisamente lo que buscamos en la competencia de Autogestión.Valor Agregado (Marketing Insights): Felicito al grupo por ir más allá del código. Incluir conclusiones y recomendaciones basadas en los datos (como el análisis del desempeño del domingo vs. el sábado) es lo que diferencia a un programador de un analista de decisiones de la EICEA.Motivación:Han demostrado que dominan la herramienta y, lo más importante, que mantienen el criterio crítico sobre los resultados. Este es el camino para convertirse en líderes que utilizan la tecnología para generar valor estratégico. ¡Sigan con este nivel de rigor y curiosidad!Rúbrica de CalificaciónCriterio de EvaluaciónRequisito TécnicoPuntaje MáximoPuntaje ObtenidoEstructura (Prompt Engineering)Uso impecable de etiquetas XML y redacción de instrucciones precisas para las 4 tareas.15.015.0Funcionalidad PythonCódigo funcional, eficiente y validado. Uso correcto de funciones integradas y lógica de índices.15.015.0Documentación XMLExplicación detallada de cada prompt y proceso lógico en formato XML.10.010.0Autogestión y PresentaciónEntrega puntual, formato .ipynb perfecto y adición de análisis de resultados (Insights).10.010.0TOTAL50.050.0Diego Mauricio Zuluaga Rodríguez Profesor - Departamento de Economía Universidad de La Sabana"/>
    <n v="50"/>
    <n v="50"/>
    <n v="1"/>
  </r>
  <r>
    <x v="8"/>
    <s v="Samuel David"/>
    <s v="Lozano Holguin"/>
    <s v="samuelloho@unisabana.edu.co"/>
    <x v="11"/>
    <d v="2026-03-11T00:00:00"/>
    <x v="2"/>
    <s v="Entregado"/>
    <s v="Retroalimentación de la Entrega: Mi Primer Análisis con IAGrupo: Sebastián Vanoy Gutiérrez, Samuel David Lozano Holguín, Samuel Mathias González Bernal.Calificación Final: 25/50 (Equivalente a 2.5)Comentarios del Profesor:Equipo, han entregado un trabajo que cumple con la ejecución de los cálculos básicos en Python, pero que omite gran parte de los requerimientos técnicos y metodológicos exigidos en el enunciado de la Clase 5 sobre Prompt Engineering.Puntos a mejorar (Críticos):Uso de XML: El enunciado solicitaba explícitamente el uso de etiquetas XML (ej: &amp;lt;instruccion&amp;gt;...&amp;lt;/instruccion&amp;gt;) para estructurar los prompts. Ustedes utilizaron comentarios de HTML (&amp;lt;!-- --&amp;gt;), lo cual no cumple con la técnica de &quot;Arquitecto de Soluciones&quot; vista en clase para dar contexto a la IA.Explicación de la IA: Se pidió obligatoriamente que, mediante prompts en XML, le solicitaran a la IA explicar el código generado para cada punto. Esta sección de metacognición y documentación está totalmente ausente en su entrega.Precisión en el Punto 4: El requerimiento era encontrar el día de la semana (nombre: Lunes, Martes, etc.) con la venta más alta. Su código solo entrega el valor numérico máximo (2300000), omitiendo la lógica de índices necesaria para identificar el nombre del día.Documentación: No incluyeron comentarios línea a línea explicando el funcionamiento del código, ni las celdas de Markdown con las respuestas explicativas de la IA.Puntos Destacados:El uso de List Comprehension en el punto 3 demuestra que lograron obtener una respuesta avanzada de la IA, aunque faltó el criterio humano para documentarla y explicarla.Rúbrica de CalificaciónCriterio de EvaluaciónRequisito TécnicoPuntaje MáximoPuntaje ObtenidoEstructura (Prompt Engineering)Uso de etiquetas XML pedagógicas y prompts con contexto.15.05.0Funcionalidad PythonCálculos correctos. El punto 4 no identifica el nombre del día.15.010.0Documentación y Explicación IAUso de XML para pedir explicaciones a la IA y comentarios en código.10.00.0Autogestión y PresentaciónFormato .ipynb, trabajo en grupo y entrega a tiempo.10.010.0TOTAL50.025.0Motivación: Tienen la capacidad técnica para ejecutar el código, pero en este corte el objetivo es dominar la interacción estratégica con la IA. Programar hoy en día no es solo &quot;sacar el resultado&quot;, es saber auditar y documentar el proceso. Los invito a leer minuciosamente los requerimientos en la próxima tarea; la atención al detalle es lo que diferencia a un analista promedio de un líder en tecnología. ¡Ánimo para la siguiente entrega!Diego Mauricio Zuluaga Rodríguez Profesor - Departamento de Economía Universidad de La Sabana"/>
    <n v="25"/>
    <n v="50"/>
    <n v="0.5"/>
  </r>
  <r>
    <x v="9"/>
    <s v="Sebastian"/>
    <s v="Vanoy Gutierrez"/>
    <s v="sebastianvagu@unisabana.edu.co"/>
    <x v="11"/>
    <d v="2026-03-11T00:00:00"/>
    <x v="2"/>
    <s v="Entregado"/>
    <s v="Retroalimentación de la Entrega: Mi Primer Análisis con IAGrupo: Sebastián Vanoy Gutiérrez, Samuel David Lozano Holguín, Samuel Mathias González Bernal.Calificación Final: 25/50 (Equivalente a 2.5)Comentarios del Profesor:Equipo, han entregado un trabajo que cumple con la ejecución de los cálculos básicos en Python, pero que omite gran parte de los requerimientos técnicos y metodológicos exigidos en el enunciado de la Clase 5 sobre Prompt Engineering.Puntos a mejorar (Críticos):Uso de XML: El enunciado solicitaba explícitamente el uso de etiquetas XML (ej: &amp;lt;instruccion&amp;gt;...&amp;lt;/instruccion&amp;gt;) para estructurar los prompts. Ustedes utilizaron comentarios de HTML (&amp;lt;!-- --&amp;gt;), lo cual no cumple con la técnica de &quot;Arquitecto de Soluciones&quot; vista en clase para dar contexto a la IA.Explicación de la IA: Se pidió obligatoriamente que, mediante prompts en XML, le solicitaran a la IA explicar el código generado para cada punto. Esta sección de metacognición y documentación está totalmente ausente en su entrega.Precisión en el Punto 4: El requerimiento era encontrar el día de la semana (nombre: Lunes, Martes, etc.) con la venta más alta. Su código solo entrega el valor numérico máximo (2300000), omitiendo la lógica de índices necesaria para identificar el nombre del día.Documentación: No incluyeron comentarios línea a línea explicando el funcionamiento del código, ni las celdas de Markdown con las respuestas explicativas de la IA.Puntos Destacados:El uso de List Comprehension en el punto 3 demuestra que lograron obtener una respuesta avanzada de la IA, aunque faltó el criterio humano para documentarla y explicarla.Rúbrica de CalificaciónCriterio de EvaluaciónRequisito TécnicoPuntaje MáximoPuntaje ObtenidoEstructura (Prompt Engineering)Uso de etiquetas XML pedagógicas y prompts con contexto.15.05.0Funcionalidad PythonCálculos correctos. El punto 4 no identifica el nombre del día.15.010.0Documentación y Explicación IAUso de XML para pedir explicaciones a la IA y comentarios en código.10.00.0Autogestión y PresentaciónFormato .ipynb, trabajo en grupo y entrega a tiempo.10.010.0TOTAL50.025.0Motivación: Tienen la capacidad técnica para ejecutar el código, pero en este corte el objetivo es dominar la interacción estratégica con la IA. Programar hoy en día no es solo &quot;sacar el resultado&quot;, es saber auditar y documentar el proceso. Los invito a leer minuciosamente los requerimientos en la próxima tarea; la atención al detalle es lo que diferencia a un analista promedio de un líder en tecnología. ¡Ánimo para la siguiente entrega!Diego Mauricio Zuluaga Rodríguez Profesor - Departamento de Economía Universidad de La Sabana"/>
    <n v="25"/>
    <n v="50"/>
    <n v="0.5"/>
  </r>
  <r>
    <x v="10"/>
    <s v="Jose Daniel"/>
    <s v="Escobar Hurtado"/>
    <s v="joseeshu@unisabana.edu.co"/>
    <x v="11"/>
    <d v="2026-03-11T00:00:00"/>
    <x v="2"/>
    <s v="Entregado"/>
    <s v="Retroalimentación de la Entrega: Mi Primer Análisis con IA (Prompt Engineering)Grupo: Juan David Neuta Medina, Laura Fernanda Lopez Parra, Jose Daniel Escobar Hurtado.Calificación Final: 50/50 (Equivalente a 5.0)Comentarios del Profesor:¡Excelente trabajo, equipo! Han elevado el estándar de la actividad al no solo cumplir con los requisitos técnicos, sino al proponer una estructura de Prompt Engineering de nivel avanzado. Han demostrado que comprenden la IA como una herramienta de arquitectura de datos y no solo como un generador de código simple.Puntos Destacados:Ingeniería de Prompts (XML): El uso de etiquetas XML fue excepcional. No se limitaron a una etiqueta básica; crearon un &quot;Prompt Maestro&quot; con contextos, instrucciones generales y formatos de salida. Esta jerarquía facilita enormemente el trabajo de la IA y garantiza resultados consistentes.Adaptación Lógica: Aunque la instrucción sugería una lista, ustedes optaron por un Diccionario (ventas_semana). Esta decisión fue acertada, ya que permitió un análisis más natural (Día → Valor) y demostró que saben manipular estructuras de datos más complejas.Experiencia de Usuario (UX) en Consola: La presentación de los resultados es impecable. El uso de símbolos visuales (█, ═, ⭐), alineaciones de texto y el ranking de ventas transforma un simple script en un reporte gerencial profesional.Análisis de Insights: El Ejercicio 4 y la celda final de &quot;Análisis Estructurado&quot; demuestran pensamiento crítico. No solo calcularon datos, sino que estructuraron recomendaciones estratégicas (prioridades alta/media), lo cual es el valor agregado que se espera de un analista de la EICEA.Documentación: El código está perfectamente comentado, explicando el qué y el cómo de cada función utilizada (sum, len, max, sorted).Motivación: Han demostrado una capacidad sobresaliente para gestionar la tecnología de forma autónoma y crítica. Este nivel de detalle en la planeación (XML) y en la ejecución (Python) es lo que diferencia a un programador promedio de un líder en analítica de datos. Sigan manteniendo este rigor técnico en los próximos módulos de Bases de Datos. ¡Felicitaciones!Rúbrica de CalificaciónCriterio de EvaluaciónRequisito TécnicoPuntaje MáximoPuntaje ObtenidoEstructura (Prompt Engineering)Uso avanzado de etiquetas XML con contextos y jerarquías claras para las 4 tareas.15.015.0Funcionalidad PythonEl código resuelve todos los puntos con precisión matemática y lógica impecable.15.015.0Documentación XMLExplicaciones claras de la IA integradas mediante bloques XML y comentarios detallados.10.010.0Autogestión y PresentaciónFormato .ipynb perfecto, trabajo en equipo evidenciado y salida en consola de nivel profesional.10.010.0TOTAL50.050.0Diego Mauricio Zuluaga Rodríguez Profesor - Departamento de Economía Universidad de La Sabana"/>
    <n v="50"/>
    <n v="50"/>
    <n v="1"/>
  </r>
  <r>
    <x v="11"/>
    <s v="Maria Jose"/>
    <s v="Botero Galviz"/>
    <s v="mariabotga@unisabana.edu.co"/>
    <x v="11"/>
    <d v="2026-03-11T00:00:00"/>
    <x v="2"/>
    <s v="Entregado"/>
    <s v="Retroalimentación de la Entrega: Mi Primer Análisis con IA (Prompt Engineering)Grupo: Maria Juliana Mejia Quintero, Valery Linares Hernandez, Maria Jose Botero Galviz.Calificación Final: 50/50 (Equivalente a 5.0)Comentarios del Profesor: ¡Excelente trabajo, equipo! Han elevado el nivel de la tarea al diseñar prompts con una estructura XML personalizada (&amp;lt;rol&amp;gt;, &amp;lt;entrada&amp;gt;, &amp;lt;tarea&amp;gt;, &amp;lt;salida&amp;gt;). Esta metodología no solo facilita el trabajo de la IA, sino que demuestra una capacidad de abstracción y organización lógica superior, fundamental para la toma de decisiones basada en datos.Puntos Destacados:Estructura de Prompts (XML): El uso de etiquetas específicas para definir el rol y la salida esperada es una práctica de nivel profesional en Prompt Engineering. Han logrado que la IA entienda el contexto exacto de la necesidad de negocio.Desafío Lógico: Es muy valioso que hayan solicitado a la IA resolver los problemas bajo restricciones (como calcular el total con while sin usar sum(), o encontrar el mayor sin usar max()). Esto demuestra que no solo buscan el resultado, sino que auditan la lógica algorítmica detrás de la solución.Precisión Técnica: El código es limpio, funcional y utiliza correctamente los tipos de datos y estructuras de control vistos en el corte. El formateo de salida con f-strings para el promedio (:.2f) es impecable.Autogestión: El Notebook está perfectamente organizado, facilitando la revisión y el seguimiento de cada instrucción.Motivación: Han demostrado que dominan la herramienta y, lo más importante, que mantienen el control sobre ella. En el mundo de la analítica, la IA es un multiplicador de fuerza, pero el criterio lo ponen ustedes. Sigan explorando estas estructuras lógicas complejas; tienen el potencial para liderar proyectos de automatización de alto impacto. ¡Felicitaciones!Rúbrica de CalificaciónCriterio de EvaluaciónRequisito TécnicoPuntaje MáximoPuntaje ObtenidoEstructura (Prompt Engineering)Uso avanzado de etiquetas XML para definir rol, entrada y tarea de forma precisa.15.015.0Funcionalidad PythonCódigo impecable. Resolución exitosa de las 4 tareas con restricciones lógicas.15.015.0Documentación y XMLExplicación clara de los prompts y uso correcto de etiquetas para documentar.10.010.0Autogestión y PresentaciónEntrega grupal puntual, formato .ipynb correcto y salida en consola profesional.10.010.0TOTAL50.050.0Diego Mauricio Zuluaga Rodríguez Profesor - Departamento de Economía Universidad de La Sabana"/>
    <n v="50"/>
    <n v="50"/>
    <n v="1"/>
  </r>
  <r>
    <x v="12"/>
    <s v="Maria Juliana"/>
    <s v="Mejia Quintero"/>
    <s v="mariamequ@unisabana.edu.co"/>
    <x v="11"/>
    <d v="2026-03-11T00:00:00"/>
    <x v="2"/>
    <s v="Entregado"/>
    <s v="Retroalimentación de la Entrega: Mi Primer Análisis con IA (Prompt Engineering)Grupo: Maria Juliana Mejia Quintero, Valery Linares Hernandez, Maria Jose Botero Galviz.Calificación Final: 50/50 (Equivalente a 5.0)Comentarios del Profesor: ¡Excelente trabajo, equipo! Han elevado el nivel de la tarea al diseñar prompts con una estructura XML personalizada (&amp;lt;rol&amp;gt;, &amp;lt;entrada&amp;gt;, &amp;lt;tarea&amp;gt;, &amp;lt;salida&amp;gt;). Esta metodología no solo facilita el trabajo de la IA, sino que demuestra una capacidad de abstracción y organización lógica superior, fundamental para la toma de decisiones basada en datos.Puntos Destacados:Estructura de Prompts (XML): El uso de etiquetas específicas para definir el rol y la salida esperada es una práctica de nivel profesional en Prompt Engineering. Han logrado que la IA entienda el contexto exacto de la necesidad de negocio.Desafío Lógico: Es muy valioso que hayan solicitado a la IA resolver los problemas bajo restricciones (como calcular el total con while sin usar sum(), o encontrar el mayor sin usar max()). Esto demuestra que no solo buscan el resultado, sino que auditan la lógica algorítmica detrás de la solución.Precisión Técnica: El código es limpio, funcional y utiliza correctamente los tipos de datos y estructuras de control vistos en el corte. El formateo de salida con f-strings para el promedio (:.2f) es impecable.Autogestión: El Notebook está perfectamente organizado, facilitando la revisión y el seguimiento de cada instrucción.Motivación: Han demostrado que dominan la herramienta y, lo más importante, que mantienen el control sobre ella. En el mundo de la analítica, la IA es un multiplicador de fuerza, pero el criterio lo ponen ustedes. Sigan explorando estas estructuras lógicas complejas; tienen el potencial para liderar proyectos de automatización de alto impacto. ¡Felicitaciones!Rúbrica de CalificaciónCriterio de EvaluaciónRequisito TécnicoPuntaje MáximoPuntaje ObtenidoEstructura (Prompt Engineering)Uso avanzado de etiquetas XML para definir rol, entrada y tarea de forma precisa.15.015.0Funcionalidad PythonCódigo impecable. Resolución exitosa de las 4 tareas con restricciones lógicas.15.015.0Documentación y XMLExplicación clara de los prompts y uso correcto de etiquetas para documentar.10.010.0Autogestión y PresentaciónEntrega grupal puntual, formato .ipynb correcto y salida en consola profesional.10.010.0TOTAL50.050.0Diego Mauricio Zuluaga Rodríguez Profesor - Departamento de Economía Universidad de La Sabana"/>
    <n v="50"/>
    <n v="50"/>
    <n v="1"/>
  </r>
  <r>
    <x v="13"/>
    <s v="Alejandra"/>
    <s v="Leon Vargas"/>
    <s v="alejandraleva@unisabana.edu.co"/>
    <x v="11"/>
    <d v="2026-03-11T00:00:00"/>
    <x v="2"/>
    <s v="Entregado"/>
    <s v="Retroalimentación de la Entrega: Mi Primer Análisis con IA (Prompt Engineering)Grupo: Alejandra León Vargas, Sofia Giraldo Pico.Calificación Final: 45/50 (Equivalente a 4.5)Comentarios del Profesor:Buen trabajo, equipo. Han logrado aplicar correctamente la metodología de Prompt Engineering utilizando etiquetas XML para estructurar las instrucciones enviadas a la IA. El flujo del Notebook es claro y el código generado cumple con los objetivos técnicos planteados.Puntos Destacados:Estructura XML: El uso de las etiquetas &amp;lt;instruccion&amp;gt; y &amp;lt;explicacion&amp;gt; fue preciso y facilitó que la IA generara respuestas alineadas con lo solicitado.Lógica Técnica: El código generado por la IA es eficiente. El uso de la comprensión de listas para contar los días de altas ventas (sum(1 for venta in...)) y el manejo de index() + 1 para identificar el día son soluciones limpias.Documentación: Incluyeron una celda final de explicación que resume bien el uso de las funciones integradas de Python.Oportunidad de Mejora (Autogestión):Puntualidad: La tarea fue entregada 28 minutos tarde. Como hemos conversado, la autogestión del tiempo es una competencia crítica en este curso y en la vida profesional. Por este motivo, se aplica una penalización de -5 puntos sobre la nota final.Formato de Salida: Para futuros ejercicios financieros, les sugiero pedirle a la IA que use f-strings con formato de miles (ej: f&quot;${valor:,.2f}&quot;) para que los resultados sean más legibles para un usuario de negocios.Motivación: Tienen un dominio claro de cómo guiar a la IA. No pierdan de vista que la disciplina en los tiempos de entrega es lo que separa a un buen analista de uno excepcional. ¡Sigan adelante con el mismo rigor técnico en el resto del corte!Rúbrica de CalificaciónCriterio de EvaluaciónRequisito TécnicoPuntaje MáximoPuntaje ObtenidoEstructura (Prompt Engineering)Uso correcto de etiquetas XML y redacción de instrucciones claras para las 4 tareas.15.015.0Funcionalidad PythonEl código generado resuelve correctamente los cálculos (total, promedio, conteo y máximo).15.015.0DocumentaciónInclusión de explicaciones en XML y comentarios en el código.10.010.0Autogestión y PresentaciónFormato .ipynb correcto y trabajo en equipo.10.010.0Penalización por RetrasoEntrega extemporánea (28 minutos tarde).-5.0-5.0TOTAL50.045.0Diego Mauricio Zuluaga Rodríguez Profesor - Departamento de Economía Universidad de La Sabana"/>
    <n v="45"/>
    <n v="50"/>
    <n v="0.9"/>
  </r>
  <r>
    <x v="14"/>
    <s v="Alessandro Di Mauro"/>
    <s v="Bonilla Correa"/>
    <s v="alessandroboco@unisabana.edu.co"/>
    <x v="11"/>
    <d v="2026-03-11T00:00:00"/>
    <x v="2"/>
    <s v="Entregado"/>
    <s v="Retroalimentación de la Entrega: Mi Primer Análisis con IA (Prompt Engineering)Grupo: Gabriela Ruiz Perez, Maria Jose Huertas Osorio, Alessandro Di Mauro Bonilla Correa.Calificación Final: 45/50 (Equivalente a 4.5)Comentarios del Profesor:Buen trabajo, equipo. Han logrado aplicar la técnica de Prompt Engineering utilizando etiquetas XML para estructurar las instrucciones enviadas a la IA. El código generado es funcional y resuelve los problemas planteados de forma lógica.Puntos Destacados:Estructura XML: El uso de las etiquetas &amp;lt;instruccion&amp;gt; es correcto y demuestra que comprendieron cómo delimitar el contexto para un modelo de lenguaje.Lógica de Programación: Los cuatro ejercicios (total, promedio, conteo y máximo) funcionan perfectamente. Especialmente el ejercicio 4, donde sincronizaron correctamente la lista de días con el índice del valor máximo.Autogestión: El archivo .ipynb está bien organizado y es fácil de seguir.Oportunidades de Mejora (Sanity Check):Formato Profesional (UX): En clases anteriores vimos el poder de las f-strings para presentar datos financieros. Por ejemplo, en lugar de imprimir 1535714.2857142857, un analista de la EICEA debería usar f&quot;${promedio:,.2f}&quot; para mostrar $1,535,714.29. La claridad en la presentación de datos es vital para la toma de decisiones.Explicación de la IA: Las instrucciones solicitaban usar XML en celdas Markdown para pedirle a la IA que explicara el código generado. Aunque usaron XML para dar la orden, omitieron la parte donde la IA explica el funcionamiento técnico de la solución, lo cual es clave para su aprendizaje y auditoría del código.Motivación: Han demostrado que saben guiar a la IA para obtener resultados técnicos precisos. Sigan practicando la especificidad en sus preguntas; recuerden que en el mundo profesional, un código que no es legible o que no tiene formato de moneda difícilmente será aceptado en un reporte gerencial. ¡Buen inicio en este segundo corte!Rúbrica de CalificaciónCriterio de EvaluaciónRequisito TécnicoPuntaje MáximoPuntaje ObtenidoEstructura (Prompt Engineering)Uso correcto de etiquetas XML en los 4 prompts.15.015.0Funcionalidad PythonEl código resuelve los 4 cálculos solicitados sin errores.15.015.0Documentación (Explicación)Uso de XML para solicitar explicaciones detalladas a la IA.10.05.0Autogestión y PresentaciónEntrega en formato .ipynb y claridad en los mensajes de salida.10.010.0TOTAL50.045.0Diego Mauricio Zuluaga Rodríguez Profesor - Departamento de Economía Universidad de La Sabana"/>
    <n v="45"/>
    <n v="50"/>
    <n v="0.9"/>
  </r>
  <r>
    <x v="15"/>
    <s v="Arianne Mariana"/>
    <s v="Amorocho Quiroga"/>
    <s v="arianneamqu@unisabana.edu.co"/>
    <x v="11"/>
    <d v="2026-03-11T00:00:00"/>
    <x v="2"/>
    <s v="Entregado"/>
    <s v="Retroalimentación de la Entrega: Mi Primer Análisis con IA (Prompt Engineering)Grupo: Mariana Peña Rodríguez, Matías Mondragón Osorio, Arianne Mariana Amorocho Quiroga.Calificación Final: 50/50 (Equivalente a 5.0)Comentarios del Profesor: ¡Excelente_x000a_ trabajo, equipo! Han capturado a la perfección la esencia de lo que _x000a_significa ser un &quot;Arquitecto de Soluciones&quot; en la era de la Inteligencia_x000a_ Artificial. No se limitaron a usar la IA como una calculadora _x000a_glorificada, sino que la utilizaron como un asistente técnico al que le _x000a_exigieron explicaciones lógicas y matemáticas.Puntos Destacados:Prompt Engineering (Uso de XML): La estructuración de sus instrucciones utilizando las etiquetas &amp;lt;instruccion&amp;gt;_x000a_ fue impecable. Fueron directos, establecieron el rol (&quot;Actúa como un _x000a_analista de datos&quot;) y exigieron explicaciones detalladas. Esta es la _x000a_forma correcta de interactuar con modelos de lenguaje.Lógica de Programación: La solución para encontrar el día de la semana con la venta más alta (usando max() y .index()_x000a_ para mapearlo con una lista de días de texto) es brillante y muy _x000a_&quot;Pythónica&quot;. Demuestra que auditaron el código y entendieron la relación_x000a_ entre los índices de dos listas paralelas.Presentación (UX): El uso de f-strings con separadores de miles (:,.2f)_x000a_ y emojis hace que los resultados en consola sean legibles y _x000a_profesionales, listos para ser presentados en un informe gerencial.Autogestión:_x000a_ La declaración de autoría y la nota ética al inicio del Notebook _x000a_demuestran un alto nivel de profesionalismo y responsabilidad sobre el _x000a_código generado.Motivación: Sigan_x000a_ cultivando esta habilidad. En el mercado laboral actual, la ventaja _x000a_competitiva no la tiene quien memoriza todo el código, sino quien sabe _x000a_hacer las preguntas correctas a la IA y tiene el criterio técnico para _x000a_auditar, corregir y optimizar las respuestas. ¡Están en el camino _x000a_correcto para liderar proyectos tecnológicos en sus carreras!Rúbrica de CalificaciónCriterio de EvaluaciónRequisito TécnicoPuntaje MáximoPuntaje ObtenidoEstructura (Prompt Engineering)Uso correcto de etiquetas XML y redacción de instrucciones claras, precisas y con contexto para las 4 tareas.15.015.0Funcionalidad PythonEl código generado resuelve correctamente los cálculos (total, promedio, conteo y máximo). Ejecución sin errores.15.015.0DocumentaciónInclusión de las explicaciones de la IA en celdas Markdown y código debidamente comentado.10.010.0Autogestión y PresentaciónFormato de entrega correcto (.ipynb), trabajo en equipo evidenciado y excelente formato de salida en consola.10.010.0TOTAL50.050.0Diego Mauricio Zuluaga Rodríguez Profesor - Departamento de Economía Universidad de La Sabana"/>
    <n v="50"/>
    <n v="50"/>
    <n v="1"/>
  </r>
  <r>
    <x v="16"/>
    <s v="Maria Juliana"/>
    <s v="Herrera Pulido"/>
    <s v="mariahepu@unisabana.edu.co"/>
    <x v="11"/>
    <d v="2026-03-11T00:00:00"/>
    <x v="2"/>
    <s v="Entregado"/>
    <s v="Retroalimentación de la Entrega: Mi Primer Análisis con IA (Prompt Engineering)Integrantes: Maria Juliana Herrera Pulido, Mariana Carmona Romero.Calificación Final: 50/50 (Equivalente a 5.0)Comentarios del Profesor:Maria Juliana y Mariana, han realizado un excelente ejercicio de Prompt Engineering. El cumplimiento de las instrucciones técnicas y el uso de la inteligencia artificial como herramienta de apoyo denotan un buen proceso de autogestión y comprensión lógica.Puntos Destacados:Estructura XML: El uso de las etiquetas &amp;lt;instruccion&amp;gt; para delimitar las órdenes a la IA y &amp;lt;explicacion&amp;gt; para el cierre del análisis es impecable. Esto facilita la trazabilidad de qué se le pidió a la herramienta y qué entendieron ustedes del resultado.Funcionalidad Técnica: El código generado es 100% funcional. Las funciones sum(), len() y max() fueron aplicadas correctamente, y la lógica del ciclo for con el contador para las ventas mayores a $1.5M es precisa.Documentación: La celda final de explicación resume correctamente el propósito de cada función de Python utilizada, demostrando que no solo copiaron el código, sino que auditaron su funcionamiento.Oportunidad de Mejora (Hacia la excelencia profesional): Para sus próximos reportes financieros o de mercadeo, les sugiero solicitar a la IA que formatee los resultados numéricos como moneda.Ejemplo: En lugar de imprimir 10750000, podrían usar f-strings: print(f&quot;Total: ${total_ventas:,.0f}&quot;) para obtener un resultado más profesional: $10,750,000.Motivación: Tienen una base lógica muy sólida. Sigan practicando la precisión en sus prompts, ya que esta habilidad será fundamental cuando empecemos a integrar bases de datos SQL y análisis masivo con Pandas. ¡Buen trabajo!Rúbrica de CalificaciónCriterio de EvaluaciónRequisito TécnicoPuntaje MáximoPuntaje ObtenidoEstructura (Prompts)Uso correcto de etiquetas XML y claridad en las 4 instrucciones solicitadas.15.015.0Funcionalidad PythonEl código resuelve el total, promedio, conteo y valor máximo sin errores.15.015.0DocumentaciónUso de etiquetas de explicación y comentarios en las celdas de código.10.010.0AutogestiónEntrega en formato .ipynb, trabajo grupal y cumplimiento de plazos.10.010.0TOTAL50.050.0Diego Mauricio Zuluaga Rodríguez Profesor - Departamento de Economía Universidad de La Sabana"/>
    <n v="50"/>
    <n v="50"/>
    <n v="1"/>
  </r>
  <r>
    <x v="17"/>
    <s v="Simon Gustavo"/>
    <s v="Restrepo Alvarez"/>
    <s v="simonreal@unisabana.edu.co"/>
    <x v="11"/>
    <d v="2026-03-11T00:00:00"/>
    <x v="2"/>
    <s v="Entregado"/>
    <s v="Retroalimentación de la Entrega: Mi Primer Análisis con IA (Prompt Engineering)Grupo: Simon Gustavo Restrepo Alvarez, Mateo Perez Daza, Diego Alejandro Hermida Limas.Calificación Final: 48/50 (Equivalente a 4.8)Comentarios del Profesor: Excelente trabajo, equipo. Han llevado el uso de etiquetas XML a un nivel superior de organización, lo cual facilita enormemente la comunicación con los modelos de lenguaje. Se nota un esfuerzo por estructurar la lógica antes de solicitar el código.Puntos Destacados:Estructura XML Avanzada: El uso de etiquetas anidadas como &amp;lt;contexto&amp;gt;, &amp;lt;tarea&amp;gt; e &amp;lt;instrucciones&amp;gt; con sub-etiquetas &amp;lt;paso&amp;gt; es impecable. Es una de las mejores aplicaciones de la técnica vista en clase.Lógica de Programación: El código generado es eficiente. El uso de una &quot;comprensión de lista&quot; en el ejercicio de conteo (sum(1 for venta in...)) demuestra que supieron guiar a la IA hacia soluciones elegantes.Funcionalidad: Todos los bloques de código se ejecutaron correctamente y los resultados coinciden con el dataset proporcionado.Oportunidad de Mejora:Documentación de Salida: En la última parte del ejercicio, incluyeron los prompts XML para solicitar explicaciones a la IA, pero no adjuntaron la respuesta/explicación generada por la IA en celdas de Markdown. El objetivo del Prompt Engineering es obtener y validar esa información para el usuario final. En esta ocasión, el notebook quedó con los &quot;pedidos&quot; pero sin el &quot;resultado&quot; de la explicación.Motivación: Tienen una capacidad analítica muy alta para estructurar problemas complejos. Sigan practicando la validación de las respuestas de la IA; no se queden solo con el código, sino asegúrense de que las explicaciones que ella da sean claras para alguien que no sabe programar. ¡Van por muy buen camino!Rúbrica de CalificaciónCriterio de EvaluaciónRequisito TécnicoPuntaje MáximoPuntaje ObtenidoEstructura (Prompt Engineering)Uso excepcional de etiquetas XML anidadas y prompts claros.15.015.0Funcionalidad PythonCódigo funcional, eficiente y resultados correctos en las 4 tareas.15.015.0DocumentaciónSe incluyeron prompts de explicación, pero faltó el output de la IA.10.08.0Autogestión y PresentaciónEntrega puntual, nombres claros y buen manejo del entorno .ipynb.10.010.0TOTAL50.048.0Diego Mauricio Zuluaga Rodríguez Profesor - Departamento de Economía Universidad de La Sabana"/>
    <n v="48"/>
    <n v="50"/>
    <n v="0.96"/>
  </r>
  <r>
    <x v="18"/>
    <s v="Daniel Felipe"/>
    <s v="Camacho Pedraza"/>
    <s v="danielcampe@unisabana.edu.co"/>
    <x v="11"/>
    <d v="2026-03-11T00:00:00"/>
    <x v="2"/>
    <s v="Entregado"/>
    <s v="Calificación: 0.0/50 Retroalimentación: Estimado estudiante, He revisado el buzón de entrega y no se registra tu participación en la Tarea 2 Clase 5: Mi Primer Análisis con IA (Prompt Engineering). Como hemos enfatizado desde el inicio del semestre, la Autogestión_x000a_ es la competencia principal que buscamos desarrollar en este curso. En _x000a_el mundo profesional, y especialmente en roles de liderazgo técnico _x000a_(CTO), el cumplimiento de los cronogramas y la entrega de los _x000a_&quot;Checkpoints&quot; es tan importante como la calidad del código mismo. Recuerda_x000a_ el análisis que vimos al cierre del Corte 1: las notas de seguimiento _x000a_(20%) son las que definen si tu promedio refleja excelencia o _x000a_simplemente suficiencia. Un 0.0 en esta actividad impacta directamente _x000a_tu progreso en este segundo corte. Motivación:  No_x000a_ permitas que este incumplimiento afecte tu ritmo de aprendizaje. _x000a_Estamos entrando en temas de alta complejidad técnica y tu compromiso _x000a_con las tareas semanales es lo único que garantizará tu éxito en el _x000a_próximo parcial. Te invito a retomar la disciplina y asegurar la entrega_x000a_ de las próximas actividades a tiempo. Atentamente,Diego Mauricio Zuluaga Rodríguez Profesor - Departamento de Economía Universidad de La Sabana"/>
    <n v="0"/>
    <n v="50"/>
    <n v="0"/>
  </r>
  <r>
    <x v="19"/>
    <s v="Mateo"/>
    <s v="Perez Daza"/>
    <s v="mateopeda@unisabana.edu.co"/>
    <x v="11"/>
    <d v="2026-03-11T00:00:00"/>
    <x v="2"/>
    <s v="Entregado"/>
    <s v="Retroalimentación de la Entrega: Mi Primer Análisis con IA (Prompt Engineering)Grupo: Simon Gustavo Restrepo Alvarez, Mateo Perez Daza, Diego Alejandro Hermida Limas.Calificación Final: 48/50 (Equivalente a 4.8)Comentarios del Profesor: Excelente trabajo, equipo. Han llevado el uso de etiquetas XML a un nivel superior de organización, lo cual facilita enormemente la comunicación con los modelos de lenguaje. Se nota un esfuerzo por estructurar la lógica antes de solicitar el código.Puntos Destacados:Estructura XML Avanzada: El uso de etiquetas anidadas como &amp;lt;contexto&amp;gt;, &amp;lt;tarea&amp;gt; e &amp;lt;instrucciones&amp;gt; con sub-etiquetas &amp;lt;paso&amp;gt; es impecable. Es una de las mejores aplicaciones de la técnica vista en clase.Lógica de Programación: El código generado es eficiente. El uso de una &quot;comprensión de lista&quot; en el ejercicio de conteo (sum(1 for venta in...)) demuestra que supieron guiar a la IA hacia soluciones elegantes.Funcionalidad: Todos los bloques de código se ejecutaron correctamente y los resultados coinciden con el dataset proporcionado.Oportunidad de Mejora:Documentación de Salida: En la última parte del ejercicio, incluyeron los prompts XML para solicitar explicaciones a la IA, pero no adjuntaron la respuesta/explicación generada por la IA en celdas de Markdown. El objetivo del Prompt Engineering es obtener y validar esa información para el usuario final. En esta ocasión, el notebook quedó con los &quot;pedidos&quot; pero sin el &quot;resultado&quot; de la explicación.Motivación: Tienen una capacidad analítica muy alta para estructurar problemas complejos. Sigan practicando la validación de las respuestas de la IA; no se queden solo con el código, sino asegúrense de que las explicaciones que ella da sean claras para alguien que no sabe programar. ¡Van por muy buen camino!Rúbrica de CalificaciónCriterio de EvaluaciónRequisito TécnicoPuntaje MáximoPuntaje ObtenidoEstructura (Prompt Engineering)Uso excepcional de etiquetas XML anidadas y prompts claros.15.015.0Funcionalidad PythonCódigo funcional, eficiente y resultados correctos en las 4 tareas.15.015.0DocumentaciónSe incluyeron prompts de explicación, pero faltó el output de la IA.10.08.0Autogestión y PresentaciónEntrega puntual, nombres claros y buen manejo del entorno .ipynb.10.010.0TOTAL50.048.0Diego Mauricio Zuluaga Rodríguez Profesor - Departamento de Economía Universidad de La Sabana"/>
    <n v="48"/>
    <n v="50"/>
    <n v="0.96"/>
  </r>
  <r>
    <x v="20"/>
    <s v="Matias"/>
    <s v="Mondragon Osorio"/>
    <s v="matiasmoos@unisabana.edu.co"/>
    <x v="11"/>
    <d v="2026-03-11T00:00:00"/>
    <x v="2"/>
    <s v="Entregado"/>
    <s v="Retroalimentación de la Entrega: Mi Primer Análisis con IA (Prompt Engineering)Grupo: Mariana Peña Rodríguez, Matías Mondragón Osorio, Arianne Mariana Amorocho Quiroga.Calificación Final: 50/50 (Equivalente a 5.0)Comentarios del Profesor: ¡Excelente_x000a_ trabajo, equipo! Han capturado a la perfección la esencia de lo que _x000a_significa ser un &quot;Arquitecto de Soluciones&quot; en la era de la Inteligencia_x000a_ Artificial. No se limitaron a usar la IA como una calculadora _x000a_glorificada, sino que la utilizaron como un asistente técnico al que le _x000a_exigieron explicaciones lógicas y matemáticas.Puntos Destacados:Prompt Engineering (Uso de XML): La estructuración de sus instrucciones utilizando las etiquetas &amp;lt;instruccion&amp;gt;_x000a_ fue impecable. Fueron directos, establecieron el rol (&quot;Actúa como un _x000a_analista de datos&quot;) y exigieron explicaciones detalladas. Esta es la _x000a_forma correcta de interactuar con modelos de lenguaje.Lógica de Programación: La solución para encontrar el día de la semana con la venta más alta (usando max() y .index()_x000a_ para mapearlo con una lista de días de texto) es brillante y muy _x000a_&quot;Pythónica&quot;. Demuestra que auditaron el código y entendieron la relación_x000a_ entre los índices de dos listas paralelas.Presentación (UX): El uso de f-strings con separadores de miles (:,.2f)_x000a_ y emojis hace que los resultados en consola sean legibles y _x000a_profesionales, listos para ser presentados en un informe gerencial.Autogestión:_x000a_ La declaración de autoría y la nota ética al inicio del Notebook _x000a_demuestran un alto nivel de profesionalismo y responsabilidad sobre el _x000a_código generado.Motivación: Sigan_x000a_ cultivando esta habilidad. En el mercado laboral actual, la ventaja _x000a_competitiva no la tiene quien memoriza todo el código, sino quien sabe _x000a_hacer las preguntas correctas a la IA y tiene el criterio técnico para _x000a_auditar, corregir y optimizar las respuestas. ¡Están en el camino _x000a_correcto para liderar proyectos tecnológicos en sus carreras!Rúbrica de CalificaciónCriterio de EvaluaciónRequisito TécnicoPuntaje MáximoPuntaje ObtenidoEstructura (Prompt Engineering)Uso correcto de etiquetas XML y redacción de instrucciones claras, precisas y con contexto para las 4 tareas.15.015.0Funcionalidad PythonEl código generado resuelve correctamente los cálculos (total, promedio, conteo y máximo). Ejecución sin errores.15.015.0DocumentaciónInclusión de las explicaciones de la IA en celdas Markdown y código debidamente comentado.10.010.0Autogestión y PresentaciónFormato de entrega correcto (.ipynb), trabajo en equipo evidenciado y excelente formato de salida en consola.10.010.0TOTAL50.050.0Diego Mauricio Zuluaga Rodríguez Profesor - Departamento de Economía Universidad de La Sabana"/>
    <n v="50"/>
    <n v="50"/>
    <n v="1"/>
  </r>
  <r>
    <x v="21"/>
    <s v="Juan David"/>
    <s v="Neuta Medina"/>
    <s v="juanneme@unisabana.edu.co"/>
    <x v="11"/>
    <d v="2026-03-11T00:00:00"/>
    <x v="2"/>
    <s v="Entregado"/>
    <s v="Retroalimentación de la Entrega: Mi Primer Análisis con IA (Prompt Engineering)Grupo: Juan David Neuta Medina, Laura Fernanda Lopez Parra, Jose Daniel Escobar Hurtado.Calificación Final: 50/50 (Equivalente a 5.0)Comentarios del Profesor:¡Excelente trabajo, equipo! Han elevado el estándar de la actividad al no solo cumplir con los requisitos técnicos, sino al proponer una estructura de Prompt Engineering de nivel avanzado. Han demostrado que comprenden la IA como una herramienta de arquitectura de datos y no solo como un generador de código simple.Puntos Destacados:Ingeniería de Prompts (XML): El uso de etiquetas XML fue excepcional. No se limitaron a una etiqueta básica; crearon un &quot;Prompt Maestro&quot; con contextos, instrucciones generales y formatos de salida. Esta jerarquía facilita enormemente el trabajo de la IA y garantiza resultados consistentes.Adaptación Lógica: Aunque la instrucción sugería una lista, ustedes optaron por un Diccionario (ventas_semana). Esta decisión fue acertada, ya que permitió un análisis más natural (Día → Valor) y demostró que saben manipular estructuras de datos más complejas.Experiencia de Usuario (UX) en Consola: La presentación de los resultados es impecable. El uso de símbolos visuales (█, ═, ⭐), alineaciones de texto y el ranking de ventas transforma un simple script en un reporte gerencial profesional.Análisis de Insights: El Ejercicio 4 y la celda final de &quot;Análisis Estructurado&quot; demuestran pensamiento crítico. No solo calcularon datos, sino que estructuraron recomendaciones estratégicas (prioridades alta/media), lo cual es el valor agregado que se espera de un analista de la EICEA.Documentación: El código está perfectamente comentado, explicando el qué y el cómo de cada función utilizada (sum, len, max, sorted).Motivación: Han demostrado una capacidad sobresaliente para gestionar la tecnología de forma autónoma y crítica. Este nivel de detalle en la planeación (XML) y en la ejecución (Python) es lo que diferencia a un programador promedio de un líder en analítica de datos. Sigan manteniendo este rigor técnico en los próximos módulos de Bases de Datos. ¡Felicitaciones!Rúbrica de CalificaciónCriterio de EvaluaciónRequisito TécnicoPuntaje MáximoPuntaje ObtenidoEstructura (Prompt Engineering)Uso avanzado de etiquetas XML con contextos y jerarquías claras para las 4 tareas.15.015.0Funcionalidad PythonEl código resuelve todos los puntos con precisión matemática y lógica impecable.15.015.0Documentación XMLExplicaciones claras de la IA integradas mediante bloques XML y comentarios detallados.10.010.0Autogestión y PresentaciónFormato .ipynb perfecto, trabajo en equipo evidenciado y salida en consola de nivel profesional.10.010.0TOTAL50.050.0Diego Mauricio Zuluaga Rodríguez Profesor - Departamento de Economía Universidad de La Sabana"/>
    <n v="50"/>
    <n v="50"/>
    <n v="1"/>
  </r>
  <r>
    <x v="22"/>
    <s v="Laura Fernanda"/>
    <s v="Lopez Parra"/>
    <s v="lauraloppa@unisabana.edu.co"/>
    <x v="11"/>
    <d v="2026-03-11T00:00:00"/>
    <x v="2"/>
    <s v="Entregado"/>
    <s v="Retroalimentación de la Entrega: Mi Primer Análisis con IA (Prompt Engineering)Grupo: Juan David Neuta Medina, Laura Fernanda Lopez Parra, Jose Daniel Escobar Hurtado.Calificación Final: 50/50 (Equivalente a 5.0)Comentarios del Profesor:¡Excelente trabajo, equipo! Han elevado el estándar de la actividad al no solo cumplir con los requisitos técnicos, sino al proponer una estructura de Prompt Engineering de nivel avanzado. Han demostrado que comprenden la IA como una herramienta de arquitectura de datos y no solo como un generador de código simple.Puntos Destacados:Ingeniería de Prompts (XML): El uso de etiquetas XML fue excepcional. No se limitaron a una etiqueta básica; crearon un &quot;Prompt Maestro&quot; con contextos, instrucciones generales y formatos de salida. Esta jerarquía facilita enormemente el trabajo de la IA y garantiza resultados consistentes.Adaptación Lógica: Aunque la instrucción sugería una lista, ustedes optaron por un Diccionario (ventas_semana). Esta decisión fue acertada, ya que permitió un análisis más natural (Día → Valor) y demostró que saben manipular estructuras de datos más complejas.Experiencia de Usuario (UX) en Consola: La presentación de los resultados es impecable. El uso de símbolos visuales (█, ═, ⭐), alineaciones de texto y el ranking de ventas transforma un simple script en un reporte gerencial profesional.Análisis de Insights: El Ejercicio 4 y la celda final de &quot;Análisis Estructurado&quot; demuestran pensamiento crítico. No solo calcularon datos, sino que estructuraron recomendaciones estratégicas (prioridades alta/media), lo cual es el valor agregado que se espera de un analista de la EICEA.Documentación: El código está perfectamente comentado, explicando el qué y el cómo de cada función utilizada (sum, len, max, sorted).Motivación: Han demostrado una capacidad sobresaliente para gestionar la tecnología de forma autónoma y crítica. Este nivel de detalle en la planeación (XML) y en la ejecución (Python) es lo que diferencia a un programador promedio de un líder en analítica de datos. Sigan manteniendo este rigor técnico en los próximos módulos de Bases de Datos. ¡Felicitaciones!Rúbrica de CalificaciónCriterio de EvaluaciónRequisito TécnicoPuntaje MáximoPuntaje ObtenidoEstructura (Prompt Engineering)Uso avanzado de etiquetas XML con contextos y jerarquías claras para las 4 tareas.15.015.0Funcionalidad PythonEl código resuelve todos los puntos con precisión matemática y lógica impecable.15.015.0Documentación XMLExplicaciones claras de la IA integradas mediante bloques XML y comentarios detallados.10.010.0Autogestión y PresentaciónFormato .ipynb perfecto, trabajo en equipo evidenciado y salida en consola de nivel profesional.10.010.0TOTAL50.050.0Diego Mauricio Zuluaga Rodríguez Profesor - Departamento de Economía Universidad de La Sabana"/>
    <n v="50"/>
    <n v="50"/>
    <n v="1"/>
  </r>
  <r>
    <x v="23"/>
    <s v="Lukas"/>
    <s v="Blanco Llanes"/>
    <s v="lukasblll@unisabana.edu.co"/>
    <x v="11"/>
    <d v="2026-03-11T00:00:00"/>
    <x v="2"/>
    <s v="Entregado"/>
    <s v="Retroalimentación de la Entrega: Mi Primer Análisis con IA (Prompt Engineering)Grupo: Juan Sebastian Salas Hinojosa, Alan David Rossoff Vanegas, Lukas Blanco Llanes.Calificación Final: 50/50 (Equivalente a 5.0)Comentarios del Profesor:¡Excelente trabajo, equipo! Han llevado el concepto de Prompt Engineering y el uso de XML a un nivel de sofisticación técnica sobresaliente. No solo cumplieron con los requisitos básicos, sino que estructuraron una metodología de documentación que garantiza la transparencia total entre la instrucción dada a la IA y el código resultante.Puntos Destacados (Lo excelente):Arquitectura XML Avanzada: El uso de etiquetas personalizadas como &amp;lt;trazabilidad&amp;gt;, &amp;lt;linea&amp;gt; y &amp;lt;como_se_creo&amp;gt; es brillante. Han creado un sistema de auditoría de código que permite entender exactamente de qué parte del prompt nació cada instrucción de Python. Este es el nivel de rigor que se espera de un analista de datos senior.Lógica y Optimización: La implementación del conteo en el Punto 3 utilizando una expresión generadora (sum(1 for venta in...)) demuestra que auditaron el código de la IA y aceptaron una solución eficiente y elegante.Sincronización de Datos: En el Punto 4, la lógica para conectar el índice de la venta máxima con la lista de nombres de los días fue ejecutada sin errores, demostrando un dominio claro de la manipulación de listas paralelas.Presentación y Formato: El uso de .2f para los decimales en el promedio y la claridad de los mensajes de salida cumplen perfectamente con los estándares de calidad del curso.Motivación: Han demostrado que entienden que la IA es una herramienta que requiere un piloto humano crítico y organizado. Esta estructura de trabajo les ahorrará cientos de horas de errores en el futuro profesional. Sigan aplicando este nivel de detalle en los proyectos de bases de datos que vienen a continuación. ¡Felicitaciones!Rúbrica de CalificaciónCriterio de EvaluaciónRequisito TécnicoPuntaje MáximoPuntaje ObtenidoEstructura (Prompt Engineering)Uso impecable de etiquetas XML para definir contexto, rol y tareas.15.015.0Funcionalidad PythonCódigo 100% funcional. Cálculos de total, promedio, conteo y máximo correctos.15.015.0Documentación (Trazabilidad)Explicación detallada de la IA y análisis humano línea por línea.10.010.0Autogestión y PresentaciónEntrega en formato .ipynb, trabajo en equipo y orden excepcional.10.010.0TOTAL50.050.0Diego Mauricio Zuluaga Rodríguez Profesor - Departamento de Economía Universidad de La Sabana"/>
    <n v="50"/>
    <n v="50"/>
    <n v="1"/>
  </r>
  <r>
    <x v="24"/>
    <s v="Juan Sebastian"/>
    <s v="Salas Hinojosa"/>
    <s v="juansahi@unisabana.edu.co"/>
    <x v="11"/>
    <d v="2026-03-11T00:00:00"/>
    <x v="2"/>
    <s v="Entregado"/>
    <s v="Retroalimentación de la Entrega: Mi Primer Análisis con IA (Prompt Engineering)Grupo: Juan Sebastian Salas Hinojosa, Alan David Rossoff Vanegas, Lukas Blanco Llanes.Calificación Final: 50/50 (Equivalente a 5.0)Comentarios del Profesor:¡Excelente trabajo, equipo! Han llevado el concepto de Prompt Engineering y el uso de XML a un nivel de sofisticación técnica sobresaliente. No solo cumplieron con los requisitos básicos, sino que estructuraron una metodología de documentación que garantiza la transparencia total entre la instrucción dada a la IA y el código resultante.Puntos Destacados (Lo excelente):Arquitectura XML Avanzada: El uso de etiquetas personalizadas como &amp;lt;trazabilidad&amp;gt;, &amp;lt;linea&amp;gt; y &amp;lt;como_se_creo&amp;gt; es brillante. Han creado un sistema de auditoría de código que permite entender exactamente de qué parte del prompt nació cada instrucción de Python. Este es el nivel de rigor que se espera de un analista de datos senior.Lógica y Optimización: La implementación del conteo en el Punto 3 utilizando una expresión generadora (sum(1 for venta in...)) demuestra que auditaron el código de la IA y aceptaron una solución eficiente y elegante.Sincronización de Datos: En el Punto 4, la lógica para conectar el índice de la venta máxima con la lista de nombres de los días fue ejecutada sin errores, demostrando un dominio claro de la manipulación de listas paralelas.Presentación y Formato: El uso de .2f para los decimales en el promedio y la claridad de los mensajes de salida cumplen perfectamente con los estándares de calidad del curso.Motivación: Han demostrado que entienden que la IA es una herramienta que requiere un piloto humano crítico y organizado. Esta estructura de trabajo les ahorrará cientos de horas de errores en el futuro profesional. Sigan aplicando este nivel de detalle en los proyectos de bases de datos que vienen a continuación. ¡Felicitaciones!Rúbrica de CalificaciónCriterio de EvaluaciónRequisito TécnicoPuntaje MáximoPuntaje ObtenidoEstructura (Prompt Engineering)Uso impecable de etiquetas XML para definir contexto, rol y tareas.15.015.0Funcionalidad PythonCódigo 100% funcional. Cálculos de total, promedio, conteo y máximo correctos.15.015.0Documentación (Trazabilidad)Explicación detallada de la IA y análisis humano línea por línea.10.010.0Autogestión y PresentaciónEntrega en formato .ipynb, trabajo en equipo y orden excepcional.10.010.0TOTAL50.050.0Diego Mauricio Zuluaga Rodríguez Profesor - Departamento de Economía Universidad de La Sabana"/>
    <n v="50"/>
    <n v="50"/>
    <n v="1"/>
  </r>
  <r>
    <x v="25"/>
    <s v="Avril Avril"/>
    <s v="Ariza Quitian"/>
    <s v="avrilarqu@unisabana.edu.co"/>
    <x v="11"/>
    <d v="2026-03-11T00:00:00"/>
    <x v="2"/>
    <s v="Entregado"/>
    <s v="Retroalimentación de la Entrega: Análisis de Marketing con IAGrupo: Samantha Vanegas Russi y Avril Ariza Quitian.Calificación Final: 35/50 (Equivalente a 3.5)Comentarios del Profesor:Samantha y Avril, han iniciado el ejercicio con una estructura muy sólida, demostrando una comprensión clara de cómo interactuar con la Inteligencia Artificial para el análisis de datos. Sin embargo, la entrega quedó incompleta en su fase final.Puntos Destacados:Prompt Engineering Superior (Ejercicio 1): El uso de la técnica XML fue impecable. Al asignar el rol de &quot;profesor de programación&quot; y solicitar un análisis de negocio (segmentación, comportamiento), lograron que la IA entregara una explicación con contexto profesional, ideal para estudiantes de la EICEA.Eficiencia en Código (Ejercicio 2): El código generado para el gasto total es correcto y utiliza una sintaxis avanzada de Python (comprensión de generadores), lo cual hace el script muy eficiente.Oportunidades de Mejora (Autogestión):Ejercicio 3 Incompleto: El Notebook termina justo después de redactar el Prompt 3. No incluyeron la celda de código generada por la IA ni su respectiva ejecución. Por esta razón, no se pudo evaluar la capacidad de filtrado lógico (Bogotá &amp;gt; 200k), lo cual impacta significativamente la nota final.Sanity Check: Como futuras tomadoras de decisiones, es vital revisar que el &quot;entregable final&quot; contenga todas las piezas prometidas. En este caso, faltó auditar que el código del tercer punto estuviera presente y funcional antes de subir el archivo a Teams.Motivación: Tienen una habilidad innata para redactar instrucciones (prompts) claras y con contexto. Si aplican esa misma atención al detalle en la revisión final de sus trabajos, sus resultados serán sobresalientes. ¡No bajen la guardia en la autogestión!Rúbrica de CalificaciónCriterio de EvaluaciónRequisito TécnicoPuntaje MáximoPuntaje ObtenidoTécnica XML (Prompt 1)Uso correcto de etiquetas XML y definición de rol/contexto para explicar el dataset.15.015.0Generación de Código (Prompt 2)Instrucción precisa para calcular el total. Código funcional y ejecutado.15.015.0Filtrado Lógico (Prompt 3)Instrucción redactada, pero falta el código y la ejecución en el archivo.10.00.0Documentación y AutogestiónEl archivo está organizado, pero se entrega incompleto (falta el punto final).10.05.0TOTAL50.035.0Diego Mauricio Zuluaga Rodríguez Profesor - Departamento de Economía Universidad de La Sabana"/>
    <n v="35"/>
    <n v="50"/>
    <n v="0.7"/>
  </r>
  <r>
    <x v="26"/>
    <s v="Samuel David"/>
    <s v="Simancas Contreras"/>
    <s v="samuelsico@unisabana.edu.co"/>
    <x v="11"/>
    <d v="2026-03-11T00:00:00"/>
    <x v="2"/>
    <s v="Entregado"/>
    <s v="Retroalimentación de la Entrega: Mi Primer Análisis con IA (Prompt Engineering)Grupo: Samuel David Simancas Contreras, Juan Sebastian Perdomo Herrera, Daniel Felipe Camacho Pedraza.Calificación Final: 50/50 (Equivalente a 5.0)Comentarios del Profesor:¡Excelente trabajo, equipo! Han demostrado un dominio sobresaliente de la Técnica XML para interactuar con la Inteligencia Artificial. No solo obtuvieron el código, sino que estructuraron sus requerimientos de una forma tan clara que la IA no tuvo margen de error.Puntos Destacados:Prompt Engineering Avanzado: El uso de etiquetas anidadas como &amp;lt;prompt&amp;gt;, &amp;lt;tarea&amp;gt;, &amp;lt;datos&amp;gt; e &amp;lt;instrucciones&amp;gt; es impecable. Esta estructura jerárquica permite que el modelo de lenguaje entienda el contexto antes de ejecutar la orden, lo cual reduce drásticamente las &quot;alucinaciones&quot;.Lógica y Eficiencia: En el Punto 3, el uso de la expresión generadora sum(1 for venta in ...) es una solución técnica muy elegante y eficiente que demuestra que auditaron correctamente lo propuesto por la IA.Sincronización de Datos: En el Punto 4, la relación entre la lista dias_semana y los índices de ventas_semanales fue manejada con precisión lógica.Metacognición (Documentación): Los prompts diseñados para que la IA explique el código son pedagógicos y directos. Pedirle a la IA que explique &quot;como si no supiera nada de programación&quot; es una gran estrategia para validar si ustedes mismos comprenden el fondo del código generado.Oportunidad de Mejora:Presentación de Resultados (UX): Aunque el código es funcionalmente perfecto, para futuras entregas les sugiero utilizar f-strings para dar formato de moneda (separadores de miles y decimales) a los resultados, tal como vimos en la solución ideal. Esto le da un toque mucho más profesional a sus reportes financieros.Motivación: Han adoptado con éxito el rol de &quot;Arquitectos de Soluciones&quot;. Recuerden que en el mundo profesional actual, la ventaja competitiva no es saber el código de memoria, sino saber guiar a la tecnología para resolver problemas de negocio de forma ética y eficiente. ¡Sigan con este nivel de rigurosidad!Rúbrica de CalificaciónCriterio de EvaluaciónRequisito TécnicoPuntaje MáximoPuntaje ObtenidoEstructura (Prompt Engineering)Uso impecable de etiquetas XML y redacción de instrucciones con contexto claro.15.015.0Funcionalidad PythonEl código resuelve los 4 puntos solicitados sin errores de ejecución.15.015.0Documentación con XMLInclusión de prompts específicos para la explicación del código generado.10.010.0Autogestión y FormatoEntrega en formato .ipynb, trabajo en grupo y organización del Notebook.10.010.0TOTAL50.050.0Diego Mauricio Zuluaga Rodríguez Profesor - Departamento de Economía Universidad de La Sabana"/>
    <n v="50"/>
    <n v="50"/>
    <n v="1"/>
  </r>
  <r>
    <x v="27"/>
    <s v="Maria Jose"/>
    <s v="Huertas Osorio"/>
    <s v="mariahueos@unisabana.edu.co"/>
    <x v="11"/>
    <d v="2026-03-11T00:00:00"/>
    <x v="2"/>
    <s v="Entregado"/>
    <s v="Retroalimentación de la Entrega: Mi Primer Análisis con IA (Prompt Engineering)Grupo: Gabriela Ruiz Perez, Maria Jose Huertas Osorio, Alessandro Di Mauro Bonilla Correa.Calificación Final: 45/50 (Equivalente a 4.5)Comentarios del Profesor:Buen trabajo, equipo. Han logrado aplicar la técnica de Prompt Engineering utilizando etiquetas XML para estructurar las instrucciones enviadas a la IA. El código generado es funcional y resuelve los problemas planteados de forma lógica.Puntos Destacados:Estructura XML: El uso de las etiquetas &amp;lt;instruccion&amp;gt; es correcto y demuestra que comprendieron cómo delimitar el contexto para un modelo de lenguaje.Lógica de Programación: Los cuatro ejercicios (total, promedio, conteo y máximo) funcionan perfectamente. Especialmente el ejercicio 4, donde sincronizaron correctamente la lista de días con el índice del valor máximo.Autogestión: El archivo .ipynb está bien organizado y es fácil de seguir.Oportunidades de Mejora (Sanity Check):Formato Profesional (UX): En clases anteriores vimos el poder de las f-strings para presentar datos financieros. Por ejemplo, en lugar de imprimir 1535714.2857142857, un analista de la EICEA debería usar f&quot;${promedio:,.2f}&quot; para mostrar $1,535,714.29. La claridad en la presentación de datos es vital para la toma de decisiones.Explicación de la IA: Las instrucciones solicitaban usar XML en celdas Markdown para pedirle a la IA que explicara el código generado. Aunque usaron XML para dar la orden, omitieron la parte donde la IA explica el funcionamiento técnico de la solución, lo cual es clave para su aprendizaje y auditoría del código.Motivación: Han demostrado que saben guiar a la IA para obtener resultados técnicos precisos. Sigan practicando la especificidad en sus preguntas; recuerden que en el mundo profesional, un código que no es legible o que no tiene formato de moneda difícilmente será aceptado en un reporte gerencial. ¡Buen inicio en este segundo corte!Rúbrica de CalificaciónCriterio de EvaluaciónRequisito TécnicoPuntaje MáximoPuntaje ObtenidoEstructura (Prompt Engineering)Uso correcto de etiquetas XML en los 4 prompts.15.015.0Funcionalidad PythonEl código resuelve los 4 cálculos solicitados sin errores.15.015.0Documentación (Explicación)Uso de XML para solicitar explicaciones detalladas a la IA.10.05.0Autogestión y PresentaciónEntrega en formato .ipynb y claridad en los mensajes de salida.10.010.0TOTAL50.045.0Diego Mauricio Zuluaga Rodríguez Profesor - Departamento de Economía Universidad de La Sabana"/>
    <n v="45"/>
    <n v="50"/>
    <n v="0.9"/>
  </r>
  <r>
    <x v="28"/>
    <s v="Juan Camilo"/>
    <s v="Leyton Lancheros"/>
    <s v="juanleyla@unisabana.edu.co"/>
    <x v="11"/>
    <d v="2026-03-11T00:00:00"/>
    <x v="2"/>
    <s v="Entregado"/>
    <s v="Retroalimentación de la Entrega: Mi Primer Análisis con IA (Prompt Engineering)Grupo: Nicolas Torres Calderón, Juan Camilo Leyton Lancheros, Cristian Bermudez.Calificación Final: 20/50 (Equivalente a 2.0)Comentarios del Profesor:Equipo, he revisado su entrega. Desde el punto de vista técnico, el código en Python es correcto y eficiente. Lograron resolver los cuatro problemas planteados (total, promedio, conteo y valor máximo) con una lógica impecable. Sin embargo, esta tarea no evaluaba únicamente si el código funcionaba, sino su capacidad de Autogestión y el dominio de la técnica de Prompt Engineering.Puntos a mejorar (Críticos):Incumplimiento de Requisitos de Prompting: El enunciado solicitaba explícitamente mostrar los prompts utilizando lenguaje XML (&amp;lt;instruccion&amp;gt;) en celdas de Markdown. En su entrega, no hay rastro de las instrucciones que le dieron a la IA.Falta de Documentación y Explicación: Se requería que la IA explicara el código generado para cada punto y que ustedes comentaran las líneas de código. Su archivo solo contiene el código &quot;crudo&quot;, omitiendo el componente pedagógico y ético de la actividad.Presentación (UX): Aunque los cálculos son correctos, no aplicaron formatos de moneda (f-strings) para que los resultados fueran legibles para un usuario final (ej. $10,750,000.00 en lugar de 10750000).Motivación: Tienen una excelente base lógica y técnica en Python; el código que escribieron (o generaron) es de alta calidad. No obstante, en este curso la Autogestión (seguir instrucciones al pie de la letra) es tan importante como la programación. Los invito a leer con mucha más minuciosidad los requerimientos de las próximas entregas. Si aplican su talento técnico siguiendo los protocolos solicitados, sus resultados serán sobresalientes.Rúbrica de CalificaciónCriterio de EvaluaciónRequisito TécnicoPuntaje MáximoPuntaje ObtenidoEstructura (Prompt Engineering)Uso de etiquetas XML y redacción de instrucciones claras en Markdown.15.00.0Funcionalidad PythonEl código resuelve los cálculos correctamente y se ejecuta sin errores.15.015.0DocumentaciónInclusión de las explicaciones de la IA y comentarios en el código.10.00.0Autogestión y PresentaciónFormato de entrega (.ipynb), trabajo en equipo y claridad de salida.10.05.0TOTAL50.020.0Diego Mauricio Zuluaga Rodríguez Profesor - Departamento de Economía Universidad de La Sabana"/>
    <n v="20"/>
    <n v="50"/>
    <n v="0.4"/>
  </r>
  <r>
    <x v="29"/>
    <s v="Samuel Mathias"/>
    <s v="Gonzalez Bernal"/>
    <s v="samuelgonbe@unisabana.edu.co"/>
    <x v="11"/>
    <d v="2026-03-11T00:00:00"/>
    <x v="2"/>
    <s v="Entregado"/>
    <s v="Retroalimentación de la Entrega: Mi Primer Análisis con IAGrupo: Sebastián Vanoy Gutiérrez, Samuel David Lozano Holguín, Samuel Mathias González Bernal.Calificación Final: 25/50 (Equivalente a 2.5)Comentarios del Profesor:Equipo, han entregado un trabajo que cumple con la ejecución de los cálculos básicos en Python, pero que omite gran parte de los requerimientos técnicos y metodológicos exigidos en el enunciado de la Clase 5 sobre Prompt Engineering.Puntos a mejorar (Críticos):Uso de XML: El enunciado solicitaba explícitamente el uso de etiquetas XML (ej: &amp;lt;instruccion&amp;gt;...&amp;lt;/instruccion&amp;gt;) para estructurar los prompts. Ustedes utilizaron comentarios de HTML (&amp;lt;!-- --&amp;gt;), lo cual no cumple con la técnica de &quot;Arquitecto de Soluciones&quot; vista en clase para dar contexto a la IA.Explicación de la IA: Se pidió obligatoriamente que, mediante prompts en XML, le solicitaran a la IA explicar el código generado para cada punto. Esta sección de metacognición y documentación está totalmente ausente en su entrega.Precisión en el Punto 4: El requerimiento era encontrar el día de la semana (nombre: Lunes, Martes, etc.) con la venta más alta. Su código solo entrega el valor numérico máximo (2300000), omitiendo la lógica de índices necesaria para identificar el nombre del día.Documentación: No incluyeron comentarios línea a línea explicando el funcionamiento del código, ni las celdas de Markdown con las respuestas explicativas de la IA.Puntos Destacados:El uso de List Comprehension en el punto 3 demuestra que lograron obtener una respuesta avanzada de la IA, aunque faltó el criterio humano para documentarla y explicarla.Rúbrica de CalificaciónCriterio de EvaluaciónRequisito TécnicoPuntaje MáximoPuntaje ObtenidoEstructura (Prompt Engineering)Uso de etiquetas XML pedagógicas y prompts con contexto.15.05.0Funcionalidad PythonCálculos correctos. El punto 4 no identifica el nombre del día.15.010.0Documentación y Explicación IAUso de XML para pedir explicaciones a la IA y comentarios en código.10.00.0Autogestión y PresentaciónFormato .ipynb, trabajo en grupo y entrega a tiempo.10.010.0TOTAL50.025.0Motivación: Tienen la capacidad técnica para ejecutar el código, pero en este corte el objetivo es dominar la interacción estratégica con la IA. Programar hoy en día no es solo &quot;sacar el resultado&quot;, es saber auditar y documentar el proceso. Los invito a leer minuciosamente los requerimientos en la próxima tarea; la atención al detalle es lo que diferencia a un analista promedio de un líder en tecnología. ¡Ánimo para la siguiente entrega!Diego Mauricio Zuluaga Rodríguez Profesor - Departamento de Economía Universidad de La Sabana"/>
    <n v="25"/>
    <n v="50"/>
    <n v="0.5"/>
  </r>
  <r>
    <x v="30"/>
    <s v="Valeria"/>
    <s v="Morales"/>
    <s v="valeriamor@unisabana.edu.co"/>
    <x v="11"/>
    <d v="2026-03-11T00:00:00"/>
    <x v="2"/>
    <s v="Entregado"/>
    <s v="Retroalimentación de la Entrega: Mi Primer Análisis con IA (Prompt Engineering)Grupo: Valeria Morales, Isabella Carranza Tapiero, Paula Andrea Arciniegas Cárdenas.Calificación Final: 50/50 (Equivalente a 5.0)Comentarios del Profesor:¡Excelente trabajo, equipo! Han presentado una de las tareas más completas y mejor estructuradas del curso. No solo cumplieron con los requisitos técnicos de programación y Prompt Engineering, sino que elevaron el nivel del ejercicio al incluir un análisis de negocio real.Puntos Destacados:Dominio del Prompt Engineering (XML): El uso de etiquetas XML para estructurar las instrucciones fue impecable. Utilizar etiquetas como &amp;lt;objetivo&amp;gt;, &amp;lt;instruccion&amp;gt; y &amp;lt;salida_esperada&amp;gt; demuestra una comprensión avanzada de cómo comunicarse con modelos de lenguaje de forma profesional y determinista.Excelencia Técnica en Python: La implementación en la Tarea 3 utilizando una expresión generadora (sum(1 for venta in ventas_semanales if venta &amp;gt; umbral)) es una solución muy eficiente y elegante, demostrando un nivel de programación superior al promedio.Documentación y Ética: El bloque final de documentación XML es extraordinario. Es fundamental que hayan incluido las &quot;Notas Éticas&quot; sobre la auditoría humana y las alucinaciones de la IA; esto es precisamente lo que buscamos en la competencia de Autogestión.Valor Agregado (Marketing Insights): Felicito al grupo por ir más allá del código. Incluir conclusiones y recomendaciones basadas en los datos (como el análisis del desempeño del domingo vs. el sábado) es lo que diferencia a un programador de un analista de decisiones de la EICEA.Motivación:Han demostrado que dominan la herramienta y, lo más importante, que mantienen el criterio crítico sobre los resultados. Este es el camino para convertirse en líderes que utilizan la tecnología para generar valor estratégico. ¡Sigan con este nivel de rigor y curiosidad!Rúbrica de CalificaciónCriterio de EvaluaciónRequisito TécnicoPuntaje MáximoPuntaje ObtenidoEstructura (Prompt Engineering)Uso impecable de etiquetas XML y redacción de instrucciones precisas para las 4 tareas.15.015.0Funcionalidad PythonCódigo funcional, eficiente y validado. Uso correcto de funciones integradas y lógica de índices.15.015.0Documentación XMLExplicación detallada de cada prompt y proceso lógico en formato XML.10.010.0Autogestión y PresentaciónEntrega puntual, formato .ipynb perfecto y adición de análisis de resultados (Insights).10.010.0TOTAL50.050.0Diego Mauricio Zuluaga Rodríguez Profesor - Departamento de Economía Universidad de La Sabana"/>
    <n v="50"/>
    <n v="50"/>
    <n v="1"/>
  </r>
  <r>
    <x v="31"/>
    <s v="Samantha"/>
    <s v="Vanegas Russi"/>
    <s v="samanthavaru@unisabana.edu.co"/>
    <x v="11"/>
    <d v="2026-03-11T00:00:00"/>
    <x v="2"/>
    <s v="Entregado"/>
    <s v="Retroalimentación de la Entrega: Análisis de Marketing con IAGrupo: Samantha Vanegas Russi y Avril Ariza Quitian.Calificación Final: 35/50 (Equivalente a 3.5)Comentarios del Profesor:Samantha y Avril, han iniciado el ejercicio con una estructura muy sólida, demostrando una comprensión clara de cómo interactuar con la Inteligencia Artificial para el análisis de datos. Sin embargo, la entrega quedó incompleta en su fase final.Puntos Destacados:Prompt Engineering Superior (Ejercicio 1): El uso de la técnica XML fue impecable. Al asignar el rol de &quot;profesor de programación&quot; y solicitar un análisis de negocio (segmentación, comportamiento), lograron que la IA entregara una explicación con contexto profesional, ideal para estudiantes de la EICEA.Eficiencia en Código (Ejercicio 2): El código generado para el gasto total es correcto y utiliza una sintaxis avanzada de Python (comprensión de generadores), lo cual hace el script muy eficiente.Oportunidades de Mejora (Autogestión):Ejercicio 3 Incompleto: El Notebook termina justo después de redactar el Prompt 3. No incluyeron la celda de código generada por la IA ni su respectiva ejecución. Por esta razón, no se pudo evaluar la capacidad de filtrado lógico (Bogotá &amp;gt; 200k), lo cual impacta significativamente la nota final.Sanity Check: Como futuras tomadoras de decisiones, es vital revisar que el &quot;entregable final&quot; contenga todas las piezas prometidas. En este caso, faltó auditar que el código del tercer punto estuviera presente y funcional antes de subir el archivo a Teams.Motivación: Tienen una habilidad innata para redactar instrucciones (prompts) claras y con contexto. Si aplican esa misma atención al detalle en la revisión final de sus trabajos, sus resultados serán sobresalientes. ¡No bajen la guardia en la autogestión!Rúbrica de CalificaciónCriterio de EvaluaciónRequisito TécnicoPuntaje MáximoPuntaje ObtenidoTécnica XML (Prompt 1)Uso correcto de etiquetas XML y definición de rol/contexto para explicar el dataset.15.015.0Generación de Código (Prompt 2)Instrucción precisa para calcular el total. Código funcional y ejecutado.15.015.0Filtrado Lógico (Prompt 3)Instrucción redactada, pero falta el código y la ejecución en el archivo.10.00.0Documentación y AutogestiónEl archivo está organizado, pero se entrega incompleto (falta el punto final).10.05.0TOTAL50.035.0Diego Mauricio Zuluaga Rodríguez Profesor - Departamento de Economía Universidad de La Sabana"/>
    <n v="35"/>
    <n v="50"/>
    <n v="0.7"/>
  </r>
  <r>
    <x v="32"/>
    <s v="Juan Jose"/>
    <s v="Caballero Mantilla"/>
    <s v="juancabma@unisabana.edu.co"/>
    <x v="11"/>
    <d v="2026-03-11T00:00:00"/>
    <x v="2"/>
    <s v="Entregado"/>
    <s v="Retroalimentación de la Entrega: Mi Primer Análisis con IA (Prompt Engineering)Grupo: Martin Martin Trujillo Rodriguez, Daniel Camilo Lopez Piraquive, Juan Jose Caballero Mantilla.Calificación Final: 50/50 (Equivalente a 5.0)Comentarios del Profesor: Excelente trabajo, equipo. Han aplicado con rigor la metodología de &quot;Arquitectos de Soluciones&quot; solicitada. Se observa un uso impecable del lenguaje de marcado XML para estructurar tanto las instrucciones enviadas a la IA como la documentación final del proceso.Puntos Destacados:Precisión en los Prompts: Las instrucciones dentro de las etiquetas &amp;lt;instruccion&amp;gt; fueron claras y directas, lo que permitió obtener un código limpio y funcional al primer intento.Lógica Avanzada: En el ejercicio 3, la IA generó una solución utilizando &quot;comprensión de listas&quot; (sum(1 for venta in ...)), una técnica eficiente en Python que ustedes validaron correctamente.Manejo de Índices: Resolvieron con éxito el desfase de los índices de Python (que inician en 0) sumando + 1 para que el usuario final vea el &quot;Día 7&quot; en lugar del &quot;Día 6&quot;. Esto demuestra un &quot;Sanity Check&quot; adecuado de la respuesta de la IA.Documentación Estructurada: El uso de etiquetas personalizadas como &amp;lt;punto1&amp;gt;, &amp;lt;punto2&amp;gt;, etc., facilita enormemente la lectura técnica y la trazabilidad del análisis.Motivación: Dominar el Prompt Engineering es una de las habilidades más valoradas en el mercado actual para economistas y administradores. Han demostrado que pueden delegar tareas operativas a la IA manteniendo el control total sobre la lógica y los resultados. Sigan practicando esta simbiosis entre su criterio humano y la potencia del código. ¡Felicitaciones!Rúbrica de CalificaciónCriterio de EvaluaciónRequisito TécnicoPuntaje MáximoPuntaje ObtenidoEstructura (Prompt Engineering)Uso correcto de etiquetas XML y redacción de instrucciones precisas para las 4 tareas.15.015.0Funcionalidad PythonEl código generado resuelve correctamente los cálculos (total, promedio, conteo y máximo).15.015.0Documentación XMLInclusión de explicaciones claras utilizando etiquetas XML para cada punto analizado.10.010.0Autogestión y PresentaciónFormato de entrega correcto (.ipynb), código documentado y ejecución exitosa.10.010.0TOTAL50.050.0Diego Mauricio Zuluaga Rodríguez Profesor - Departamento de Economía Universidad de La Sabana"/>
    <n v="50"/>
    <n v="50"/>
    <n v="1"/>
  </r>
  <r>
    <x v="33"/>
    <s v="Daniel Camilo"/>
    <s v="Lopez Piraquive"/>
    <s v="danielloppi@unisabana.edu.co"/>
    <x v="11"/>
    <d v="2026-03-11T00:00:00"/>
    <x v="2"/>
    <s v="Entregado"/>
    <s v="Retroalimentación de la Entrega: Mi Primer Análisis con IA (Prompt Engineering)Grupo: Martin Martin Trujillo Rodriguez, Daniel Camilo Lopez Piraquive, Juan Jose Caballero Mantilla.Calificación Final: 50/50 (Equivalente a 5.0)Comentarios del Profesor: Excelente trabajo, equipo. Han aplicado con rigor la metodología de &quot;Arquitectos de Soluciones&quot; solicitada. Se observa un uso impecable del lenguaje de marcado XML para estructurar tanto las instrucciones enviadas a la IA como la documentación final del proceso.Puntos Destacados:Precisión en los Prompts: Las instrucciones dentro de las etiquetas &amp;lt;instruccion&amp;gt; fueron claras y directas, lo que permitió obtener un código limpio y funcional al primer intento.Lógica Avanzada: En el ejercicio 3, la IA generó una solución utilizando &quot;comprensión de listas&quot; (sum(1 for venta in ...)), una técnica eficiente en Python que ustedes validaron correctamente.Manejo de Índices: Resolvieron con éxito el desfase de los índices de Python (que inician en 0) sumando + 1 para que el usuario final vea el &quot;Día 7&quot; en lugar del &quot;Día 6&quot;. Esto demuestra un &quot;Sanity Check&quot; adecuado de la respuesta de la IA.Documentación Estructurada: El uso de etiquetas personalizadas como &amp;lt;punto1&amp;gt;, &amp;lt;punto2&amp;gt;, etc., facilita enormemente la lectura técnica y la trazabilidad del análisis.Motivación: Dominar el Prompt Engineering es una de las habilidades más valoradas en el mercado actual para economistas y administradores. Han demostrado que pueden delegar tareas operativas a la IA manteniendo el control total sobre la lógica y los resultados. Sigan practicando esta simbiosis entre su criterio humano y la potencia del código. ¡Felicitaciones!Rúbrica de CalificaciónCriterio de EvaluaciónRequisito TécnicoPuntaje MáximoPuntaje ObtenidoEstructura (Prompt Engineering)Uso correcto de etiquetas XML y redacción de instrucciones precisas para las 4 tareas.15.015.0Funcionalidad PythonEl código generado resuelve correctamente los cálculos (total, promedio, conteo y máximo).15.015.0Documentación XMLInclusión de explicaciones claras utilizando etiquetas XML para cada punto analizado.10.010.0Autogestión y PresentaciónFormato de entrega correcto (.ipynb), código documentado y ejecución exitosa.10.010.0TOTAL50.050.0Diego Mauricio Zuluaga Rodríguez Profesor - Departamento de Economía Universidad de La Sabana"/>
    <n v="50"/>
    <n v="50"/>
    <n v="1"/>
  </r>
  <r>
    <x v="34"/>
    <s v="Gabriela"/>
    <s v="Ruiz Perez"/>
    <s v="gabrielarupe@unisabana.edu.co"/>
    <x v="11"/>
    <d v="2026-03-11T00:00:00"/>
    <x v="2"/>
    <s v="Entregado"/>
    <s v="Retroalimentación de la Entrega: Mi Primer Análisis con IA (Prompt Engineering)Grupo: Gabriela Ruiz Perez, Maria Jose Huertas Osorio, Alessandro Di Mauro Bonilla Correa.Calificación Final: 45/50 (Equivalente a 4.5)Comentarios del Profesor:Buen trabajo, equipo. Han logrado aplicar la técnica de Prompt Engineering utilizando etiquetas XML para estructurar las instrucciones enviadas a la IA. El código generado es funcional y resuelve los problemas planteados de forma lógica.Puntos Destacados:Estructura XML: El uso de las etiquetas &amp;lt;instruccion&amp;gt; es correcto y demuestra que comprendieron cómo delimitar el contexto para un modelo de lenguaje.Lógica de Programación: Los cuatro ejercicios (total, promedio, conteo y máximo) funcionan perfectamente. Especialmente el ejercicio 4, donde sincronizaron correctamente la lista de días con el índice del valor máximo.Autogestión: El archivo .ipynb está bien organizado y es fácil de seguir.Oportunidades de Mejora (Sanity Check):Formato Profesional (UX): En clases anteriores vimos el poder de las f-strings para presentar datos financieros. Por ejemplo, en lugar de imprimir 1535714.2857142857, un analista de la EICEA debería usar f&quot;${promedio:,.2f}&quot; para mostrar $1,535,714.29. La claridad en la presentación de datos es vital para la toma de decisiones.Explicación de la IA: Las instrucciones solicitaban usar XML en celdas Markdown para pedirle a la IA que explicara el código generado. Aunque usaron XML para dar la orden, omitieron la parte donde la IA explica el funcionamiento técnico de la solución, lo cual es clave para su aprendizaje y auditoría del código.Motivación: Han demostrado que saben guiar a la IA para obtener resultados técnicos precisos. Sigan practicando la especificidad en sus preguntas; recuerden que en el mundo profesional, un código que no es legible o que no tiene formato de moneda difícilmente será aceptado en un reporte gerencial. ¡Buen inicio en este segundo corte!Rúbrica de CalificaciónCriterio de EvaluaciónRequisito TécnicoPuntaje MáximoPuntaje ObtenidoEstructura (Prompt Engineering)Uso correcto de etiquetas XML en los 4 prompts.15.015.0Funcionalidad PythonEl código resuelve los 4 cálculos solicitados sin errores.15.015.0Documentación (Explicación)Uso de XML para solicitar explicaciones detalladas a la IA.10.05.0Autogestión y PresentaciónEntrega en formato .ipynb y claridad en los mensajes de salida.10.010.0TOTAL50.045.0Diego Mauricio Zuluaga Rodríguez Profesor - Departamento de Economía Universidad de La Sabana"/>
    <n v="45"/>
    <n v="50"/>
    <n v="0.9"/>
  </r>
  <r>
    <x v="35"/>
    <s v="Juan Sebastian"/>
    <s v="Perdomo Herrera"/>
    <s v="juanperhe@unisabana.edu.co"/>
    <x v="11"/>
    <d v="2026-03-11T00:00:00"/>
    <x v="2"/>
    <s v="Entregado"/>
    <s v="Retroalimentación de la Entrega: Mi Primer Análisis con IA (Prompt Engineering)Grupo: Samuel David Simancas Contreras, Juan Sebastian Perdomo Herrera, Daniel Felipe Camacho Pedraza.Calificación Final: 50/50 (Equivalente a 5.0)Comentarios del Profesor:¡Excelente trabajo, equipo! Han demostrado un dominio sobresaliente de la Técnica XML para interactuar con la Inteligencia Artificial. No solo obtuvieron el código, sino que estructuraron sus requerimientos de una forma tan clara que la IA no tuvo margen de error.Puntos Destacados:Prompt Engineering Avanzado: El uso de etiquetas anidadas como &amp;lt;prompt&amp;gt;, &amp;lt;tarea&amp;gt;, &amp;lt;datos&amp;gt; e &amp;lt;instrucciones&amp;gt; es impecable. Esta estructura jerárquica permite que el modelo de lenguaje entienda el contexto antes de ejecutar la orden, lo cual reduce drásticamente las &quot;alucinaciones&quot;.Lógica y Eficiencia: En el Punto 3, el uso de la expresión generadora sum(1 for venta in ...) es una solución técnica muy elegante y eficiente que demuestra que auditaron correctamente lo propuesto por la IA.Sincronización de Datos: En el Punto 4, la relación entre la lista dias_semana y los índices de ventas_semanales fue manejada con precisión lógica.Metacognición (Documentación): Los prompts diseñados para que la IA explique el código son pedagógicos y directos. Pedirle a la IA que explique &quot;como si no supiera nada de programación&quot; es una gran estrategia para validar si ustedes mismos comprenden el fondo del código generado.Oportunidad de Mejora:Presentación de Resultados (UX): Aunque el código es funcionalmente perfecto, para futuras entregas les sugiero utilizar f-strings para dar formato de moneda (separadores de miles y decimales) a los resultados, tal como vimos en la solución ideal. Esto le da un toque mucho más profesional a sus reportes financieros.Motivación: Han adoptado con éxito el rol de &quot;Arquitectos de Soluciones&quot;. Recuerden que en el mundo profesional actual, la ventaja competitiva no es saber el código de memoria, sino saber guiar a la tecnología para resolver problemas de negocio de forma ética y eficiente. ¡Sigan con este nivel de rigurosidad!Rúbrica de CalificaciónCriterio de EvaluaciónRequisito TécnicoPuntaje MáximoPuntaje ObtenidoEstructura (Prompt Engineering)Uso impecable de etiquetas XML y redacción de instrucciones con contexto claro.15.015.0Funcionalidad PythonEl código resuelve los 4 puntos solicitados sin errores de ejecución.15.015.0Documentación con XMLInclusión de prompts específicos para la explicación del código generado.10.010.0Autogestión y FormatoEntrega en formato .ipynb, trabajo en grupo y organización del Notebook.10.010.0TOTAL50.050.0Diego Mauricio Zuluaga Rodríguez Profesor - Departamento de Economía Universidad de La Sabana"/>
    <n v="50"/>
    <n v="50"/>
    <n v="1"/>
  </r>
  <r>
    <x v="36"/>
    <s v="Martin Martin"/>
    <s v="Trujillo Rodriguez"/>
    <s v="martintrro@unisabana.edu.co"/>
    <x v="11"/>
    <d v="2026-03-11T00:00:00"/>
    <x v="2"/>
    <s v="Entregado"/>
    <s v="Retroalimentación de la Entrega: Mi Primer Análisis con IA (Prompt Engineering)Grupo: Martin Martin Trujillo Rodriguez, Daniel Camilo Lopez Piraquive, Juan Jose Caballero Mantilla.Calificación Final: 50/50 (Equivalente a 5.0)Comentarios del Profesor: Excelente trabajo, equipo. Han aplicado con rigor la metodología de &quot;Arquitectos de Soluciones&quot; solicitada. Se observa un uso impecable del lenguaje de marcado XML para estructurar tanto las instrucciones enviadas a la IA como la documentación final del proceso.Puntos Destacados:Precisión en los Prompts: Las instrucciones dentro de las etiquetas &amp;lt;instruccion&amp;gt; fueron claras y directas, lo que permitió obtener un código limpio y funcional al primer intento.Lógica Avanzada: En el ejercicio 3, la IA generó una solución utilizando &quot;comprensión de listas&quot; (sum(1 for venta in ...)), una técnica eficiente en Python que ustedes validaron correctamente.Manejo de Índices: Resolvieron con éxito el desfase de los índices de Python (que inician en 0) sumando + 1 para que el usuario final vea el &quot;Día 7&quot; en lugar del &quot;Día 6&quot;. Esto demuestra un &quot;Sanity Check&quot; adecuado de la respuesta de la IA.Documentación Estructurada: El uso de etiquetas personalizadas como &amp;lt;punto1&amp;gt;, &amp;lt;punto2&amp;gt;, etc., facilita enormemente la lectura técnica y la trazabilidad del análisis.Motivación: Dominar el Prompt Engineering es una de las habilidades más valoradas en el mercado actual para economistas y administradores. Han demostrado que pueden delegar tareas operativas a la IA manteniendo el control total sobre la lógica y los resultados. Sigan practicando esta simbiosis entre su criterio humano y la potencia del código. ¡Felicitaciones!Rúbrica de CalificaciónCriterio de EvaluaciónRequisito TécnicoPuntaje MáximoPuntaje ObtenidoEstructura (Prompt Engineering)Uso correcto de etiquetas XML y redacción de instrucciones precisas para las 4 tareas.15.015.0Funcionalidad PythonEl código generado resuelve correctamente los cálculos (total, promedio, conteo y máximo).15.015.0Documentación XMLInclusión de explicaciones claras utilizando etiquetas XML para cada punto analizado.10.010.0Autogestión y PresentaciónFormato de entrega correcto (.ipynb), código documentado y ejecución exitosa.10.010.0TOTAL50.050.0Diego Mauricio Zuluaga Rodríguez Profesor - Departamento de Economía Universidad de La Sabana"/>
    <n v="50"/>
    <n v="50"/>
    <n v="1"/>
  </r>
  <r>
    <x v="37"/>
    <s v="Alan David"/>
    <s v="Rossoff Vanegas"/>
    <s v="alanrova@unisabana.edu.co"/>
    <x v="11"/>
    <d v="2026-03-11T00:00:00"/>
    <x v="2"/>
    <s v="Entregado"/>
    <s v="Retroalimentación de la Entrega: Mi Primer Análisis con IA (Prompt Engineering)Grupo: Juan Sebastian Salas Hinojosa, Alan David Rossoff Vanegas, Lukas Blanco Llanes.Calificación Final: 50/50 (Equivalente a 5.0)Comentarios del Profesor:¡Excelente trabajo, equipo! Han llevado el concepto de Prompt Engineering y el uso de XML a un nivel de sofisticación técnica sobresaliente. No solo cumplieron con los requisitos básicos, sino que estructuraron una metodología de documentación que garantiza la transparencia total entre la instrucción dada a la IA y el código resultante.Puntos Destacados (Lo excelente):Arquitectura XML Avanzada: El uso de etiquetas personalizadas como &amp;lt;trazabilidad&amp;gt;, &amp;lt;linea&amp;gt; y &amp;lt;como_se_creo&amp;gt; es brillante. Han creado un sistema de auditoría de código que permite entender exactamente de qué parte del prompt nació cada instrucción de Python. Este es el nivel de rigor que se espera de un analista de datos senior.Lógica y Optimización: La implementación del conteo en el Punto 3 utilizando una expresión generadora (sum(1 for venta in...)) demuestra que auditaron el código de la IA y aceptaron una solución eficiente y elegante.Sincronización de Datos: En el Punto 4, la lógica para conectar el índice de la venta máxima con la lista de nombres de los días fue ejecutada sin errores, demostrando un dominio claro de la manipulación de listas paralelas.Presentación y Formato: El uso de .2f para los decimales en el promedio y la claridad de los mensajes de salida cumplen perfectamente con los estándares de calidad del curso.Motivación: Han demostrado que entienden que la IA es una herramienta que requiere un piloto humano crítico y organizado. Esta estructura de trabajo les ahorrará cientos de horas de errores en el futuro profesional. Sigan aplicando este nivel de detalle en los proyectos de bases de datos que vienen a continuación. ¡Felicitaciones!Rúbrica de CalificaciónCriterio de EvaluaciónRequisito TécnicoPuntaje MáximoPuntaje ObtenidoEstructura (Prompt Engineering)Uso impecable de etiquetas XML para definir contexto, rol y tareas.15.015.0Funcionalidad PythonCódigo 100% funcional. Cálculos de total, promedio, conteo y máximo correctos.15.015.0Documentación (Trazabilidad)Explicación detallada de la IA y análisis humano línea por línea.10.010.0Autogestión y PresentaciónEntrega en formato .ipynb, trabajo en equipo y orden excepcional.10.010.0TOTAL50.050.0Diego Mauricio Zuluaga Rodríguez Profesor - Departamento de Economía Universidad de La Sabana"/>
    <n v="50"/>
    <n v="50"/>
    <n v="1"/>
  </r>
  <r>
    <x v="38"/>
    <s v="Diego Alejandro"/>
    <s v="Hermida Limas"/>
    <s v="diegoherli@unisabana.edu.co"/>
    <x v="11"/>
    <d v="2026-03-11T00:00:00"/>
    <x v="2"/>
    <s v="Entregado"/>
    <s v="Retroalimentación de la Entrega: Mi Primer Análisis con IA (Prompt Engineering)Grupo: Simon Gustavo Restrepo Alvarez, Mateo Perez Daza, Diego Alejandro Hermida Limas.Calificación Final: 48/50 (Equivalente a 4.8)Comentarios del Profesor: Excelente trabajo, equipo. Han llevado el uso de etiquetas XML a un nivel superior de organización, lo cual facilita enormemente la comunicación con los modelos de lenguaje. Se nota un esfuerzo por estructurar la lógica antes de solicitar el código.Puntos Destacados:Estructura XML Avanzada: El uso de etiquetas anidadas como &amp;lt;contexto&amp;gt;, &amp;lt;tarea&amp;gt; e &amp;lt;instrucciones&amp;gt; con sub-etiquetas &amp;lt;paso&amp;gt; es impecable. Es una de las mejores aplicaciones de la técnica vista en clase.Lógica de Programación: El código generado es eficiente. El uso de una &quot;comprensión de lista&quot; en el ejercicio de conteo (sum(1 for venta in...)) demuestra que supieron guiar a la IA hacia soluciones elegantes.Funcionalidad: Todos los bloques de código se ejecutaron correctamente y los resultados coinciden con el dataset proporcionado.Oportunidad de Mejora:Documentación de Salida: En la última parte del ejercicio, incluyeron los prompts XML para solicitar explicaciones a la IA, pero no adjuntaron la respuesta/explicación generada por la IA en celdas de Markdown. El objetivo del Prompt Engineering es obtener y validar esa información para el usuario final. En esta ocasión, el notebook quedó con los &quot;pedidos&quot; pero sin el &quot;resultado&quot; de la explicación.Motivación: Tienen una capacidad analítica muy alta para estructurar problemas complejos. Sigan practicando la validación de las respuestas de la IA; no se queden solo con el código, sino asegúrense de que las explicaciones que ella da sean claras para alguien que no sabe programar. ¡Van por muy buen camino!Rúbrica de CalificaciónCriterio de EvaluaciónRequisito TécnicoPuntaje MáximoPuntaje ObtenidoEstructura (Prompt Engineering)Uso excepcional de etiquetas XML anidadas y prompts claros.15.015.0Funcionalidad PythonCódigo funcional, eficiente y resultados correctos en las 4 tareas.15.015.0DocumentaciónSe incluyeron prompts de explicación, pero faltó el output de la IA.10.08.0Autogestión y PresentaciónEntrega puntual, nombres claros y buen manejo del entorno .ipynb.10.010.0TOTAL50.048.0Diego Mauricio Zuluaga Rodríguez Profesor - Departamento de Economía Universidad de La Sabana"/>
    <n v="48"/>
    <n v="50"/>
    <n v="0.96"/>
  </r>
  <r>
    <x v="0"/>
    <s v="Paula Andrea"/>
    <s v="Arciniegas Cardenas"/>
    <s v="paulaarcca@unisabana.edu.co"/>
    <x v="12"/>
    <d v="2026-03-11T00:00:00"/>
    <x v="2"/>
    <s v="Entregado"/>
    <s v="Retroalimentación de la Entrega: Análisis de Marketing con IAGrupo: Paula Andrea Arciniegas Cárdenas, Valeria Morales, Isabella Carranza Tapiero.Calificación Final: 50/50 (Equivalente a 5.0)Comentarios del Profesor: ¡Excelente trabajo, equipo! Han cumplido a cabalidad con el objetivo de la sesión: actuar como &quot;Arquitectas de Soluciones&quot; guiando a la Inteligencia Artificial de forma estructurada y auditando sus resultados.Puntos Destacados:Prompt Engineering (XML): La aplicación de las etiquetas &amp;lt;instruccion&amp;gt; en el Ejercicio 1 fue correcta. Lograron que la IA desglosara la estructura de datos de forma muy clara, incluso generando una tabla explicativa de los tipos de datos (str, int) y su utilidad en el ROI.Validación de Código Avanzado: En los Ejercicios 2 y 3, la IA les generó código utilizando &quot;Comprensión de Listas&quot; ([cliente for cliente in...]) y expresiones generadoras dentro de la función sum(). Estas son estructuras avanzadas de Python que hacen el código mucho más eficiente. El hecho de que lo hayan ejecutado y validado correctamente demuestra que están utilizando la IA para aprender y optimizar, no solo para copiar y pegar.Autogestión y Orden: El Notebook está perfectamente estructurado, separando los prompts en celdas de Markdown y las ejecuciones en celdas de código con sus respectivos comentarios.Motivación: Saber programar es importante, pero saber pedirle a una máquina que programe por ustedes y auditar que lo haga bien, es el verdadero superpoder en el mercado laboral actual. Han demostrado una excelente capacidad de adaptación tecnológica. ¡Sigan con este nivel de rigurosidad para los proyectos que vienen con Bases de Datos!Rúbrica de CalificaciónCriterio de EvaluaciónRequisito TécnicoPuntaje MáximoPuntaje ObtenidoTécnica XML (Prompt 1)Uso correcto de etiquetas para definir el contexto y explicación clara de la estructura de datos.15.015.0Generación de Código (Prompt 2)Instrucción precisa para calcular el total. Código funcional, documentado y ejecutado.15.015.0Filtrado Lógico (Prompt 3)Instrucción precisa para filtrar por ciudad y gasto. Código funcional, documentado y ejecutado.10.010.0Documentación y AutogestiónComentarios en el código generado y formato de entrega correcto (.ipynb).10.010.0TOTAL50.050.0Diego Mauricio Zuluaga Rodríguez Profesor - Departamento de Economía Universidad de La Sabana"/>
    <n v="50"/>
    <n v="50"/>
    <n v="1"/>
  </r>
  <r>
    <x v="1"/>
    <s v="Sofia"/>
    <s v="Giraldo Pico"/>
    <s v="sofiagipi@unisabana.edu.co"/>
    <x v="12"/>
    <d v="2026-03-11T00:00:00"/>
    <x v="2"/>
    <s v="Entregado"/>
    <s v="Retroalimentación de la Entrega: Análisis de Marketing con IAGrupo: Alejandra Leon Vargas, Sofia Giraldo Pico.Calificación Final: 45/50 (Equivalente a 4.5)Comentarios del Profesor:Buen trabajo, equipo. Han logrado aplicar correctamente la metodología de Prompt Engineering para resolver problemas de análisis de datos. El código generado por la IA y auditado por ustedes es eficiente y utiliza estructuras avanzadas de Python.Puntos Destacados:Técnica XML: El uso de las etiquetas &amp;lt;instruccion&amp;gt; en el primer ejercicio fue correcto, permitiendo que la IA estructurara una explicación clara sobre la jerarquía de los datos (Lista &amp;gt; Diccionario &amp;gt; Claves).Eficiencia del Código: Me parece excelente que hayan validado el uso de la función sum() con una expresión generadora en el Ejercicio 2 y la list comprehension (comprensión de listas) en el Ejercicio 3. Estas son formas muy &quot;Pythónicas&quot; y profesionales de escribir código, lo que demuestra que auditaron el resultado de la IA con criterio.Lógica de Negocio: El filtrado por ciudad y monto cumple exactamente con los requerimientos técnicos solicitados para un análisis de clientes de alto valor.Oportunidad de Mejora y Autogestión:Puntualidad: La tarea fue entregada 24 minutos tarde. En este curso, la competencia de Autogestión es fundamental y el cumplimiento de los cronogramas es un requisito innegociable para la excelencia. Por esta razón, se aplica la penalización de -5 puntos sobre la nota final.Documentación: Aunque el código es limpio, podrían haber solicitado a la IA que incluyera el formato de moneda (:,.2f) en los resultados impresos para mejorar la visualización financiera, tal como se vio en las sesiones anteriores.Motivación: Tienen una gran capacidad para guiar a la IA hacia soluciones técnicas elegantes. Si logran ajustar sus tiempos de entrega para cumplir con la rigurosidad del cronograma, su desempeño en este segundo corte será sobresaliente. ¡Sigan explorando el potencial de estas herramientas!Rúbrica de CalificaciónCriterio de EvaluaciónRequisito TécnicoPuntaje MáximoPuntaje ObtenidoTécnica XML (Prompt 1)Uso correcto de etiquetas y explicación de la estructura de datos.15.015.0Generación de Código (Prompt 2)Instrucción precisa y código funcional para cálculo de totales.15.015.0Filtrado Lógico (Prompt 3)Instrucción precisa y código funcional para filtrado de datos.10.010.0Documentación y FormatoComentarios explicativos y entrega en archivo .ipynb.10.010.0PenalizaciónEntrega extemporánea (24 minutos tarde).-5.0-5.0TOTAL50.045.0Diego Mauricio Zuluaga Rodríguez Profesor - Departamento de Economía Universidad de La Sabana"/>
    <n v="45"/>
    <n v="50"/>
    <n v="0.9"/>
  </r>
  <r>
    <x v="2"/>
    <s v="Valery"/>
    <s v="Linares Hernandez"/>
    <s v="valerylihe@unisabana.edu.co"/>
    <x v="12"/>
    <d v="2026-03-11T00:00:00"/>
    <x v="2"/>
    <s v="Entregado"/>
    <s v="Retroalimentación de la Entrega: Análisis de Marketing con IAIntegrantes:Maria Juliana Mejia QuinteroValery Linares HernandezMaria Jose Botero GalvizCalificación Final: 50/50 (Equivalente a 5.0)Comentarios del Profesor:¡Excelente trabajo, equipo! Han demostrado un nivel de Autogestión y pensamiento crítico superior al promedio. No solo cumplieron con los requerimientos técnicos, sino que elevaron la calidad de la solución mediante una estructura de prompts muy profesional y una validación de código robusta.Puntos Destacados:Dominio de la Técnica XML: El primer prompt está perfectamente estructurado. El uso de etiquetas como &amp;lt;rol&amp;gt;, &amp;lt;contexto&amp;gt; y &amp;lt;reglas&amp;gt; es una práctica de Prompt Engineering avanzada que garantiza respuestas precisas y útiles para el negocio.Lógica de Programación Defensiva: Me impresionó gratamente la función filtrar_clientes_bogota. Implementar casefold() y validar tanto &quot;bogotá&quot; (con tilde) como &quot;bogota&quot; (sin tilde) demuestra que entienden los problemas reales de los datos en Colombia. Esto es un &quot;Sanity Check&quot; de nivel profesional.Arquitectura de Soluciones: El uso de funciones (def) para organizar el código generado por la IA hace que el script sea reutilizable y limpio, facilitando cualquier auditoría posterior.Documentación: Cada bloque de código cuenta con comentarios claros que explican la acción realizada, cumpliendo a cabalidad con la regla de &quot;hacer visible el proceso&quot;.Motivación: Sigan por este camino. Han entendido que la IA es un multiplicador de su capacidad, pero que el control de calidad y la lógica final siempre dependen del analista. Con este nivel de atención al detalle, están más que preparadas para los retos de integración de bases de datos que vienen en el curso. ¡Felicitaciones!Rúbrica de CalificaciónCriterio de EvaluaciónRequisito TécnicoPuntaje MáximoPuntaje ObtenidoTécnica XML (Prompt 1)Estructura de etiquetas clara y definición de contexto/rol impecable.15.015.0Generación de Código (Prompt 2)Cálculo manual (sin sum()) ejecutado correctamente mediante funciones.15.015.0Filtrado Lógico (Prompt 3)Uso de condicionales y normalización de texto (tildes/mayúsculas).10.010.0Documentación y AutogestiónComentarios explicativos y formato .ipynb perfectamente organizado.10.010.0TOTAL50.050.0Diego Mauricio Zuluaga Rodríguez Profesor - Departamento de Economía Universidad de La Sabana"/>
    <n v="50"/>
    <n v="50"/>
    <n v="1"/>
  </r>
  <r>
    <x v="3"/>
    <s v="Nicolas"/>
    <s v="Torres Calderon"/>
    <s v="nicolastorca@unisabana.edu.co"/>
    <x v="12"/>
    <d v="2026-03-11T00:00:00"/>
    <x v="2"/>
    <s v="Entregado"/>
    <s v="Retroalimentación de la Entrega: Análisis de Marketing con IAGrupo: Cristian Bermudez, Camilo Leyton, Nicolas Torres.Calificación Final: 35/50 (Equivalente a 3.5)Comentarios del Profesor:Equipo, han entregado un trabajo que cumple con los resultados técnicos (los cálculos son correctos), pero que presenta debilidades importantes en el cumplimiento de la metodología de Autogestión y Prompt Engineering solicitada en la guía.Puntos a destacar:Eficiencia en el Código: El uso de List Comprehensions y la función sum() demuestra un nivel técnico avanzado y un código muy &quot;pythónico&quot;. Los resultados de los ejercicios 2 y 3 son exactos.Trabajo en Equipo: Se identifica claramente a los integrantes y el cumplimiento del formato de entrega.Oportunidades de Mejora (Críticas para el cumplimiento de la rúbrica):Falla en la Técnica XML: En el Ejercicio 1, se limitaron a imprimir el texto del prompt dentro de una variable. El objetivo de la tarea era ejecutar el prompt en la IA y mostrar la explicación detallada que la IA generaba sobre el dataset. Se quedaron en la pregunta, pero no mostraron la respuesta analítica.Ausencia de Prompts: Las instrucciones exigían explícitamente: &quot;Escribe aquí tu prompt para Copilot&quot;. En los ejercicios 2 y 3 no incluyeron el texto de la instrucción enviada a la IA, solo pusieron el código final. Como &quot;Arquitectos de Soluciones&quot;, la parte más importante de esta tarea es la pregunta, no solo el código.Falta de Documentación de la IA: Se solicitó documentar cada celda explicando qué acción realiza la IA (Sanity Check). Al omitir esto, no hay evidencia de que hayan auditado la lógica del código generado.Motivación: Tienen una capacidad técnica muy buena, pero en este corte evaluamos la interacción estratégica con la tecnología. Programar es importante, pero saber guiar a la IA y documentar su proceso es lo que les dará la ventaja competitiva en el mercado actual. Los invito a ser mucho más rigurosos con el seguimiento de instrucciones en la próxima entrega.Rúbrica de CalificaciónCriterio de EvaluaciónRequisito TécnicoPuntaje MáximoPuntaje ObtenidoTécnica XML (Prompt 1)Uso de etiquetas XML, pero no se muestra la respuesta/explicación de la IA.15.010.0Generación de Código (Prompt 2)Código correcto y eficiente, pero no se incluye el texto del prompt utilizado.15.012.0Filtrado Lógico (Prompt 3)Código funcional, pero no se incluye el texto del prompt utilizado.10.08.0Documentación y AutogestiónNo se incluyeron los comentarios explicativos de la lógica de la IA (Sanity Check).10.05.0TOTAL50.035.0Diego Mauricio Zuluaga Rodríguez Profesor - Departamento de Economía Universidad de La Sabana"/>
    <n v="35"/>
    <n v="50"/>
    <n v="0.7"/>
  </r>
  <r>
    <x v="4"/>
    <s v="Cristian"/>
    <s v="Bermudez"/>
    <s v="cristianbe@unisabana.edu.co"/>
    <x v="12"/>
    <d v="2026-03-11T00:00:00"/>
    <x v="2"/>
    <s v="Entregado"/>
    <s v="Retroalimentación de la Entrega: Análisis de Marketing con IAGrupo: Cristian Bermudez, Camilo Leyton, Nicolas Torres.Calificación Final: 35/50 (Equivalente a 3.5)Comentarios del Profesor:Equipo, han entregado un trabajo que cumple con los resultados técnicos (los cálculos son correctos), pero que presenta debilidades importantes en el cumplimiento de la metodología de Autogestión y Prompt Engineering solicitada en la guía.Puntos a destacar:Eficiencia en el Código: El uso de List Comprehensions y la función sum() demuestra un nivel técnico avanzado y un código muy &quot;pythónico&quot;. Los resultados de los ejercicios 2 y 3 son exactos.Trabajo en Equipo: Se identifica claramente a los integrantes y el cumplimiento del formato de entrega.Oportunidades de Mejora (Críticas para el cumplimiento de la rúbrica):Falla en la Técnica XML: En el Ejercicio 1, se limitaron a imprimir el texto del prompt dentro de una variable. El objetivo de la tarea era ejecutar el prompt en la IA y mostrar la explicación detallada que la IA generaba sobre el dataset. Se quedaron en la pregunta, pero no mostraron la respuesta analítica.Ausencia de Prompts: Las instrucciones exigían explícitamente: &quot;Escribe aquí tu prompt para Copilot&quot;. En los ejercicios 2 y 3 no incluyeron el texto de la instrucción enviada a la IA, solo pusieron el código final. Como &quot;Arquitectos de Soluciones&quot;, la parte más importante de esta tarea es la pregunta, no solo el código.Falta de Documentación de la IA: Se solicitó documentar cada celda explicando qué acción realiza la IA (Sanity Check). Al omitir esto, no hay evidencia de que hayan auditado la lógica del código generado.Motivación: Tienen una capacidad técnica muy buena, pero en este corte evaluamos la interacción estratégica con la tecnología. Programar es importante, pero saber guiar a la IA y documentar su proceso es lo que les dará la ventaja competitiva en el mercado actual. Los invito a ser mucho más rigurosos con el seguimiento de instrucciones en la próxima entrega.Rúbrica de CalificaciónCriterio de EvaluaciónRequisito TécnicoPuntaje MáximoPuntaje ObtenidoTécnica XML (Prompt 1)Uso de etiquetas XML, pero no se muestra la respuesta/explicación de la IA.15.010.0Generación de Código (Prompt 2)Código correcto y eficiente, pero no se incluye el texto del prompt utilizado.15.012.0Filtrado Lógico (Prompt 3)Código funcional, pero no se incluye el texto del prompt utilizado.10.08.0Documentación y AutogestiónNo se incluyeron los comentarios explicativos de la lógica de la IA (Sanity Check).10.05.0TOTAL50.035.0Diego Mauricio Zuluaga Rodríguez Profesor - Departamento de Economía Universidad de La Sabana"/>
    <n v="35"/>
    <n v="50"/>
    <n v="0.7"/>
  </r>
  <r>
    <x v="5"/>
    <s v="Mariana"/>
    <s v="Carmona Romero"/>
    <s v="marianacarrom@unisabana.edu.co"/>
    <x v="12"/>
    <d v="2026-03-11T00:00:00"/>
    <x v="2"/>
    <s v="Entregado"/>
    <s v="⚠️ Reporte de No Entrega: Tarea 1_x000a_Clase 5 - Análisis de Marketing con IA  Estimado Carmona Romero, Mariana,  Al realizar el cierre de calificaciones en Teams, he_x000a_identificado que no registraste la entrega de la Tarea 1 de la Clase 5_x000a_(Análisis de Marketing con IA), cuyo plazo venció el pasado 11 de marzo.  Como lo establece nuestro Syllabus y el contrato_x000a_pedagógico firmado al inicio del semestre, el cumplimiento de los cronogramas_x000a_es un pilar fundamental de la competencia de Autogestión que buscamos_x000a_desarrollar en este curso. En el mundo profesional, y especialmente en roles de_x000a_toma de decisiones y tecnología, la puntualidad en los entregables es_x000a_innegociable.  Debido a la falta de evidencia en el buzón, tu calificación_x000a_para esta actividad es de 0.0.  Te invito a reflexionar sobre tu organización del tiempo y a_x000a_revisar los próximos checkpoints y tareas del Corte 2 para evitar que tu_x000a_promedio se vea afectado nuevamente. Recuerda que cada entrega de bajo peso es_x000a_un entrenamiento para los retos grandes del semestre.  Quedo atento a tu desempeño en las próximas sesiones.  Atentamente, Diego Mauricio Zuluaga Rodríguez _x000a_Profesor - Departamento de Economía _x000a_Universidad de La Sabana"/>
    <n v="0"/>
    <n v="50"/>
    <n v="0"/>
  </r>
  <r>
    <x v="6"/>
    <s v="Mariana"/>
    <s v="Pena Rodriguez"/>
    <s v="marianapero@unisabana.edu.co"/>
    <x v="12"/>
    <d v="2026-03-11T00:00:00"/>
    <x v="2"/>
    <s v="Entregado"/>
    <s v="Retroalimentación de la Entrega: Análisis de Marketing con IAGrupo: Matías Mondragón Osorio, Arianne Amorocho, Mariana Peña.Calificación Final: 50/50 (Equivalente a 5.0)Comentarios del Profesor: ¡Excelente_x000a_ trabajo, equipo! Han demostrado una comprensión profunda de lo que _x000a_significa ser &quot;Arquitectos de Soluciones&quot;. No se limitaron a pedirle a _x000a_la IA que hiciera el trabajo, sino que le dieron instrucciones precisas y_x000a_ auditaron el resultado.Puntos Destacados:Prompt Engineering (XML): El uso de la etiqueta &amp;lt;instruccion&amp;gt;_x000a_ en el Ejercicio 1 fue impecable. Al pedirle a la IA que actuara como un_x000a_ &quot;analista de datos experto&quot;, lograron que la explicación de la lista de_x000a_ diccionarios tuviera un enfoque de negocio (ROI, segmentación), lo cual_x000a_ es brillante para sus carreras.Precisión en las Instrucciones:_x000a_ En los Ejercicios 2 y 3, sus prompts fueron muy específicos. Pedir _x000a_explícitamente el uso de un &quot;ciclo for&quot;, &quot;condicionales lógicos&quot; y _x000a_&quot;formato de moneda&quot; garantizó que la IA generara código limpio y _x000a_alineado con lo que hemos visto en clase.Auditoría y Documentación: El código generado está perfectamente comentado y ejecutado sin errores. El filtrado con el operador and funciona a la perfección.Motivación: Esta_x000a_ es exactamente la mentalidad que busca el mercado laboral actual. Las _x000a_empresas no pagan por saber escribir código de memoria, pagan por saber _x000a_resolver problemas utilizando las mejores herramientas disponibles de _x000a_forma crítica y estructurada. ¡Sigan con este nivel de excelencia!Rúbrica de CalificaciónCriterio de EvaluaciónRequisito TécnicoPuntaje MáximoPuntaje ObtenidoTécnica XML (Prompt 1)Uso correcto de etiquetas para definir el contexto y explicación clara de la estructura de datos.15.015.0Generación de Código (Prompt 2)Instrucción precisa para calcular el total. Código funcional y ejecutado.15.015.0Filtrado Lógico (Prompt 3)Instrucción precisa para filtrar por ciudad y gasto. Código funcional y ejecutado.10.010.0Documentación y AutogestiónComentarios en el código generado y formato de entrega correcto (.ipynb).10.010.0TOTAL50.050.0Diego Mauricio Zuluaga Rodríguez Profesor - Departamento de Economía Universidad de La Sabana"/>
    <n v="50"/>
    <n v="50"/>
    <n v="1"/>
  </r>
  <r>
    <x v="7"/>
    <s v="Isabella"/>
    <s v="Carranza Tapiero"/>
    <s v="isabellacata@unisabana.edu.co"/>
    <x v="12"/>
    <d v="2026-03-11T00:00:00"/>
    <x v="2"/>
    <s v="Entregado"/>
    <s v="Retroalimentación de la Entrega: Análisis de Marketing con IAGrupo: Paula Andrea Arciniegas Cárdenas, Valeria Morales, Isabella Carranza Tapiero.Calificación Final: 50/50 (Equivalente a 5.0)Comentarios del Profesor: ¡Excelente trabajo, equipo! Han cumplido a cabalidad con el objetivo de la sesión: actuar como &quot;Arquitectas de Soluciones&quot; guiando a la Inteligencia Artificial de forma estructurada y auditando sus resultados.Puntos Destacados:Prompt Engineering (XML): La aplicación de las etiquetas &amp;lt;instruccion&amp;gt; en el Ejercicio 1 fue correcta. Lograron que la IA desglosara la estructura de datos de forma muy clara, incluso generando una tabla explicativa de los tipos de datos (str, int) y su utilidad en el ROI.Validación de Código Avanzado: En los Ejercicios 2 y 3, la IA les generó código utilizando &quot;Comprensión de Listas&quot; ([cliente for cliente in...]) y expresiones generadoras dentro de la función sum(). Estas son estructuras avanzadas de Python que hacen el código mucho más eficiente. El hecho de que lo hayan ejecutado y validado correctamente demuestra que están utilizando la IA para aprender y optimizar, no solo para copiar y pegar.Autogestión y Orden: El Notebook está perfectamente estructurado, separando los prompts en celdas de Markdown y las ejecuciones en celdas de código con sus respectivos comentarios.Motivación: Saber programar es importante, pero saber pedirle a una máquina que programe por ustedes y auditar que lo haga bien, es el verdadero superpoder en el mercado laboral actual. Han demostrado una excelente capacidad de adaptación tecnológica. ¡Sigan con este nivel de rigurosidad para los proyectos que vienen con Bases de Datos!Rúbrica de CalificaciónCriterio de EvaluaciónRequisito TécnicoPuntaje MáximoPuntaje ObtenidoTécnica XML (Prompt 1)Uso correcto de etiquetas para definir el contexto y explicación clara de la estructura de datos.15.015.0Generación de Código (Prompt 2)Instrucción precisa para calcular el total. Código funcional, documentado y ejecutado.15.015.0Filtrado Lógico (Prompt 3)Instrucción precisa para filtrar por ciudad y gasto. Código funcional, documentado y ejecutado.10.010.0Documentación y AutogestiónComentarios en el código generado y formato de entrega correcto (.ipynb).10.010.0TOTAL50.050.0Diego Mauricio Zuluaga Rodríguez Profesor - Departamento de Economía Universidad de La Sabana"/>
    <n v="50"/>
    <n v="50"/>
    <n v="1"/>
  </r>
  <r>
    <x v="8"/>
    <s v="Samuel David"/>
    <s v="Lozano Holguin"/>
    <s v="samuelloho@unisabana.edu.co"/>
    <x v="12"/>
    <d v="2026-03-11T00:00:00"/>
    <x v="2"/>
    <s v="Entregado"/>
    <s v="Retroalimentación de la Entrega: Análisis de Marketing con IAGrupo: Sebastian Vanoy Gutierrez, Samuel David Lozano Holguin, Samuel Mathias Gonzalez Bernal.Calificación Final: 50/50 (Equivalente a 5.0)Comentarios del Profesor: Excelente ejecución, equipo. Han demostrado no solo un dominio técnico de las herramientas de IA, sino una capacidad crítica de Autogestión que es fundamental en este curso.Puntos Destacados:Técnica XML: El uso de las etiquetas &amp;lt;instruccion&amp;gt; y &amp;lt;explicacion&amp;gt; fue impecable. La descripción de la estructura de datos (lista de diccionarios) es precisa y los ejemplos de acceso por índice y clave demuestran que comprenden la jerarquía de los datos.Eficiencia en el Código: El uso de funciones integradas como sum() con expresiones generadoras para el cálculo del total y comprensiones de lista para el filtrado muestra un nivel de programación avanzado y limpio.Sanity Check (Validación): Lo más valioso de su entrega son las celdas de validación manual. No se limitaron a confiar en lo que la IA generó; crearon pruebas lógicas para confirmar que los resultados (True) coincidieran con lo esperado. Este es el comportamiento exacto de un &quot;Arquitecto de Soluciones&quot;.Documentación: El archivo es legible, está bien organizado y cumple con la declaración de autoría solicitada.Motivación: Sigan aplicando este rigor. La IA es un copiloto potente, pero el éxito de un proyecto depende del humano que audita y valida los resultados. Han superado el reto de hoy con excelencia. ¡Felicitaciones!Rúbrica de CalificaciónCriterio de EvaluaciónRequisito TécnicoPuntaje MáximoPuntaje ObtenidoTécnica XML (Prompt 1)Uso correcto de etiquetas y explicación clara de la estructura de datos.15.015.0Generación de Código (Prompt 2)Instrucción precisa para calcular el total. Código funcional y eficiente.15.015.0Filtrado Lógico (Prompt 3)Instrucción precisa para filtrar por ciudad y gasto. Resultado correcto.10.010.0Autogestión y ValidaciónInclusión de &quot;Sanity Checks&quot; y comentarios explicativos en el Notebook.10.010.0TOTAL50.050.0Diego Mauricio Zuluaga Rodríguez Profesor - Departamento de Economía Universidad de La Sabana"/>
    <n v="50"/>
    <n v="50"/>
    <n v="1"/>
  </r>
  <r>
    <x v="9"/>
    <s v="Sebastian"/>
    <s v="Vanoy Gutierrez"/>
    <s v="sebastianvagu@unisabana.edu.co"/>
    <x v="12"/>
    <d v="2026-03-11T00:00:00"/>
    <x v="2"/>
    <s v="Entregado"/>
    <s v="Retroalimentación de la Entrega: Análisis de Marketing con IAGrupo: Sebastian Vanoy Gutierrez, Samuel David Lozano Holguin, Samuel Mathias Gonzalez Bernal.Calificación Final: 50/50 (Equivalente a 5.0)Comentarios del Profesor: Excelente ejecución, equipo. Han demostrado no solo un dominio técnico de las herramientas de IA, sino una capacidad crítica de Autogestión que es fundamental en este curso.Puntos Destacados:Técnica XML: El uso de las etiquetas &amp;lt;instruccion&amp;gt; y &amp;lt;explicacion&amp;gt; fue impecable. La descripción de la estructura de datos (lista de diccionarios) es precisa y los ejemplos de acceso por índice y clave demuestran que comprenden la jerarquía de los datos.Eficiencia en el Código: El uso de funciones integradas como sum() con expresiones generadoras para el cálculo del total y comprensiones de lista para el filtrado muestra un nivel de programación avanzado y limpio.Sanity Check (Validación): Lo más valioso de su entrega son las celdas de validación manual. No se limitaron a confiar en lo que la IA generó; crearon pruebas lógicas para confirmar que los resultados (True) coincidieran con lo esperado. Este es el comportamiento exacto de un &quot;Arquitecto de Soluciones&quot;.Documentación: El archivo es legible, está bien organizado y cumple con la declaración de autoría solicitada.Motivación: Sigan aplicando este rigor. La IA es un copiloto potente, pero el éxito de un proyecto depende del humano que audita y valida los resultados. Han superado el reto de hoy con excelencia. ¡Felicitaciones!Rúbrica de CalificaciónCriterio de EvaluaciónRequisito TécnicoPuntaje MáximoPuntaje ObtenidoTécnica XML (Prompt 1)Uso correcto de etiquetas y explicación clara de la estructura de datos.15.015.0Generación de Código (Prompt 2)Instrucción precisa para calcular el total. Código funcional y eficiente.15.015.0Filtrado Lógico (Prompt 3)Instrucción precisa para filtrar por ciudad y gasto. Resultado correcto.10.010.0Autogestión y ValidaciónInclusión de &quot;Sanity Checks&quot; y comentarios explicativos en el Notebook.10.010.0TOTAL50.050.0Diego Mauricio Zuluaga Rodríguez Profesor - Departamento de Economía Universidad de La Sabana"/>
    <n v="50"/>
    <n v="50"/>
    <n v="1"/>
  </r>
  <r>
    <x v="10"/>
    <s v="Jose Daniel"/>
    <s v="Escobar Hurtado"/>
    <s v="joseeshu@unisabana.edu.co"/>
    <x v="12"/>
    <d v="2026-03-11T00:00:00"/>
    <x v="2"/>
    <s v="Entregado"/>
    <s v="Retroalimentación de la Entrega: Análisis de Marketing con IAIntegrantes: Juan David Neuta Medina, Laura Fernanda Lopez Parra, Jose Daniel Escobar Hurtado.Calificación Final: 50/50 (Equivalente a 5.0)Comentarios del Profesor:Estimados Juan David, Laura Fernanda y Jose Daniel, han entregado un trabajo que no solo cumple con los requisitos, sino que supera con creces las expectativas técnicas del curso. Han demostrado una capacidad de Autogestión y una curiosidad técnica excepcional al integrar herramientas avanzadas de análisis de datos.Puntos Destacados:Arquitectura de Software (POO): Es impresionante ver cómo decidieron encapsular la lógica en una clase llamada CampaniaMarketing. Esto demuestra que han asimilado los conceptos de Programación Orientada a Objetos vistos en las últimas sesiones y los han aplicado para organizar el análisis de forma profesional.Innovación Técnica: El uso de la librería pandas para la manipulación de datos y matplotlib para la visualización gráfica es un valor agregado de alto nivel. El gráfico de barras generado permite realizar un &quot;Sanity Check&quot; visual inmediato de la distribución del gasto por ciudad.Experiencia de Usuario (UX): La implementación de un Dashboard interactivo en HTML dentro del Notebook es un detalle de nivel consultoría. En el mundo de la Economía y la Administración, presentar los datos de forma estética y clara es tan importante como el cálculo mismo.Prompt Engineering: Sus instrucciones a la IA fueron precisas, permitiendo que el código generado fuera eficiente (uso de list comprehensions y métodos de agregación de Pandas).Motivación:Este es el estándar de excelencia que buscamos en la EICEA. No se limitaron a ser usuarios de la IA, se comportaron como Arquitectos de Soluciones. Sigan explorando la integración de Python con visualización de datos, ya que esta habilidad los pondrá a la vanguardia en cualquier entorno profesional de toma de decisiones. ¡Felicitaciones por este resultado sobresaliente!Rúbrica de CalificaciónCriterio de EvaluaciónRequisito TécnicoPuntaje MáximoPuntaje ObtenidoTécnica XML (Prompt 1)Uso correcto de etiquetas XML para definir contexto y rol de analista experto.10.010.0Validación y AuditoríaEl código es robusto, funcional y utiliza librerías avanzadas (Pandas/Matplotlib).15.015.0DocumentaciónComentarios detallados y celdas Markdown con explicaciones claras del proceso.10.010.0Funcionalidad y LógicaResolución perfecta de cálculos de gasto total y filtrado por ciudad/monto.15.015.0TOTAL50.050.0Diego Mauricio Zuluaga Rodríguez Profesor - Departamento de Economía Universidad de La Sabana"/>
    <n v="50"/>
    <n v="50"/>
    <n v="1"/>
  </r>
  <r>
    <x v="11"/>
    <s v="Maria Jose"/>
    <s v="Botero Galviz"/>
    <s v="mariabotga@unisabana.edu.co"/>
    <x v="12"/>
    <d v="2026-03-11T00:00:00"/>
    <x v="2"/>
    <s v="Entregado"/>
    <s v="Retroalimentación de la Entrega: Análisis de Marketing con IAIntegrantes:Maria Juliana Mejia QuinteroValery Linares HernandezMaria Jose Botero GalvizCalificación Final: 50/50 (Equivalente a 5.0)Comentarios del Profesor:¡Excelente trabajo, equipo! Han demostrado un nivel de Autogestión y pensamiento crítico superior al promedio. No solo cumplieron con los requerimientos técnicos, sino que elevaron la calidad de la solución mediante una estructura de prompts muy profesional y una validación de código robusta.Puntos Destacados:Dominio de la Técnica XML: El primer prompt está perfectamente estructurado. El uso de etiquetas como &amp;lt;rol&amp;gt;, &amp;lt;contexto&amp;gt; y &amp;lt;reglas&amp;gt; es una práctica de Prompt Engineering avanzada que garantiza respuestas precisas y útiles para el negocio.Lógica de Programación Defensiva: Me impresionó gratamente la función filtrar_clientes_bogota. Implementar casefold() y validar tanto &quot;bogotá&quot; (con tilde) como &quot;bogota&quot; (sin tilde) demuestra que entienden los problemas reales de los datos en Colombia. Esto es un &quot;Sanity Check&quot; de nivel profesional.Arquitectura de Soluciones: El uso de funciones (def) para organizar el código generado por la IA hace que el script sea reutilizable y limpio, facilitando cualquier auditoría posterior.Documentación: Cada bloque de código cuenta con comentarios claros que explican la acción realizada, cumpliendo a cabalidad con la regla de &quot;hacer visible el proceso&quot;.Motivación: Sigan por este camino. Han entendido que la IA es un multiplicador de su capacidad, pero que el control de calidad y la lógica final siempre dependen del analista. Con este nivel de atención al detalle, están más que preparadas para los retos de integración de bases de datos que vienen en el curso. ¡Felicitaciones!Rúbrica de CalificaciónCriterio de EvaluaciónRequisito TécnicoPuntaje MáximoPuntaje ObtenidoTécnica XML (Prompt 1)Estructura de etiquetas clara y definición de contexto/rol impecable.15.015.0Generación de Código (Prompt 2)Cálculo manual (sin sum()) ejecutado correctamente mediante funciones.15.015.0Filtrado Lógico (Prompt 3)Uso de condicionales y normalización de texto (tildes/mayúsculas).10.010.0Documentación y AutogestiónComentarios explicativos y formato .ipynb perfectamente organizado.10.010.0TOTAL50.050.0Diego Mauricio Zuluaga Rodríguez Profesor - Departamento de Economía Universidad de La Sabana"/>
    <n v="50"/>
    <n v="50"/>
    <n v="1"/>
  </r>
  <r>
    <x v="12"/>
    <s v="Maria Juliana"/>
    <s v="Mejia Quintero"/>
    <s v="mariamequ@unisabana.edu.co"/>
    <x v="12"/>
    <d v="2026-03-11T00:00:00"/>
    <x v="2"/>
    <s v="Entregado"/>
    <s v="Retroalimentación de la Entrega: Análisis de Marketing con IAIntegrantes:Maria Juliana Mejia QuinteroValery Linares HernandezMaria Jose Botero GalvizCalificación Final: 50/50 (Equivalente a 5.0)Comentarios del Profesor:¡Excelente trabajo, equipo! Han demostrado un nivel de Autogestión y pensamiento crítico superior al promedio. No solo cumplieron con los requerimientos técnicos, sino que elevaron la calidad de la solución mediante una estructura de prompts muy profesional y una validación de código robusta.Puntos Destacados:Dominio de la Técnica XML: El primer prompt está perfectamente estructurado. El uso de etiquetas como &amp;lt;rol&amp;gt;, &amp;lt;contexto&amp;gt; y &amp;lt;reglas&amp;gt; es una práctica de Prompt Engineering avanzada que garantiza respuestas precisas y útiles para el negocio.Lógica de Programación Defensiva: Me impresionó gratamente la función filtrar_clientes_bogota. Implementar casefold() y validar tanto &quot;bogotá&quot; (con tilde) como &quot;bogota&quot; (sin tilde) demuestra que entienden los problemas reales de los datos en Colombia. Esto es un &quot;Sanity Check&quot; de nivel profesional.Arquitectura de Soluciones: El uso de funciones (def) para organizar el código generado por la IA hace que el script sea reutilizable y limpio, facilitando cualquier auditoría posterior.Documentación: Cada bloque de código cuenta con comentarios claros que explican la acción realizada, cumpliendo a cabalidad con la regla de &quot;hacer visible el proceso&quot;.Motivación: Sigan por este camino. Han entendido que la IA es un multiplicador de su capacidad, pero que el control de calidad y la lógica final siempre dependen del analista. Con este nivel de atención al detalle, están más que preparadas para los retos de integración de bases de datos que vienen en el curso. ¡Felicitaciones!Rúbrica de CalificaciónCriterio de EvaluaciónRequisito TécnicoPuntaje MáximoPuntaje ObtenidoTécnica XML (Prompt 1)Estructura de etiquetas clara y definición de contexto/rol impecable.15.015.0Generación de Código (Prompt 2)Cálculo manual (sin sum()) ejecutado correctamente mediante funciones.15.015.0Filtrado Lógico (Prompt 3)Uso de condicionales y normalización de texto (tildes/mayúsculas).10.010.0Documentación y AutogestiónComentarios explicativos y formato .ipynb perfectamente organizado.10.010.0TOTAL50.050.0Diego Mauricio Zuluaga Rodríguez Profesor - Departamento de Economía Universidad de La Sabana"/>
    <n v="50"/>
    <n v="50"/>
    <n v="1"/>
  </r>
  <r>
    <x v="13"/>
    <s v="Alejandra"/>
    <s v="Leon Vargas"/>
    <s v="alejandraleva@unisabana.edu.co"/>
    <x v="12"/>
    <d v="2026-03-11T00:00:00"/>
    <x v="2"/>
    <s v="Entregado"/>
    <s v="Retroalimentación de la Entrega: Análisis de Marketing con IAGrupo: Alejandra Leon Vargas, Sofia Giraldo Pico.Calificación Final: 45/50 (Equivalente a 4.5)Comentarios del Profesor:Buen trabajo, equipo. Han logrado aplicar correctamente la metodología de Prompt Engineering para resolver problemas de análisis de datos. El código generado por la IA y auditado por ustedes es eficiente y utiliza estructuras avanzadas de Python.Puntos Destacados:Técnica XML: El uso de las etiquetas &amp;lt;instruccion&amp;gt; en el primer ejercicio fue correcto, permitiendo que la IA estructurara una explicación clara sobre la jerarquía de los datos (Lista &amp;gt; Diccionario &amp;gt; Claves).Eficiencia del Código: Me parece excelente que hayan validado el uso de la función sum() con una expresión generadora en el Ejercicio 2 y la list comprehension (comprensión de listas) en el Ejercicio 3. Estas son formas muy &quot;Pythónicas&quot; y profesionales de escribir código, lo que demuestra que auditaron el resultado de la IA con criterio.Lógica de Negocio: El filtrado por ciudad y monto cumple exactamente con los requerimientos técnicos solicitados para un análisis de clientes de alto valor.Oportunidad de Mejora y Autogestión:Puntualidad: La tarea fue entregada 24 minutos tarde. En este curso, la competencia de Autogestión es fundamental y el cumplimiento de los cronogramas es un requisito innegociable para la excelencia. Por esta razón, se aplica la penalización de -5 puntos sobre la nota final.Documentación: Aunque el código es limpio, podrían haber solicitado a la IA que incluyera el formato de moneda (:,.2f) en los resultados impresos para mejorar la visualización financiera, tal como se vio en las sesiones anteriores.Motivación: Tienen una gran capacidad para guiar a la IA hacia soluciones técnicas elegantes. Si logran ajustar sus tiempos de entrega para cumplir con la rigurosidad del cronograma, su desempeño en este segundo corte será sobresaliente. ¡Sigan explorando el potencial de estas herramientas!Rúbrica de CalificaciónCriterio de EvaluaciónRequisito TécnicoPuntaje MáximoPuntaje ObtenidoTécnica XML (Prompt 1)Uso correcto de etiquetas y explicación de la estructura de datos.15.015.0Generación de Código (Prompt 2)Instrucción precisa y código funcional para cálculo de totales.15.015.0Filtrado Lógico (Prompt 3)Instrucción precisa y código funcional para filtrado de datos.10.010.0Documentación y FormatoComentarios explicativos y entrega en archivo .ipynb.10.010.0PenalizaciónEntrega extemporánea (24 minutos tarde).-5.0-5.0TOTAL50.045.0Diego Mauricio Zuluaga Rodríguez Profesor - Departamento de Economía Universidad de La Sabana"/>
    <n v="45"/>
    <n v="50"/>
    <n v="0.9"/>
  </r>
  <r>
    <x v="14"/>
    <s v="Alessandro Di Mauro"/>
    <s v="Bonilla Correa"/>
    <s v="alessandroboco@unisabana.edu.co"/>
    <x v="12"/>
    <d v="2026-03-11T00:00:00"/>
    <x v="2"/>
    <s v="Entregado"/>
    <s v="Retroalimentación de la Entrega: Análisis de Marketing con IAGrupo: Gabriela Ruiz Perez, Maria Jose Huertas Osorio, Alessandro Di Mauro Bonilla Correa.Calificación Final: 48/50 (Equivalente a 4.8)Comentarios del Profesor:Buen trabajo, equipo. Han cumplido con los objetivos técnicos de la actividad, demostrando que pueden guiar a la IA para obtener resultados específicos y funcionales.Puntos Destacados:Técnica XML: El uso de las etiquetas &amp;lt;instruccion&amp;gt; en el primer prompt es correcto y sigue los lineamientos de estructura vistos en clase.Funcionalidad: El código generado para el cálculo del gasto total y el filtrado de clientes en Bogotá es totalmente funcional y arroja los resultados esperados.Lógica de Programación: Se observa un uso adecuado de ciclos for y operadores lógicos and, lo cual es fundamental para el análisis de datos.Oportunidades de Mejora (Autogestión y UX):Formato de Salida: En el análisis de marketing y finanzas, la presentación de los datos es clave. Les sugiero utilizar f-strings para dar formato de moneda a los resultados (ej: $745,000.00 en lugar de 745000). Esto facilita la lectura para el usuario final.Profundidad en la Documentación: Aunque incluyeron comentarios, estos son muy generales. Como &quot;Arquitectos de Soluciones&quot;, deben explicar brevemente cómo la IA resolvió el problema (ej: &quot;Se utiliza un acumulador para sumar los valores de la clave gasto&quot;).Motivación: Tienen una base sólida para trabajar con asistentes de IA. No se queden solo con lo que la IA les entrega; sigan puliendo la presentación de sus reportes para que sus análisis tengan un impacto profesional real. ¡Buen inicio de corte!Rúbrica de CalificaciónCriterio de EvaluaciónRequisito TécnicoPuntaje MáximoPuntaje ObtenidoTécnica XML (Prompt 1)Uso correcto de etiquetas y explicación de la estructura de datos.15.015.0Generación de Código (Prompt 2)Instrucción para cálculo total. Código funcional y ejecutado.15.015.0Filtrado Lógico (Prompt 3)Instrucción para filtrar por ciudad y gasto. Código funcional.10.010.0Documentación y AutogestiónComentarios explicativos y formato de entrega (.ipynb).10.08.0TOTAL50.048.0Diego Mauricio Zuluaga Rodríguez Profesor - Departamento de Economía Universidad de La Sabana"/>
    <n v="48"/>
    <n v="50"/>
    <n v="0.96"/>
  </r>
  <r>
    <x v="15"/>
    <s v="Arianne Mariana"/>
    <s v="Amorocho Quiroga"/>
    <s v="arianneamqu@unisabana.edu.co"/>
    <x v="12"/>
    <d v="2026-03-11T00:00:00"/>
    <x v="2"/>
    <s v="Entregado"/>
    <s v="Retroalimentación de la Entrega: Análisis de Marketing con IAGrupo: Matías Mondragón Osorio, Arianne Amorocho, Mariana Peña.Calificación Final: 50/50 (Equivalente a 5.0)Comentarios del Profesor: ¡Excelente_x000a_ trabajo, equipo! Han demostrado una comprensión profunda de lo que _x000a_significa ser &quot;Arquitectos de Soluciones&quot;. No se limitaron a pedirle a _x000a_la IA que hiciera el trabajo, sino que le dieron instrucciones precisas y_x000a_ auditaron el resultado.Puntos Destacados:Prompt Engineering (XML): El uso de la etiqueta &amp;lt;instruccion&amp;gt;_x000a_ en el Ejercicio 1 fue impecable. Al pedirle a la IA que actuara como un_x000a_ &quot;analista de datos experto&quot;, lograron que la explicación de la lista de_x000a_ diccionarios tuviera un enfoque de negocio (ROI, segmentación), lo cual_x000a_ es brillante para sus carreras.Precisión en las Instrucciones:_x000a_ En los Ejercicios 2 y 3, sus prompts fueron muy específicos. Pedir _x000a_explícitamente el uso de un &quot;ciclo for&quot;, &quot;condicionales lógicos&quot; y _x000a_&quot;formato de moneda&quot; garantizó que la IA generara código limpio y _x000a_alineado con lo que hemos visto en clase.Auditoría y Documentación: El código generado está perfectamente comentado y ejecutado sin errores. El filtrado con el operador and funciona a la perfección.Motivación: Esta_x000a_ es exactamente la mentalidad que busca el mercado laboral actual. Las _x000a_empresas no pagan por saber escribir código de memoria, pagan por saber _x000a_resolver problemas utilizando las mejores herramientas disponibles de _x000a_forma crítica y estructurada. ¡Sigan con este nivel de excelencia!Rúbrica de CalificaciónCriterio de EvaluaciónRequisito TécnicoPuntaje MáximoPuntaje ObtenidoTécnica XML (Prompt 1)Uso correcto de etiquetas para definir el contexto y explicación clara de la estructura de datos.15.015.0Generación de Código (Prompt 2)Instrucción precisa para calcular el total. Código funcional y ejecutado.15.015.0Filtrado Lógico (Prompt 3)Instrucción precisa para filtrar por ciudad y gasto. Código funcional y ejecutado.10.010.0Documentación y AutogestiónComentarios en el código generado y formato de entrega correcto (.ipynb).10.010.0TOTAL50.050.0Diego Mauricio Zuluaga Rodríguez Profesor - Departamento de Economía Universidad de La Sabana"/>
    <n v="50"/>
    <n v="50"/>
    <n v="1"/>
  </r>
  <r>
    <x v="16"/>
    <s v="Maria Juliana"/>
    <s v="Herrera Pulido"/>
    <s v="mariahepu@unisabana.edu.co"/>
    <x v="12"/>
    <d v="2026-03-11T00:00:00"/>
    <x v="2"/>
    <s v="Entregado"/>
    <s v="Retroalimentación de la Entrega: Introducción a la POO y Prompt EngineeringIntegrantes: Maria Juliana Herrera Pulido y Mariana Carmona Romero.Calificación Final: 50/50 (Equivalente a 5.0)Comentarios del Profesor:Equipo, han entregado un Notebook sumamente organizado que demuestra no solo el seguimiento riguroso de la clase, sino una capacidad de abstracción muy valiosa para sus perfiles profesionales.Puntos Destacados:Dominio de la POO: La implementación de la clase ClienteBancario es impecable. El uso de condicionales dentro del método retirar para validar el saldo es el núcleo de la lógica de negocios que buscamos en este curso.Abstracción de Datos (Clase Estudiante): Su propuesta para el sistema universitario es muy completa. Identificaron atributos clave (código, programa, promedio) y justificaron correctamente su importancia para la toma de decisiones institucionales. Este es el primer paso para diseñar bases de datos robustas.Prompt Engineering: El uso de la técnica XML (&amp;lt;instruccion&amp;gt;) fue ejecutado correctamente. Los prompts diseñados para el cálculo del gasto total y el filtrado de clientes en Bogotá son precisos, lo que permitió que el código generado fuera funcional y libre de errores.Autogestión y Orden: El archivo es fácil de leer, está bien documentado y refleja un proceso de aprendizaje paso a paso.Oportunidad de Mejora: En el ejercicio de la clase Producto, noté que redefinieron la clase en el Bloque 3. Recuerden que en un entorno de producción real (archivos .py), solemos definir la clase completa una sola vez con todos sus métodos para mantener la integridad del código.Motivación: Tienen una base lógica muy sólida. Entender cómo los objetos agrupan datos y acciones les permitirá, en las próximas clases, conectar este conocimiento con bases de datos SQL de manera fluida. ¡Sigan con ese nivel de detalle y excelencia!Rúbrica de CalificaciónCriterio de EvaluaciónRequisito TécnicoPuntaje MáximoPuntaje ObtenidoFundamentos de POOImplementación correcta de clases, constructor (__init__) y métodos.15.015.0Capacidad de AbstracciónIdentificación de atributos y relevancia de la clase &quot;Estudiante&quot;.10.010.0Prompt EngineeringUso de etiquetas XML y prompts precisos para análisis de datos.15.015.0Documentación y FormatoUso de Markdown, comentarios en el código y entrega en .ipynb.10.010.0TOTAL50.050.0Diego Mauricio Zuluaga Rodríguez Profesor - Departamento de Economía Universidad de La Sabana"/>
    <n v="50"/>
    <n v="50"/>
    <n v="1"/>
  </r>
  <r>
    <x v="17"/>
    <s v="Simon Gustavo"/>
    <s v="Restrepo Alvarez"/>
    <s v="simonreal@unisabana.edu.co"/>
    <x v="12"/>
    <d v="2026-03-11T00:00:00"/>
    <x v="2"/>
    <s v="Entregado"/>
    <s v="Retroalimentación de la Entrega: Análisis de Marketing con IAGrupo: Mateo Perez Daza, Simon Gustavo Restrepo Alvarez, Diego Alejandro Hermida Limas.Calificación Final: 50/50 (Equivalente a 5.0)Comentarios del Profesor:¡Excelente trabajo, equipo! Han demostrado un nivel de Autogestión y dominio de Prompt Engineering sobresaliente. No solo cumplieron con los requisitos, sino que elevaron la calidad técnica de la entrega.Puntos a destacar (Lo excelente):Técnica XML Avanzada: Su primer prompt es impecable. El uso de etiquetas como &amp;lt;rol&amp;gt;, &amp;lt;contexto&amp;gt;, &amp;lt;requisitos&amp;gt; y &amp;lt;formato_salida&amp;gt; es una práctica de nivel profesional que garantiza resultados precisos y reduce las &quot;alucinaciones&quot; de la IA. Es, hasta ahora, uno de los mejores diseños de prompt vistos en el curso.Eficiencia del Código: Me llamó la atención que la IA les generó (o ustedes auditaron para usar) List Comprehensions y expresiones generadoras (sum(cliente[&quot;gasto&quot;] for cliente in datos_campania)). Este es un nivel de Python más avanzado y eficiente que un ciclo for tradicional, lo cual demuestra una excelente curaduría del código generado.Lógica y Filtrado: El ejercicio de filtrado para Bogotá con gasto &amp;gt; 200,000 cumple perfectamente con la lógica booleana solicitada.Orden y Limpieza: El Notebook está muy bien organizado, facilitando el &quot;Sanity Check&quot; de los datos.Oportunidad de Mejora:Como único detalle menor para el futuro: en el ejercicio de filtrado, asegúrense de ejecutar siempre la celda antes de exportar para que el output sea visible en el archivo final (aunque la lógica es correcta y se valida al leer el código).Motivación: Han entendido perfectamente el rol del &quot;Arquitecto de Soluciones&quot;. Sigan utilizando la IA con este nivel de estructura y criticidad; esa es la ventaja competitiva que los diferenciará como profesionales de la EICEA en un entorno laboral automatizado. ¡Felicitaciones!Rúbrica de CalificaciónCriterio de EvaluaciónRequisito TécnicoPuntaje MáximoPuntaje ObtenidoTécnica XML (Prompt 1)Uso de etiquetas XML para definir rol, contexto e instrucciones detalladas.15.015.0Generación de Código (Prompt 2)Instrucción clara para cálculo de gasto total. Código funcional y eficiente.15.015.0Filtrado Lógico (Prompt 3)Uso correcto de condiciones and para ciudad y monto. Código validado.10.010.0Documentación y AutogestiónComentarios explicativos y estructura impecable del archivo .ipynb.10.010.0TOTAL50.050.0Diego Mauricio Zuluaga Rodríguez Profesor - Departamento de Economía Universidad de La Sabana"/>
    <n v="50"/>
    <n v="50"/>
    <n v="1"/>
  </r>
  <r>
    <x v="18"/>
    <s v="Daniel Felipe"/>
    <s v="Camacho Pedraza"/>
    <s v="danielcampe@unisabana.edu.co"/>
    <x v="12"/>
    <d v="2026-03-11T00:00:00"/>
    <x v="2"/>
    <s v="Entregado"/>
    <s v="⚠️ Reporte de No Entrega: Tarea 1_x000a_Clase 5 - Análisis de Marketing con IA  Estimado Camacho Pedraza, Daniel Felipe,  Al realizar el cierre de calificaciones en Teams, he_x000a_identificado que no registraste la entrega de la Tarea 1 de la Clase 5_x000a_(Análisis de Marketing con IA), cuyo plazo venció el pasado 11 de marzo.  Como lo establece nuestro Syllabus y el contrato_x000a_pedagógico firmado al inicio del semestre, el cumplimiento de los cronogramas_x000a_es un pilar fundamental de la competencia de Autogestión que buscamos_x000a_desarrollar en este curso. En el mundo profesional, y especialmente en roles de_x000a_toma de decisiones y tecnología, la puntualidad en los entregables es_x000a_innegociable.  Debido a la falta de evidencia en el buzón, tu calificación_x000a_para esta actividad es de 0.0.  Te invito a reflexionar sobre tu organización del tiempo y a_x000a_revisar los próximos checkpoints y tareas del Corte 2 para evitar que tu_x000a_promedio se vea afectado nuevamente. Recuerda que cada entrega de bajo peso es_x000a_un entrenamiento para los retos grandes del semestre.  Quedo atento a tu desempeño en las próximas sesiones.  Atentamente, Diego Mauricio Zuluaga Rodríguez _x000a_Profesor - Departamento de Economía _x000a_Universidad de La Sabana"/>
    <n v="0"/>
    <n v="50"/>
    <n v="0"/>
  </r>
  <r>
    <x v="19"/>
    <s v="Mateo"/>
    <s v="Perez Daza"/>
    <s v="mateopeda@unisabana.edu.co"/>
    <x v="12"/>
    <d v="2026-03-11T00:00:00"/>
    <x v="2"/>
    <s v="Entregado"/>
    <s v="Retroalimentación de la Entrega: Análisis de Marketing con IAGrupo: Mateo Perez Daza, Simon Gustavo Restrepo Alvarez, Diego Alejandro Hermida Limas.Calificación Final: 50/50 (Equivalente a 5.0)Comentarios del Profesor:¡Excelente trabajo, equipo! Han demostrado un nivel de Autogestión y dominio de Prompt Engineering sobresaliente. No solo cumplieron con los requisitos, sino que elevaron la calidad técnica de la entrega.Puntos a destacar (Lo excelente):Técnica XML Avanzada: Su primer prompt es impecable. El uso de etiquetas como &amp;lt;rol&amp;gt;, &amp;lt;contexto&amp;gt;, &amp;lt;requisitos&amp;gt; y &amp;lt;formato_salida&amp;gt; es una práctica de nivel profesional que garantiza resultados precisos y reduce las &quot;alucinaciones&quot; de la IA. Es, hasta ahora, uno de los mejores diseños de prompt vistos en el curso.Eficiencia del Código: Me llamó la atención que la IA les generó (o ustedes auditaron para usar) List Comprehensions y expresiones generadoras (sum(cliente[&quot;gasto&quot;] for cliente in datos_campania)). Este es un nivel de Python más avanzado y eficiente que un ciclo for tradicional, lo cual demuestra una excelente curaduría del código generado.Lógica y Filtrado: El ejercicio de filtrado para Bogotá con gasto &amp;gt; 200,000 cumple perfectamente con la lógica booleana solicitada.Orden y Limpieza: El Notebook está muy bien organizado, facilitando el &quot;Sanity Check&quot; de los datos.Oportunidad de Mejora:Como único detalle menor para el futuro: en el ejercicio de filtrado, asegúrense de ejecutar siempre la celda antes de exportar para que el output sea visible en el archivo final (aunque la lógica es correcta y se valida al leer el código).Motivación: Han entendido perfectamente el rol del &quot;Arquitecto de Soluciones&quot;. Sigan utilizando la IA con este nivel de estructura y criticidad; esa es la ventaja competitiva que los diferenciará como profesionales de la EICEA en un entorno laboral automatizado. ¡Felicitaciones!Rúbrica de CalificaciónCriterio de EvaluaciónRequisito TécnicoPuntaje MáximoPuntaje ObtenidoTécnica XML (Prompt 1)Uso de etiquetas XML para definir rol, contexto e instrucciones detalladas.15.015.0Generación de Código (Prompt 2)Instrucción clara para cálculo de gasto total. Código funcional y eficiente.15.015.0Filtrado Lógico (Prompt 3)Uso correcto de condiciones and para ciudad y monto. Código validado.10.010.0Documentación y AutogestiónComentarios explicativos y estructura impecable del archivo .ipynb.10.010.0TOTAL50.050.0Diego Mauricio Zuluaga Rodríguez Profesor - Departamento de Economía Universidad de La Sabana"/>
    <n v="50"/>
    <n v="50"/>
    <n v="1"/>
  </r>
  <r>
    <x v="20"/>
    <s v="Matias"/>
    <s v="Mondragon Osorio"/>
    <s v="matiasmoos@unisabana.edu.co"/>
    <x v="12"/>
    <d v="2026-03-11T00:00:00"/>
    <x v="2"/>
    <s v="Entregado"/>
    <s v="Retroalimentación de la Entrega: Análisis de Marketing con IAGrupo: Matías Mondragón Osorio, Arianne Amorocho, Mariana Peña.Calificación Final: 50/50 (Equivalente a 5.0)Comentarios del Profesor: ¡Excelente_x000a_ trabajo, equipo! Han demostrado una comprensión profunda de lo que _x000a_significa ser &quot;Arquitectos de Soluciones&quot;. No se limitaron a pedirle a _x000a_la IA que hiciera el trabajo, sino que le dieron instrucciones precisas y_x000a_ auditaron el resultado.Puntos Destacados:Prompt Engineering (XML): El uso de la etiqueta &amp;lt;instruccion&amp;gt;_x000a_ en el Ejercicio 1 fue impecable. Al pedirle a la IA que actuara como un_x000a_ &quot;analista de datos experto&quot;, lograron que la explicación de la lista de_x000a_ diccionarios tuviera un enfoque de negocio (ROI, segmentación), lo cual_x000a_ es brillante para sus carreras.Precisión en las Instrucciones:_x000a_ En los Ejercicios 2 y 3, sus prompts fueron muy específicos. Pedir _x000a_explícitamente el uso de un &quot;ciclo for&quot;, &quot;condicionales lógicos&quot; y _x000a_&quot;formato de moneda&quot; garantizó que la IA generara código limpio y _x000a_alineado con lo que hemos visto en clase.Auditoría y Documentación: El código generado está perfectamente comentado y ejecutado sin errores. El filtrado con el operador and funciona a la perfección.Motivación: Esta_x000a_ es exactamente la mentalidad que busca el mercado laboral actual. Las _x000a_empresas no pagan por saber escribir código de memoria, pagan por saber _x000a_resolver problemas utilizando las mejores herramientas disponibles de _x000a_forma crítica y estructurada. ¡Sigan con este nivel de excelencia!Rúbrica de CalificaciónCriterio de EvaluaciónRequisito TécnicoPuntaje MáximoPuntaje ObtenidoTécnica XML (Prompt 1)Uso correcto de etiquetas para definir el contexto y explicación clara de la estructura de datos.15.015.0Generación de Código (Prompt 2)Instrucción precisa para calcular el total. Código funcional y ejecutado.15.015.0Filtrado Lógico (Prompt 3)Instrucción precisa para filtrar por ciudad y gasto. Código funcional y ejecutado.10.010.0Documentación y AutogestiónComentarios en el código generado y formato de entrega correcto (.ipynb).10.010.0TOTAL50.050.0Diego Mauricio Zuluaga Rodríguez Profesor - Departamento de Economía Universidad de La Sabana"/>
    <n v="50"/>
    <n v="50"/>
    <n v="1"/>
  </r>
  <r>
    <x v="21"/>
    <s v="Juan David"/>
    <s v="Neuta Medina"/>
    <s v="juanneme@unisabana.edu.co"/>
    <x v="12"/>
    <d v="2026-03-11T00:00:00"/>
    <x v="2"/>
    <s v="Entregado"/>
    <s v="Retroalimentación de la Entrega: Análisis de Marketing con IAIntegrantes: Juan David Neuta Medina, Laura Fernanda Lopez Parra, Jose Daniel Escobar Hurtado.Calificación Final: 50/50 (Equivalente a 5.0)Comentarios del Profesor:Estimados Juan David, Laura Fernanda y Jose Daniel, han entregado un trabajo que no solo cumple con los requisitos, sino que supera con creces las expectativas técnicas del curso. Han demostrado una capacidad de Autogestión y una curiosidad técnica excepcional al integrar herramientas avanzadas de análisis de datos.Puntos Destacados:Arquitectura de Software (POO): Es impresionante ver cómo decidieron encapsular la lógica en una clase llamada CampaniaMarketing. Esto demuestra que han asimilado los conceptos de Programación Orientada a Objetos vistos en las últimas sesiones y los han aplicado para organizar el análisis de forma profesional.Innovación Técnica: El uso de la librería pandas para la manipulación de datos y matplotlib para la visualización gráfica es un valor agregado de alto nivel. El gráfico de barras generado permite realizar un &quot;Sanity Check&quot; visual inmediato de la distribución del gasto por ciudad.Experiencia de Usuario (UX): La implementación de un Dashboard interactivo en HTML dentro del Notebook es un detalle de nivel consultoría. En el mundo de la Economía y la Administración, presentar los datos de forma estética y clara es tan importante como el cálculo mismo.Prompt Engineering: Sus instrucciones a la IA fueron precisas, permitiendo que el código generado fuera eficiente (uso de list comprehensions y métodos de agregación de Pandas).Motivación:Este es el estándar de excelencia que buscamos en la EICEA. No se limitaron a ser usuarios de la IA, se comportaron como Arquitectos de Soluciones. Sigan explorando la integración de Python con visualización de datos, ya que esta habilidad los pondrá a la vanguardia en cualquier entorno profesional de toma de decisiones. ¡Felicitaciones por este resultado sobresaliente!Rúbrica de CalificaciónCriterio de EvaluaciónRequisito TécnicoPuntaje MáximoPuntaje ObtenidoTécnica XML (Prompt 1)Uso correcto de etiquetas XML para definir contexto y rol de analista experto.10.010.0Validación y AuditoríaEl código es robusto, funcional y utiliza librerías avanzadas (Pandas/Matplotlib).15.015.0DocumentaciónComentarios detallados y celdas Markdown con explicaciones claras del proceso.10.010.0Funcionalidad y LógicaResolución perfecta de cálculos de gasto total y filtrado por ciudad/monto.15.015.0TOTAL50.050.0Diego Mauricio Zuluaga Rodríguez Profesor - Departamento de Economía Universidad de La Sabana"/>
    <n v="50"/>
    <n v="50"/>
    <n v="1"/>
  </r>
  <r>
    <x v="22"/>
    <s v="Laura Fernanda"/>
    <s v="Lopez Parra"/>
    <s v="lauraloppa@unisabana.edu.co"/>
    <x v="12"/>
    <d v="2026-03-11T00:00:00"/>
    <x v="2"/>
    <s v="Entregado"/>
    <s v="Retroalimentación de la Entrega: Análisis de Marketing con IAIntegrantes: Juan David Neuta Medina, Laura Fernanda Lopez Parra, Jose Daniel Escobar Hurtado.Calificación Final: 50/50 (Equivalente a 5.0)Comentarios del Profesor:Estimados Juan David, Laura Fernanda y Jose Daniel, han entregado un trabajo que no solo cumple con los requisitos, sino que supera con creces las expectativas técnicas del curso. Han demostrado una capacidad de Autogestión y una curiosidad técnica excepcional al integrar herramientas avanzadas de análisis de datos.Puntos Destacados:Arquitectura de Software (POO): Es impresionante ver cómo decidieron encapsular la lógica en una clase llamada CampaniaMarketing. Esto demuestra que han asimilado los conceptos de Programación Orientada a Objetos vistos en las últimas sesiones y los han aplicado para organizar el análisis de forma profesional.Innovación Técnica: El uso de la librería pandas para la manipulación de datos y matplotlib para la visualización gráfica es un valor agregado de alto nivel. El gráfico de barras generado permite realizar un &quot;Sanity Check&quot; visual inmediato de la distribución del gasto por ciudad.Experiencia de Usuario (UX): La implementación de un Dashboard interactivo en HTML dentro del Notebook es un detalle de nivel consultoría. En el mundo de la Economía y la Administración, presentar los datos de forma estética y clara es tan importante como el cálculo mismo.Prompt Engineering: Sus instrucciones a la IA fueron precisas, permitiendo que el código generado fuera eficiente (uso de list comprehensions y métodos de agregación de Pandas).Motivación:Este es el estándar de excelencia que buscamos en la EICEA. No se limitaron a ser usuarios de la IA, se comportaron como Arquitectos de Soluciones. Sigan explorando la integración de Python con visualización de datos, ya que esta habilidad los pondrá a la vanguardia en cualquier entorno profesional de toma de decisiones. ¡Felicitaciones por este resultado sobresaliente!Rúbrica de CalificaciónCriterio de EvaluaciónRequisito TécnicoPuntaje MáximoPuntaje ObtenidoTécnica XML (Prompt 1)Uso correcto de etiquetas XML para definir contexto y rol de analista experto.10.010.0Validación y AuditoríaEl código es robusto, funcional y utiliza librerías avanzadas (Pandas/Matplotlib).15.015.0DocumentaciónComentarios detallados y celdas Markdown con explicaciones claras del proceso.10.010.0Funcionalidad y LógicaResolución perfecta de cálculos de gasto total y filtrado por ciudad/monto.15.015.0TOTAL50.050.0Diego Mauricio Zuluaga Rodríguez Profesor - Departamento de Economía Universidad de La Sabana"/>
    <n v="50"/>
    <n v="50"/>
    <n v="1"/>
  </r>
  <r>
    <x v="23"/>
    <s v="Lukas"/>
    <s v="Blanco Llanes"/>
    <s v="lukasblll@unisabana.edu.co"/>
    <x v="12"/>
    <d v="2026-03-11T00:00:00"/>
    <x v="2"/>
    <s v="Entregado"/>
    <s v="Retroalimentación de la Entrega: Análisis de Marketing con IAGrupo: Juan Sebastián Salas Hinojosa, Alan David Rossoff Vanegas, Lukas Blanco Llanes.Calificación Final: 50/50 (Equivalente a 5.0)Comentarios del Profesor: Excelente trabajo, equipo. Han demostrado una gran capacidad para estructurar instrucciones complejas y validar resultados técnicos de manera eficiente. Su enfoque en la organización del prompt es de nivel profesional.Puntos Destacados:Estructura XML Superior: El uso de etiquetas anidadas (&amp;lt;contexto&amp;gt;, &amp;lt;instruccion&amp;gt;, &amp;lt;detalle&amp;gt;, &amp;lt;formato&amp;gt;) en el primer ejercicio es impecable. Esta segmentación permite que la IA entregue respuestas mucho más precisas y útiles para el negocio.Código Eficiente: Noté que el código generado utiliza List Comprehensions (ej. sum(cliente[&quot;gasto&quot;] for cliente in datos_campania)). Esta es una técnica avanzada en Python que optimiza el procesamiento de datos, lo cual demuestra que auditaron y aceptaron una solución de alta calidad sugerida por la IA.Validación: Los resultados impresos en la consola coinciden exactamente con los requerimientos lógicos de la campaña.Motivación: Dominar el Prompt Engineering con este nivel de detalle les da una ventaja competitiva enorme. No solo están aprendiendo a programar, están aprendiendo a dirigir herramientas de vanguardia para obtener resultados de negocio en segundos. ¡Sigan con esa rigurosidad!Rúbrica de CalificaciónCriterio de EvaluaciónRequisito TécnicoPuntaje MáximoPuntaje ObtenidoTécnica XML (Prompt 1)Uso avanzado de etiquetas para segmentar contexto, instrucción y formato.15.015.0Generación de Código (Prompt 2)Instrucción clara y uso de funciones eficientes para el cálculo del total.15.015.0Filtrado Lógico (Prompt 3)Implementación correcta de filtros anidados (Ciudad + Gasto).10.010.0Documentación y AutogestiónComentarios explicativos y ejecución exitosa en formato .ipynb.10.010.0TOTAL50.050.0Diego Mauricio Zuluaga Rodríguez Profesor - Departamento de Economía Universidad de La Sabana"/>
    <n v="50"/>
    <n v="50"/>
    <n v="1"/>
  </r>
  <r>
    <x v="24"/>
    <s v="Juan Sebastian"/>
    <s v="Salas Hinojosa"/>
    <s v="juansahi@unisabana.edu.co"/>
    <x v="12"/>
    <d v="2026-03-11T00:00:00"/>
    <x v="2"/>
    <s v="Entregado"/>
    <s v="Retroalimentación de la Entrega: Análisis de Marketing con IAGrupo: Juan Sebastián Salas Hinojosa, Alan David Rossoff Vanegas, Lukas Blanco Llanes.Calificación Final: 50/50 (Equivalente a 5.0)Comentarios del Profesor: Excelente trabajo, equipo. Han demostrado una gran capacidad para estructurar instrucciones complejas y validar resultados técnicos de manera eficiente. Su enfoque en la organización del prompt es de nivel profesional.Puntos Destacados:Estructura XML Superior: El uso de etiquetas anidadas (&amp;lt;contexto&amp;gt;, &amp;lt;instruccion&amp;gt;, &amp;lt;detalle&amp;gt;, &amp;lt;formato&amp;gt;) en el primer ejercicio es impecable. Esta segmentación permite que la IA entregue respuestas mucho más precisas y útiles para el negocio.Código Eficiente: Noté que el código generado utiliza List Comprehensions (ej. sum(cliente[&quot;gasto&quot;] for cliente in datos_campania)). Esta es una técnica avanzada en Python que optimiza el procesamiento de datos, lo cual demuestra que auditaron y aceptaron una solución de alta calidad sugerida por la IA.Validación: Los resultados impresos en la consola coinciden exactamente con los requerimientos lógicos de la campaña.Motivación: Dominar el Prompt Engineering con este nivel de detalle les da una ventaja competitiva enorme. No solo están aprendiendo a programar, están aprendiendo a dirigir herramientas de vanguardia para obtener resultados de negocio en segundos. ¡Sigan con esa rigurosidad!Rúbrica de CalificaciónCriterio de EvaluaciónRequisito TécnicoPuntaje MáximoPuntaje ObtenidoTécnica XML (Prompt 1)Uso avanzado de etiquetas para segmentar contexto, instrucción y formato.15.015.0Generación de Código (Prompt 2)Instrucción clara y uso de funciones eficientes para el cálculo del total.15.015.0Filtrado Lógico (Prompt 3)Implementación correcta de filtros anidados (Ciudad + Gasto).10.010.0Documentación y AutogestiónComentarios explicativos y ejecución exitosa en formato .ipynb.10.010.0TOTAL50.050.0Diego Mauricio Zuluaga Rodríguez Profesor - Departamento de Economía Universidad de La Sabana"/>
    <n v="50"/>
    <n v="50"/>
    <n v="1"/>
  </r>
  <r>
    <x v="25"/>
    <s v="Avril Avril"/>
    <s v="Ariza Quitian"/>
    <s v="avrilarqu@unisabana.edu.co"/>
    <x v="12"/>
    <d v="2026-03-11T00:00:00"/>
    <x v="2"/>
    <s v="Entregado"/>
    <s v="Retroalimentación de la Entrega: Análisis de Marketing con IAIntegrantes: Samantha Vanegas Russi y Avril Ariza Quitian.Calificación Final: 45/50 (Nota: Puntaje perfecto de 50/50 en la ejecución técnica, con una penalización de -5 puntos por entrega extemporánea de 22 minutos).Comentarios del Profesor:Buen trabajo, equipo. Han logrado aplicar con éxito la metodología de Prompt Engineering para resolver problemas de análisis de datos. La estructura del archivo es limpia y los resultados son precisos.Puntos Destacados:Técnica XML: El uso de las etiquetas &amp;lt;instruccion&amp;gt; en el primer prompt fue correcto. Definir el rol (&quot;Actúa como un profesor&quot;) ayudó a que la IA entregara una explicación pedagógica y contextualizada al marketing.Eficiencia en el Código: En el Ejercicio 2, la IA generó una solución muy eficiente utilizando una expresión generadora dentro de la función sum(). Esto demuestra que supieron guiar a la IA hacia soluciones óptimas.Lógica de Filtrado: El Ejercicio 3 cumple perfectamente con las condiciones lógicas solicitadas (Bogotá AND &amp;gt; 200,000), y el código fue validado y ejecutado correctamente.Oportunidad de Mejora (Autogestión):Gestión del Tiempo: La tarea fue entregada 22 minutos después de la hora límite. En el entorno profesional y en este curso, el cumplimiento de los cronogramas es una métrica crítica de autogestión. Les invito a organizar sus tiempos de revisión final para evitar penalizaciones en futuras entregas.Formato de Salida: Para el Ejercicio 2, podrían haber solicitado a la IA que incluyera formato de moneda (separadores de miles) para mejorar la legibilidad financiera del reporte.Motivación: Tienen una excelente capacidad para estructurar instrucciones. Sigan practicando la validación crítica del código generado; esa es la habilidad que las diferencia de un usuario común y las convierte en analistas de alto nivel. ¡Buen inicio de corte!Rúbrica de CalificaciónCriterio de EvaluaciónRequisito TécnicoPuntaje MáximoPuntaje ObtenidoTécnica XML (Prompt 1)Uso de etiquetas XML y definición de rol/contexto.15.015.0Generación de Código (Prompt 2)Instrucción para cálculo total. Código funcional y eficiente.15.015.0Filtrado Lógico (Prompt 3)Instrucción para filtrado doble. Código funcional y validado.10.010.0Documentación y FormatoComentarios explicativos y entrega en formato .ipynb.10.010.0PenalizaciónEntrega extemporánea (22 minutos tarde)-5.0-5.0TOTAL50.045.0Diego Mauricio Zuluaga Rodríguez Profesor - Departamento de Economía Universidad de La Sabana"/>
    <n v="45"/>
    <n v="50"/>
    <n v="0.9"/>
  </r>
  <r>
    <x v="26"/>
    <s v="Samuel David"/>
    <s v="Simancas Contreras"/>
    <s v="samuelsico@unisabana.edu.co"/>
    <x v="12"/>
    <d v="2026-03-11T00:00:00"/>
    <x v="2"/>
    <s v="Entregado"/>
    <s v="Retroalimentación de la Entrega: Análisis de Marketing con IAGrupo: Samuel David Simancas Contreras, Juan Sebastian Perdomo Herrera, Daniel Felipe Camacho Pedraza.Calificación Final: 40/50 (Equivalente a 4.0)Comentarios del Profesor: Equipo, han entregado un trabajo con una ejecución técnica de los resultados muy alta. El código generado y validado por ustedes es eficiente y la presentación de los datos en la consola es impecable, utilizando formatos de tabla y alineaciones que facilitan la lectura profesional.Puntos Destacados:Calidad del Código: El uso de generadores para la suma (sum(cliente[&quot;gasto&quot;] for cliente in datos_campania)) y de list comprehensions para el filtrado demuestra que auditaron el código de la IA para que fuera óptimo y moderno.Presentación (UX): La forma en que formatearon las salidas con f-strings y separadores visuales es de nivel profesional.Oportunidades de Mejora (Crítico para la competencia de Autogestión):Prompt Engineering (XML): El objetivo central de esta tarea era practicar la estructura de las instrucciones. Las instrucciones solicitaban explícitamente el uso de etiquetas XML (&amp;lt;instruccion&amp;gt;) para definir el contexto en el Prompt 1, lo cual no se evidencia en el notebook.Visibilidad de los Prompts: No incluyeron los textos de los prompts (las preguntas) que le hicieron a la IA dentro de las celdas de Markdown o comentarios. Como &quot;Arquitectos de Soluciones&quot;, el proceso (la pregunta) es tan importante como el producto (el código). En futuras entregas, asegúrense de mostrar la instrucción exacta enviada al asistente.Motivación: Tienen una capacidad técnica sobresaliente para validar y mejorar lo que la IA produce. Si logran combinar esa destreza con una estructura de comunicación (prompts) más rigurosa y siguiendo los lineamientos de formato, sus proyectos serán de los mejores del curso. ¡Sigan así!Rúbrica de CalificaciónCriterio de EvaluaciónRequisito TécnicoPuntaje MáximoPuntaje ObtenidoTécnica XML (Prompt 1)Uso de etiquetas XML y contexto de analista experto.15.08.0Generación de Código (Prompt 2)Instrucción para cálculo total y ejecución correcta.15.012.0Filtrado Lógico (Prompt 3)Instrucción para filtrado (Bogotá + Gasto) y ejecución.10.010.0Documentación y AutogestiónComentarios en el código y formato profesional de salida.10.010.0TOTAL50.040.0Diego Mauricio Zuluaga Rodríguez Profesor - Departamento de Economía Universidad de La Sabana"/>
    <n v="40"/>
    <n v="50"/>
    <n v="0.8"/>
  </r>
  <r>
    <x v="27"/>
    <s v="Maria Jose"/>
    <s v="Huertas Osorio"/>
    <s v="mariahueos@unisabana.edu.co"/>
    <x v="12"/>
    <d v="2026-03-11T00:00:00"/>
    <x v="2"/>
    <s v="Entregado"/>
    <s v="Retroalimentación de la Entrega: Análisis de Marketing con IAGrupo: Gabriela Ruiz Perez, Maria Jose Huertas Osorio, Alessandro Di Mauro Bonilla Correa.Calificación Final: 48/50 (Equivalente a 4.8)Comentarios del Profesor:Buen trabajo, equipo. Han cumplido con los objetivos técnicos de la actividad, demostrando que pueden guiar a la IA para obtener resultados específicos y funcionales.Puntos Destacados:Técnica XML: El uso de las etiquetas &amp;lt;instruccion&amp;gt; en el primer prompt es correcto y sigue los lineamientos de estructura vistos en clase.Funcionalidad: El código generado para el cálculo del gasto total y el filtrado de clientes en Bogotá es totalmente funcional y arroja los resultados esperados.Lógica de Programación: Se observa un uso adecuado de ciclos for y operadores lógicos and, lo cual es fundamental para el análisis de datos.Oportunidades de Mejora (Autogestión y UX):Formato de Salida: En el análisis de marketing y finanzas, la presentación de los datos es clave. Les sugiero utilizar f-strings para dar formato de moneda a los resultados (ej: $745,000.00 en lugar de 745000). Esto facilita la lectura para el usuario final.Profundidad en la Documentación: Aunque incluyeron comentarios, estos son muy generales. Como &quot;Arquitectos de Soluciones&quot;, deben explicar brevemente cómo la IA resolvió el problema (ej: &quot;Se utiliza un acumulador para sumar los valores de la clave gasto&quot;).Motivación: Tienen una base sólida para trabajar con asistentes de IA. No se queden solo con lo que la IA les entrega; sigan puliendo la presentación de sus reportes para que sus análisis tengan un impacto profesional real. ¡Buen inicio de corte!Rúbrica de CalificaciónCriterio de EvaluaciónRequisito TécnicoPuntaje MáximoPuntaje ObtenidoTécnica XML (Prompt 1)Uso correcto de etiquetas y explicación de la estructura de datos.15.015.0Generación de Código (Prompt 2)Instrucción para cálculo total. Código funcional y ejecutado.15.015.0Filtrado Lógico (Prompt 3)Instrucción para filtrar por ciudad y gasto. Código funcional.10.010.0Documentación y AutogestiónComentarios explicativos y formato de entrega (.ipynb).10.08.0TOTAL50.048.0Diego Mauricio Zuluaga Rodríguez Profesor - Departamento de Economía Universidad de La Sabana"/>
    <n v="48"/>
    <n v="50"/>
    <n v="0.96"/>
  </r>
  <r>
    <x v="28"/>
    <s v="Juan Camilo"/>
    <s v="Leyton Lancheros"/>
    <s v="juanleyla@unisabana.edu.co"/>
    <x v="12"/>
    <d v="2026-03-11T00:00:00"/>
    <x v="2"/>
    <s v="Entregado"/>
    <s v="Retroalimentación de la Entrega: Análisis de Marketing con IAGrupo: Cristian Bermudez, Camilo Leyton, Nicolas Torres.Calificación Final: 35/50 (Equivalente a 3.5)Comentarios del Profesor:Equipo, han entregado un trabajo que cumple con los resultados técnicos (los cálculos son correctos), pero que presenta debilidades importantes en el cumplimiento de la metodología de Autogestión y Prompt Engineering solicitada en la guía.Puntos a destacar:Eficiencia en el Código: El uso de List Comprehensions y la función sum() demuestra un nivel técnico avanzado y un código muy &quot;pythónico&quot;. Los resultados de los ejercicios 2 y 3 son exactos.Trabajo en Equipo: Se identifica claramente a los integrantes y el cumplimiento del formato de entrega.Oportunidades de Mejora (Críticas para el cumplimiento de la rúbrica):Falla en la Técnica XML: En el Ejercicio 1, se limitaron a imprimir el texto del prompt dentro de una variable. El objetivo de la tarea era ejecutar el prompt en la IA y mostrar la explicación detallada que la IA generaba sobre el dataset. Se quedaron en la pregunta, pero no mostraron la respuesta analítica.Ausencia de Prompts: Las instrucciones exigían explícitamente: &quot;Escribe aquí tu prompt para Copilot&quot;. En los ejercicios 2 y 3 no incluyeron el texto de la instrucción enviada a la IA, solo pusieron el código final. Como &quot;Arquitectos de Soluciones&quot;, la parte más importante de esta tarea es la pregunta, no solo el código.Falta de Documentación de la IA: Se solicitó documentar cada celda explicando qué acción realiza la IA (Sanity Check). Al omitir esto, no hay evidencia de que hayan auditado la lógica del código generado.Motivación: Tienen una capacidad técnica muy buena, pero en este corte evaluamos la interacción estratégica con la tecnología. Programar es importante, pero saber guiar a la IA y documentar su proceso es lo que les dará la ventaja competitiva en el mercado actual. Los invito a ser mucho más rigurosos con el seguimiento de instrucciones en la próxima entrega.Rúbrica de CalificaciónCriterio de EvaluaciónRequisito TécnicoPuntaje MáximoPuntaje ObtenidoTécnica XML (Prompt 1)Uso de etiquetas XML, pero no se muestra la respuesta/explicación de la IA.15.010.0Generación de Código (Prompt 2)Código correcto y eficiente, pero no se incluye el texto del prompt utilizado.15.012.0Filtrado Lógico (Prompt 3)Código funcional, pero no se incluye el texto del prompt utilizado.10.08.0Documentación y AutogestiónNo se incluyeron los comentarios explicativos de la lógica de la IA (Sanity Check).10.05.0TOTAL50.035.0Diego Mauricio Zuluaga Rodríguez Profesor - Departamento de Economía Universidad de La Sabana"/>
    <n v="35"/>
    <n v="50"/>
    <n v="0.7"/>
  </r>
  <r>
    <x v="29"/>
    <s v="Samuel Mathias"/>
    <s v="Gonzalez Bernal"/>
    <s v="samuelgonbe@unisabana.edu.co"/>
    <x v="12"/>
    <d v="2026-03-11T00:00:00"/>
    <x v="2"/>
    <s v="Entregado"/>
    <s v="Retroalimentación de la Entrega: Análisis de Marketing con IAGrupo: Sebastian Vanoy Gutierrez, Samuel David Lozano Holguin, Samuel Mathias Gonzalez Bernal.Calificación Final: 50/50 (Equivalente a 5.0)Comentarios del Profesor: Excelente ejecución, equipo. Han demostrado no solo un dominio técnico de las herramientas de IA, sino una capacidad crítica de Autogestión que es fundamental en este curso.Puntos Destacados:Técnica XML: El uso de las etiquetas &amp;lt;instruccion&amp;gt; y &amp;lt;explicacion&amp;gt; fue impecable. La descripción de la estructura de datos (lista de diccionarios) es precisa y los ejemplos de acceso por índice y clave demuestran que comprenden la jerarquía de los datos.Eficiencia en el Código: El uso de funciones integradas como sum() con expresiones generadoras para el cálculo del total y comprensiones de lista para el filtrado muestra un nivel de programación avanzado y limpio.Sanity Check (Validación): Lo más valioso de su entrega son las celdas de validación manual. No se limitaron a confiar en lo que la IA generó; crearon pruebas lógicas para confirmar que los resultados (True) coincidieran con lo esperado. Este es el comportamiento exacto de un &quot;Arquitecto de Soluciones&quot;.Documentación: El archivo es legible, está bien organizado y cumple con la declaración de autoría solicitada.Motivación: Sigan aplicando este rigor. La IA es un copiloto potente, pero el éxito de un proyecto depende del humano que audita y valida los resultados. Han superado el reto de hoy con excelencia. ¡Felicitaciones!Rúbrica de CalificaciónCriterio de EvaluaciónRequisito TécnicoPuntaje MáximoPuntaje ObtenidoTécnica XML (Prompt 1)Uso correcto de etiquetas y explicación clara de la estructura de datos.15.015.0Generación de Código (Prompt 2)Instrucción precisa para calcular el total. Código funcional y eficiente.15.015.0Filtrado Lógico (Prompt 3)Instrucción precisa para filtrar por ciudad y gasto. Resultado correcto.10.010.0Autogestión y ValidaciónInclusión de &quot;Sanity Checks&quot; y comentarios explicativos en el Notebook.10.010.0TOTAL50.050.0Diego Mauricio Zuluaga Rodríguez Profesor - Departamento de Economía Universidad de La Sabana"/>
    <n v="50"/>
    <n v="50"/>
    <n v="1"/>
  </r>
  <r>
    <x v="30"/>
    <s v="Valeria"/>
    <s v="Morales"/>
    <s v="valeriamor@unisabana.edu.co"/>
    <x v="12"/>
    <d v="2026-03-11T00:00:00"/>
    <x v="2"/>
    <s v="Entregado"/>
    <s v="Retroalimentación de la Entrega: Análisis de Marketing con IAGrupo: Paula Andrea Arciniegas Cárdenas, Valeria Morales, Isabella Carranza Tapiero.Calificación Final: 50/50 (Equivalente a 5.0)Comentarios del Profesor: ¡Excelente trabajo, equipo! Han cumplido a cabalidad con el objetivo de la sesión: actuar como &quot;Arquitectas de Soluciones&quot; guiando a la Inteligencia Artificial de forma estructurada y auditando sus resultados.Puntos Destacados:Prompt Engineering (XML): La aplicación de las etiquetas &amp;lt;instruccion&amp;gt; en el Ejercicio 1 fue correcta. Lograron que la IA desglosara la estructura de datos de forma muy clara, incluso generando una tabla explicativa de los tipos de datos (str, int) y su utilidad en el ROI.Validación de Código Avanzado: En los Ejercicios 2 y 3, la IA les generó código utilizando &quot;Comprensión de Listas&quot; ([cliente for cliente in...]) y expresiones generadoras dentro de la función sum(). Estas son estructuras avanzadas de Python que hacen el código mucho más eficiente. El hecho de que lo hayan ejecutado y validado correctamente demuestra que están utilizando la IA para aprender y optimizar, no solo para copiar y pegar.Autogestión y Orden: El Notebook está perfectamente estructurado, separando los prompts en celdas de Markdown y las ejecuciones en celdas de código con sus respectivos comentarios.Motivación: Saber programar es importante, pero saber pedirle a una máquina que programe por ustedes y auditar que lo haga bien, es el verdadero superpoder en el mercado laboral actual. Han demostrado una excelente capacidad de adaptación tecnológica. ¡Sigan con este nivel de rigurosidad para los proyectos que vienen con Bases de Datos!Rúbrica de CalificaciónCriterio de EvaluaciónRequisito TécnicoPuntaje MáximoPuntaje ObtenidoTécnica XML (Prompt 1)Uso correcto de etiquetas para definir el contexto y explicación clara de la estructura de datos.15.015.0Generación de Código (Prompt 2)Instrucción precisa para calcular el total. Código funcional, documentado y ejecutado.15.015.0Filtrado Lógico (Prompt 3)Instrucción precisa para filtrar por ciudad y gasto. Código funcional, documentado y ejecutado.10.010.0Documentación y AutogestiónComentarios en el código generado y formato de entrega correcto (.ipynb).10.010.0TOTAL50.050.0Diego Mauricio Zuluaga Rodríguez Profesor - Departamento de Economía Universidad de La Sabana"/>
    <n v="50"/>
    <n v="50"/>
    <n v="1"/>
  </r>
  <r>
    <x v="31"/>
    <s v="Samantha"/>
    <s v="Vanegas Russi"/>
    <s v="samanthavaru@unisabana.edu.co"/>
    <x v="12"/>
    <d v="2026-03-11T00:00:00"/>
    <x v="2"/>
    <s v="Entregado"/>
    <s v="Retroalimentación de la Entrega: Análisis de Marketing con IAIntegrantes: Samantha Vanegas Russi y Avril Ariza Quitian.Calificación Final: 45/50 (Nota: Puntaje perfecto de 50/50 en la ejecución técnica, con una penalización de -5 puntos por entrega extemporánea de 22 minutos).Comentarios del Profesor:Buen trabajo, equipo. Han logrado aplicar con éxito la metodología de Prompt Engineering para resolver problemas de análisis de datos. La estructura del archivo es limpia y los resultados son precisos.Puntos Destacados:Técnica XML: El uso de las etiquetas &amp;lt;instruccion&amp;gt; en el primer prompt fue correcto. Definir el rol (&quot;Actúa como un profesor&quot;) ayudó a que la IA entregara una explicación pedagógica y contextualizada al marketing.Eficiencia en el Código: En el Ejercicio 2, la IA generó una solución muy eficiente utilizando una expresión generadora dentro de la función sum(). Esto demuestra que supieron guiar a la IA hacia soluciones óptimas.Lógica de Filtrado: El Ejercicio 3 cumple perfectamente con las condiciones lógicas solicitadas (Bogotá AND &amp;gt; 200,000), y el código fue validado y ejecutado correctamente.Oportunidad de Mejora (Autogestión):Gestión del Tiempo: La tarea fue entregada 22 minutos después de la hora límite. En el entorno profesional y en este curso, el cumplimiento de los cronogramas es una métrica crítica de autogestión. Les invito a organizar sus tiempos de revisión final para evitar penalizaciones en futuras entregas.Formato de Salida: Para el Ejercicio 2, podrían haber solicitado a la IA que incluyera formato de moneda (separadores de miles) para mejorar la legibilidad financiera del reporte.Motivación: Tienen una excelente capacidad para estructurar instrucciones. Sigan practicando la validación crítica del código generado; esa es la habilidad que las diferencia de un usuario común y las convierte en analistas de alto nivel. ¡Buen inicio de corte!Rúbrica de CalificaciónCriterio de EvaluaciónRequisito TécnicoPuntaje MáximoPuntaje ObtenidoTécnica XML (Prompt 1)Uso de etiquetas XML y definición de rol/contexto.15.015.0Generación de Código (Prompt 2)Instrucción para cálculo total. Código funcional y eficiente.15.015.0Filtrado Lógico (Prompt 3)Instrucción para filtrado doble. Código funcional y validado.10.010.0Documentación y FormatoComentarios explicativos y entrega en formato .ipynb.10.010.0PenalizaciónEntrega extemporánea (22 minutos tarde)-5.0-5.0TOTAL50.045.0Diego Mauricio Zuluaga Rodríguez Profesor - Departamento de Economía Universidad de La Sabana"/>
    <n v="45"/>
    <n v="50"/>
    <n v="0.9"/>
  </r>
  <r>
    <x v="32"/>
    <s v="Juan Jose"/>
    <s v="Caballero Mantilla"/>
    <s v="juancabma@unisabana.edu.co"/>
    <x v="12"/>
    <d v="2026-03-11T00:00:00"/>
    <x v="2"/>
    <s v="Entregado"/>
    <s v="Retroalimentación de la Entrega: Análisis de Marketing con IAGrupo: Martin Martin Trujillo Rodriguez, Daniel Camilo Lopez Piraquive, Juan Jose Caballero Mantilla.Calificación Final: 50/50 (Equivalente a 5.0)Comentarios del Profesor: Excelente trabajo, equipo. Han cumplido con rigor cada uno de los parámetros de autogestión y técnica solicitados. Destaco especialmente la calidad del código generado por la IA bajo su supervisión, ya que utiliza estructuras avanzadas y eficientes.Puntos Destacados:Técnica XML: El uso de las etiquetas &amp;lt;instruccion&amp;gt; en el primer ejercicio es correcto y permite delimitar claramente el contexto para el asistente de IA.Eficiencia del Código: Es muy valioso que el código resultante utilice funciones integradas como sum() con expresiones generadoras y list comprehensions para el filtrado. Esto demuestra que, además de usar la IA, validaron que el código fuera &quot;Pythónico&quot; y de alto nivel.Documentación: Cada celda cuenta con comentarios claros que explican la intención del bloque, facilitando la trazabilidad del análisis.Validación: Los resultados impresos coinciden exactamente con la lógica del dataset proporcionado, lo que confirma un proceso de auditoría exitoso.Motivación: Han demostrado que saben guiar a la IA para obtener no solo resultados funcionales, sino código optimizado. Esta capacidad de &quot;curaduría de código&quot; es lo que diferencia a un usuario básico de un analista proactivo. ¡Sigan aplicando este nivel de detalle en los próximos módulos de bases de datos!Rúbrica de CalificaciónCriterio de EvaluaciónRequisito TécnicoPuntaje MáximoPuntaje ObtenidoTécnica XML (Prompt 1)Uso correcto de etiquetas XML para definir el contexto y explicar el dataset.15.015.0Generación de Código (Prompt 2)Instrucción precisa para el cálculo total. Uso de sum() eficiente.15.015.0Filtrado Lógico (Prompt 3)Instrucción precisa para filtrar por ciudad y gasto. Uso de list comprehension.10.010.0Documentación y AutogestiónComentarios explicativos en cada bloque y formato .ipynb correcto.10.010.0TOTAL50.050.0Diego Mauricio Zuluaga Rodríguez Profesor - Departamento de Economía Universidad de La Sabana"/>
    <n v="50"/>
    <n v="50"/>
    <n v="1"/>
  </r>
  <r>
    <x v="33"/>
    <s v="Daniel Camilo"/>
    <s v="Lopez Piraquive"/>
    <s v="danielloppi@unisabana.edu.co"/>
    <x v="12"/>
    <d v="2026-03-11T00:00:00"/>
    <x v="2"/>
    <s v="Entregado"/>
    <s v="Retroalimentación de la Entrega: Análisis de Marketing con IAGrupo: Martin Martin Trujillo Rodriguez, Daniel Camilo Lopez Piraquive, Juan Jose Caballero Mantilla.Calificación Final: 50/50 (Equivalente a 5.0)Comentarios del Profesor: Excelente trabajo, equipo. Han cumplido con rigor cada uno de los parámetros de autogestión y técnica solicitados. Destaco especialmente la calidad del código generado por la IA bajo su supervisión, ya que utiliza estructuras avanzadas y eficientes.Puntos Destacados:Técnica XML: El uso de las etiquetas &amp;lt;instruccion&amp;gt; en el primer ejercicio es correcto y permite delimitar claramente el contexto para el asistente de IA.Eficiencia del Código: Es muy valioso que el código resultante utilice funciones integradas como sum() con expresiones generadoras y list comprehensions para el filtrado. Esto demuestra que, además de usar la IA, validaron que el código fuera &quot;Pythónico&quot; y de alto nivel.Documentación: Cada celda cuenta con comentarios claros que explican la intención del bloque, facilitando la trazabilidad del análisis.Validación: Los resultados impresos coinciden exactamente con la lógica del dataset proporcionado, lo que confirma un proceso de auditoría exitoso.Motivación: Han demostrado que saben guiar a la IA para obtener no solo resultados funcionales, sino código optimizado. Esta capacidad de &quot;curaduría de código&quot; es lo que diferencia a un usuario básico de un analista proactivo. ¡Sigan aplicando este nivel de detalle en los próximos módulos de bases de datos!Rúbrica de CalificaciónCriterio de EvaluaciónRequisito TécnicoPuntaje MáximoPuntaje ObtenidoTécnica XML (Prompt 1)Uso correcto de etiquetas XML para definir el contexto y explicar el dataset.15.015.0Generación de Código (Prompt 2)Instrucción precisa para el cálculo total. Uso de sum() eficiente.15.015.0Filtrado Lógico (Prompt 3)Instrucción precisa para filtrar por ciudad y gasto. Uso de list comprehension.10.010.0Documentación y AutogestiónComentarios explicativos en cada bloque y formato .ipynb correcto.10.010.0TOTAL50.050.0Diego Mauricio Zuluaga Rodríguez Profesor - Departamento de Economía Universidad de La Sabana"/>
    <n v="50"/>
    <n v="50"/>
    <n v="1"/>
  </r>
  <r>
    <x v="34"/>
    <s v="Gabriela"/>
    <s v="Ruiz Perez"/>
    <s v="gabrielarupe@unisabana.edu.co"/>
    <x v="12"/>
    <d v="2026-03-11T00:00:00"/>
    <x v="2"/>
    <s v="Entregado"/>
    <s v="Retroalimentación de la Entrega: Análisis de Marketing con IAGrupo: Gabriela Ruiz Perez, Maria Jose Huertas Osorio, Alessandro Di Mauro Bonilla Correa.Calificación Final: 48/50 (Equivalente a 4.8)Comentarios del Profesor:Buen trabajo, equipo. Han cumplido con los objetivos técnicos de la actividad, demostrando que pueden guiar a la IA para obtener resultados específicos y funcionales.Puntos Destacados:Técnica XML: El uso de las etiquetas &amp;lt;instruccion&amp;gt; en el primer prompt es correcto y sigue los lineamientos de estructura vistos en clase.Funcionalidad: El código generado para el cálculo del gasto total y el filtrado de clientes en Bogotá es totalmente funcional y arroja los resultados esperados.Lógica de Programación: Se observa un uso adecuado de ciclos for y operadores lógicos and, lo cual es fundamental para el análisis de datos.Oportunidades de Mejora (Autogestión y UX):Formato de Salida: En el análisis de marketing y finanzas, la presentación de los datos es clave. Les sugiero utilizar f-strings para dar formato de moneda a los resultados (ej: $745,000.00 en lugar de 745000). Esto facilita la lectura para el usuario final.Profundidad en la Documentación: Aunque incluyeron comentarios, estos son muy generales. Como &quot;Arquitectos de Soluciones&quot;, deben explicar brevemente cómo la IA resolvió el problema (ej: &quot;Se utiliza un acumulador para sumar los valores de la clave gasto&quot;).Motivación: Tienen una base sólida para trabajar con asistentes de IA. No se queden solo con lo que la IA les entrega; sigan puliendo la presentación de sus reportes para que sus análisis tengan un impacto profesional real. ¡Buen inicio de corte!Rúbrica de CalificaciónCriterio de EvaluaciónRequisito TécnicoPuntaje MáximoPuntaje ObtenidoTécnica XML (Prompt 1)Uso correcto de etiquetas y explicación de la estructura de datos.15.015.0Generación de Código (Prompt 2)Instrucción para cálculo total. Código funcional y ejecutado.15.015.0Filtrado Lógico (Prompt 3)Instrucción para filtrar por ciudad y gasto. Código funcional.10.010.0Documentación y AutogestiónComentarios explicativos y formato de entrega (.ipynb).10.08.0TOTAL50.048.0Diego Mauricio Zuluaga Rodríguez Profesor - Departamento de Economía Universidad de La Sabana"/>
    <n v="48"/>
    <n v="50"/>
    <n v="0.96"/>
  </r>
  <r>
    <x v="35"/>
    <s v="Juan Sebastian"/>
    <s v="Perdomo Herrera"/>
    <s v="juanperhe@unisabana.edu.co"/>
    <x v="12"/>
    <d v="2026-03-11T00:00:00"/>
    <x v="2"/>
    <s v="Entregado"/>
    <s v="Retroalimentación de la Entrega: Análisis de Marketing con IAGrupo: Samuel David Simancas Contreras, Juan Sebastian Perdomo Herrera, Daniel Felipe Camacho Pedraza.Calificación Final: 40/50 (Equivalente a 4.0)Comentarios del Profesor: Equipo, han entregado un trabajo con una ejecución técnica de los resultados muy alta. El código generado y validado por ustedes es eficiente y la presentación de los datos en la consola es impecable, utilizando formatos de tabla y alineaciones que facilitan la lectura profesional.Puntos Destacados:Calidad del Código: El uso de generadores para la suma (sum(cliente[&quot;gasto&quot;] for cliente in datos_campania)) y de list comprehensions para el filtrado demuestra que auditaron el código de la IA para que fuera óptimo y moderno.Presentación (UX): La forma en que formatearon las salidas con f-strings y separadores visuales es de nivel profesional.Oportunidades de Mejora (Crítico para la competencia de Autogestión):Prompt Engineering (XML): El objetivo central de esta tarea era practicar la estructura de las instrucciones. Las instrucciones solicitaban explícitamente el uso de etiquetas XML (&amp;lt;instruccion&amp;gt;) para definir el contexto en el Prompt 1, lo cual no se evidencia en el notebook.Visibilidad de los Prompts: No incluyeron los textos de los prompts (las preguntas) que le hicieron a la IA dentro de las celdas de Markdown o comentarios. Como &quot;Arquitectos de Soluciones&quot;, el proceso (la pregunta) es tan importante como el producto (el código). En futuras entregas, asegúrense de mostrar la instrucción exacta enviada al asistente.Motivación: Tienen una capacidad técnica sobresaliente para validar y mejorar lo que la IA produce. Si logran combinar esa destreza con una estructura de comunicación (prompts) más rigurosa y siguiendo los lineamientos de formato, sus proyectos serán de los mejores del curso. ¡Sigan así!Rúbrica de CalificaciónCriterio de EvaluaciónRequisito TécnicoPuntaje MáximoPuntaje ObtenidoTécnica XML (Prompt 1)Uso de etiquetas XML y contexto de analista experto.15.08.0Generación de Código (Prompt 2)Instrucción para cálculo total y ejecución correcta.15.012.0Filtrado Lógico (Prompt 3)Instrucción para filtrado (Bogotá + Gasto) y ejecución.10.010.0Documentación y AutogestiónComentarios en el código y formato profesional de salida.10.010.0TOTAL50.040.0Diego Mauricio Zuluaga Rodríguez Profesor - Departamento de Economía Universidad de La Sabana"/>
    <n v="40"/>
    <n v="50"/>
    <n v="0.8"/>
  </r>
  <r>
    <x v="36"/>
    <s v="Martin Martin"/>
    <s v="Trujillo Rodriguez"/>
    <s v="martintrro@unisabana.edu.co"/>
    <x v="12"/>
    <d v="2026-03-11T00:00:00"/>
    <x v="2"/>
    <s v="Entregado"/>
    <s v="Retroalimentación de la Entrega: Análisis de Marketing con IAGrupo: Martin Martin Trujillo Rodriguez, Daniel Camilo Lopez Piraquive, Juan Jose Caballero Mantilla.Calificación Final: 50/50 (Equivalente a 5.0)Comentarios del Profesor: Excelente trabajo, equipo. Han cumplido con rigor cada uno de los parámetros de autogestión y técnica solicitados. Destaco especialmente la calidad del código generado por la IA bajo su supervisión, ya que utiliza estructuras avanzadas y eficientes.Puntos Destacados:Técnica XML: El uso de las etiquetas &amp;lt;instruccion&amp;gt; en el primer ejercicio es correcto y permite delimitar claramente el contexto para el asistente de IA.Eficiencia del Código: Es muy valioso que el código resultante utilice funciones integradas como sum() con expresiones generadoras y list comprehensions para el filtrado. Esto demuestra que, además de usar la IA, validaron que el código fuera &quot;Pythónico&quot; y de alto nivel.Documentación: Cada celda cuenta con comentarios claros que explican la intención del bloque, facilitando la trazabilidad del análisis.Validación: Los resultados impresos coinciden exactamente con la lógica del dataset proporcionado, lo que confirma un proceso de auditoría exitoso.Motivación: Han demostrado que saben guiar a la IA para obtener no solo resultados funcionales, sino código optimizado. Esta capacidad de &quot;curaduría de código&quot; es lo que diferencia a un usuario básico de un analista proactivo. ¡Sigan aplicando este nivel de detalle en los próximos módulos de bases de datos!Rúbrica de CalificaciónCriterio de EvaluaciónRequisito TécnicoPuntaje MáximoPuntaje ObtenidoTécnica XML (Prompt 1)Uso correcto de etiquetas XML para definir el contexto y explicar el dataset.15.015.0Generación de Código (Prompt 2)Instrucción precisa para el cálculo total. Uso de sum() eficiente.15.015.0Filtrado Lógico (Prompt 3)Instrucción precisa para filtrar por ciudad y gasto. Uso de list comprehension.10.010.0Documentación y AutogestiónComentarios explicativos en cada bloque y formato .ipynb correcto.10.010.0TOTAL50.050.0Diego Mauricio Zuluaga Rodríguez Profesor - Departamento de Economía Universidad de La Sabana"/>
    <n v="50"/>
    <n v="50"/>
    <n v="1"/>
  </r>
  <r>
    <x v="37"/>
    <s v="Alan David"/>
    <s v="Rossoff Vanegas"/>
    <s v="alanrova@unisabana.edu.co"/>
    <x v="12"/>
    <d v="2026-03-11T00:00:00"/>
    <x v="2"/>
    <s v="Entregado"/>
    <s v="Retroalimentación de la Entrega: Análisis de Marketing con IAGrupo: Juan Sebastián Salas Hinojosa, Alan David Rossoff Vanegas, Lukas Blanco Llanes.Calificación Final: 50/50 (Equivalente a 5.0)Comentarios del Profesor: Excelente trabajo, equipo. Han demostrado una gran capacidad para estructurar instrucciones complejas y validar resultados técnicos de manera eficiente. Su enfoque en la organización del prompt es de nivel profesional.Puntos Destacados:Estructura XML Superior: El uso de etiquetas anidadas (&amp;lt;contexto&amp;gt;, &amp;lt;instruccion&amp;gt;, &amp;lt;detalle&amp;gt;, &amp;lt;formato&amp;gt;) en el primer ejercicio es impecable. Esta segmentación permite que la IA entregue respuestas mucho más precisas y útiles para el negocio.Código Eficiente: Noté que el código generado utiliza List Comprehensions (ej. sum(cliente[&quot;gasto&quot;] for cliente in datos_campania)). Esta es una técnica avanzada en Python que optimiza el procesamiento de datos, lo cual demuestra que auditaron y aceptaron una solución de alta calidad sugerida por la IA.Validación: Los resultados impresos en la consola coinciden exactamente con los requerimientos lógicos de la campaña.Motivación: Dominar el Prompt Engineering con este nivel de detalle les da una ventaja competitiva enorme. No solo están aprendiendo a programar, están aprendiendo a dirigir herramientas de vanguardia para obtener resultados de negocio en segundos. ¡Sigan con esa rigurosidad!Rúbrica de CalificaciónCriterio de EvaluaciónRequisito TécnicoPuntaje MáximoPuntaje ObtenidoTécnica XML (Prompt 1)Uso avanzado de etiquetas para segmentar contexto, instrucción y formato.15.015.0Generación de Código (Prompt 2)Instrucción clara y uso de funciones eficientes para el cálculo del total.15.015.0Filtrado Lógico (Prompt 3)Implementación correcta de filtros anidados (Ciudad + Gasto).10.010.0Documentación y AutogestiónComentarios explicativos y ejecución exitosa en formato .ipynb.10.010.0TOTAL50.050.0Diego Mauricio Zuluaga Rodríguez Profesor - Departamento de Economía Universidad de La Sabana"/>
    <n v="50"/>
    <n v="50"/>
    <n v="1"/>
  </r>
  <r>
    <x v="38"/>
    <s v="Diego Alejandro"/>
    <s v="Hermida Limas"/>
    <s v="diegoherli@unisabana.edu.co"/>
    <x v="12"/>
    <d v="2026-03-11T00:00:00"/>
    <x v="2"/>
    <s v="Entregado"/>
    <s v="Retroalimentación de la Entrega: Análisis de Marketing con IAGrupo: Mateo Perez Daza, Simon Gustavo Restrepo Alvarez, Diego Alejandro Hermida Limas.Calificación Final: 50/50 (Equivalente a 5.0)Comentarios del Profesor:¡Excelente trabajo, equipo! Han demostrado un nivel de Autogestión y dominio de Prompt Engineering sobresaliente. No solo cumplieron con los requisitos, sino que elevaron la calidad técnica de la entrega.Puntos a destacar (Lo excelente):Técnica XML Avanzada: Su primer prompt es impecable. El uso de etiquetas como &amp;lt;rol&amp;gt;, &amp;lt;contexto&amp;gt;, &amp;lt;requisitos&amp;gt; y &amp;lt;formato_salida&amp;gt; es una práctica de nivel profesional que garantiza resultados precisos y reduce las &quot;alucinaciones&quot; de la IA. Es, hasta ahora, uno de los mejores diseños de prompt vistos en el curso.Eficiencia del Código: Me llamó la atención que la IA les generó (o ustedes auditaron para usar) List Comprehensions y expresiones generadoras (sum(cliente[&quot;gasto&quot;] for cliente in datos_campania)). Este es un nivel de Python más avanzado y eficiente que un ciclo for tradicional, lo cual demuestra una excelente curaduría del código generado.Lógica y Filtrado: El ejercicio de filtrado para Bogotá con gasto &amp;gt; 200,000 cumple perfectamente con la lógica booleana solicitada.Orden y Limpieza: El Notebook está muy bien organizado, facilitando el &quot;Sanity Check&quot; de los datos.Oportunidad de Mejora:Como único detalle menor para el futuro: en el ejercicio de filtrado, asegúrense de ejecutar siempre la celda antes de exportar para que el output sea visible en el archivo final (aunque la lógica es correcta y se valida al leer el código).Motivación: Han entendido perfectamente el rol del &quot;Arquitecto de Soluciones&quot;. Sigan utilizando la IA con este nivel de estructura y criticidad; esa es la ventaja competitiva que los diferenciará como profesionales de la EICEA en un entorno laboral automatizado. ¡Felicitaciones!Rúbrica de CalificaciónCriterio de EvaluaciónRequisito TécnicoPuntaje MáximoPuntaje ObtenidoTécnica XML (Prompt 1)Uso de etiquetas XML para definir rol, contexto e instrucciones detalladas.15.015.0Generación de Código (Prompt 2)Instrucción clara para cálculo de gasto total. Código funcional y eficiente.15.015.0Filtrado Lógico (Prompt 3)Uso correcto de condiciones and para ciudad y monto. Código validado.10.010.0Documentación y AutogestiónComentarios explicativos y estructura impecable del archivo .ipynb.10.010.0TOTAL50.050.0Diego Mauricio Zuluaga Rodríguez Profesor - Departamento de Economía Universidad de La Sabana"/>
    <n v="50"/>
    <n v="50"/>
    <n v="1"/>
  </r>
  <r>
    <x v="0"/>
    <s v="Paula Andrea"/>
    <s v="Arciniegas Cardenas"/>
    <s v="paulaarcca@unisabana.edu.co"/>
    <x v="13"/>
    <d v="2026-03-04T00:00:00"/>
    <x v="1"/>
    <s v="Entregado"/>
    <m/>
    <n v="50"/>
    <n v="50"/>
    <n v="1"/>
  </r>
  <r>
    <x v="1"/>
    <s v="Sofia"/>
    <s v="Giraldo Pico"/>
    <s v="sofiagipi@unisabana.edu.co"/>
    <x v="13"/>
    <d v="2026-03-04T00:00:00"/>
    <x v="1"/>
    <s v="Entregado"/>
    <m/>
    <n v="0"/>
    <n v="50"/>
    <n v="0"/>
  </r>
  <r>
    <x v="2"/>
    <s v="Valery"/>
    <s v="Linares Hernandez"/>
    <s v="valerylihe@unisabana.edu.co"/>
    <x v="13"/>
    <d v="2026-03-04T00:00:00"/>
    <x v="1"/>
    <s v="Entregado"/>
    <m/>
    <n v="50"/>
    <n v="50"/>
    <n v="1"/>
  </r>
  <r>
    <x v="3"/>
    <s v="Nicolas"/>
    <s v="Torres Calderon"/>
    <s v="nicolastorca@unisabana.edu.co"/>
    <x v="13"/>
    <d v="2026-03-04T00:00:00"/>
    <x v="1"/>
    <s v="Entregado"/>
    <m/>
    <n v="50"/>
    <n v="50"/>
    <n v="1"/>
  </r>
  <r>
    <x v="4"/>
    <s v="Cristian"/>
    <s v="Bermudez"/>
    <s v="cristianbe@unisabana.edu.co"/>
    <x v="13"/>
    <d v="2026-03-04T00:00:00"/>
    <x v="1"/>
    <s v="Entregado"/>
    <m/>
    <n v="50"/>
    <n v="50"/>
    <n v="1"/>
  </r>
  <r>
    <x v="5"/>
    <s v="Mariana"/>
    <s v="Carmona Romero"/>
    <s v="marianacarrom@unisabana.edu.co"/>
    <x v="13"/>
    <d v="2026-03-04T00:00:00"/>
    <x v="1"/>
    <s v="Entregado"/>
    <m/>
    <n v="50"/>
    <n v="50"/>
    <n v="1"/>
  </r>
  <r>
    <x v="6"/>
    <s v="Mariana"/>
    <s v="Pena Rodriguez"/>
    <s v="marianapero@unisabana.edu.co"/>
    <x v="13"/>
    <d v="2026-03-04T00:00:00"/>
    <x v="1"/>
    <s v="Entregado"/>
    <m/>
    <n v="50"/>
    <n v="50"/>
    <n v="1"/>
  </r>
  <r>
    <x v="7"/>
    <s v="Isabella"/>
    <s v="Carranza Tapiero"/>
    <s v="isabellacata@unisabana.edu.co"/>
    <x v="13"/>
    <d v="2026-03-04T00:00:00"/>
    <x v="1"/>
    <s v="Entregado"/>
    <m/>
    <n v="50"/>
    <n v="50"/>
    <n v="1"/>
  </r>
  <r>
    <x v="8"/>
    <s v="Samuel David"/>
    <s v="Lozano Holguin"/>
    <s v="samuelloho@unisabana.edu.co"/>
    <x v="13"/>
    <d v="2026-03-04T00:00:00"/>
    <x v="1"/>
    <s v="Entregado"/>
    <m/>
    <n v="50"/>
    <n v="50"/>
    <n v="1"/>
  </r>
  <r>
    <x v="9"/>
    <s v="Sebastian"/>
    <s v="Vanoy Gutierrez"/>
    <s v="sebastianvagu@unisabana.edu.co"/>
    <x v="13"/>
    <d v="2026-03-04T00:00:00"/>
    <x v="1"/>
    <s v="Entregado"/>
    <m/>
    <n v="50"/>
    <n v="50"/>
    <n v="1"/>
  </r>
  <r>
    <x v="10"/>
    <s v="Jose Daniel"/>
    <s v="Escobar Hurtado"/>
    <s v="joseeshu@unisabana.edu.co"/>
    <x v="13"/>
    <d v="2026-03-04T00:00:00"/>
    <x v="1"/>
    <s v="Entregado"/>
    <m/>
    <n v="50"/>
    <n v="50"/>
    <n v="1"/>
  </r>
  <r>
    <x v="11"/>
    <s v="Maria Jose"/>
    <s v="Botero Galviz"/>
    <s v="mariabotga@unisabana.edu.co"/>
    <x v="13"/>
    <d v="2026-03-04T00:00:00"/>
    <x v="1"/>
    <s v="Entregado"/>
    <m/>
    <n v="50"/>
    <n v="50"/>
    <n v="1"/>
  </r>
  <r>
    <x v="12"/>
    <s v="Maria Juliana"/>
    <s v="Mejia Quintero"/>
    <s v="mariamequ@unisabana.edu.co"/>
    <x v="13"/>
    <d v="2026-03-04T00:00:00"/>
    <x v="1"/>
    <s v="Entregado"/>
    <m/>
    <n v="50"/>
    <n v="50"/>
    <n v="1"/>
  </r>
  <r>
    <x v="13"/>
    <s v="Alejandra"/>
    <s v="Leon Vargas"/>
    <s v="alejandraleva@unisabana.edu.co"/>
    <x v="13"/>
    <d v="2026-03-04T00:00:00"/>
    <x v="1"/>
    <s v="Entregado"/>
    <m/>
    <n v="0"/>
    <n v="50"/>
    <n v="0"/>
  </r>
  <r>
    <x v="14"/>
    <s v="Alessandro Di Mauro"/>
    <s v="Bonilla Correa"/>
    <s v="alessandroboco@unisabana.edu.co"/>
    <x v="13"/>
    <d v="2026-03-04T00:00:00"/>
    <x v="1"/>
    <s v="Entregado"/>
    <m/>
    <n v="0"/>
    <n v="50"/>
    <n v="0"/>
  </r>
  <r>
    <x v="15"/>
    <s v="Arianne Mariana"/>
    <s v="Amorocho Quiroga"/>
    <s v="arianneamqu@unisabana.edu.co"/>
    <x v="13"/>
    <d v="2026-03-04T00:00:00"/>
    <x v="1"/>
    <s v="Entregado"/>
    <m/>
    <n v="50"/>
    <n v="50"/>
    <n v="1"/>
  </r>
  <r>
    <x v="16"/>
    <s v="Maria Juliana"/>
    <s v="Herrera Pulido"/>
    <s v="mariahepu@unisabana.edu.co"/>
    <x v="13"/>
    <d v="2026-03-04T00:00:00"/>
    <x v="1"/>
    <s v="Entregado"/>
    <m/>
    <n v="50"/>
    <n v="50"/>
    <n v="1"/>
  </r>
  <r>
    <x v="17"/>
    <s v="Simon Gustavo"/>
    <s v="Restrepo Alvarez"/>
    <s v="simonreal@unisabana.edu.co"/>
    <x v="13"/>
    <d v="2026-03-04T00:00:00"/>
    <x v="1"/>
    <s v="Entregado"/>
    <m/>
    <n v="50"/>
    <n v="50"/>
    <n v="1"/>
  </r>
  <r>
    <x v="18"/>
    <s v="Daniel Felipe"/>
    <s v="Camacho Pedraza"/>
    <s v="danielcampe@unisabana.edu.co"/>
    <x v="13"/>
    <d v="2026-03-04T00:00:00"/>
    <x v="1"/>
    <s v="Entregado"/>
    <m/>
    <n v="0"/>
    <n v="50"/>
    <n v="0"/>
  </r>
  <r>
    <x v="19"/>
    <s v="Mateo"/>
    <s v="Perez Daza"/>
    <s v="mateopeda@unisabana.edu.co"/>
    <x v="13"/>
    <d v="2026-03-04T00:00:00"/>
    <x v="1"/>
    <s v="Entregado"/>
    <m/>
    <n v="50"/>
    <n v="50"/>
    <n v="1"/>
  </r>
  <r>
    <x v="20"/>
    <s v="Matias"/>
    <s v="Mondragon Osorio"/>
    <s v="matiasmoos@unisabana.edu.co"/>
    <x v="13"/>
    <d v="2026-03-04T00:00:00"/>
    <x v="1"/>
    <s v="Entregado"/>
    <m/>
    <n v="50"/>
    <n v="50"/>
    <n v="1"/>
  </r>
  <r>
    <x v="21"/>
    <s v="Juan David"/>
    <s v="Neuta Medina"/>
    <s v="juanneme@unisabana.edu.co"/>
    <x v="13"/>
    <d v="2026-03-04T00:00:00"/>
    <x v="1"/>
    <s v="Entregado"/>
    <m/>
    <n v="50"/>
    <n v="50"/>
    <n v="1"/>
  </r>
  <r>
    <x v="22"/>
    <s v="Laura Fernanda"/>
    <s v="Lopez Parra"/>
    <s v="lauraloppa@unisabana.edu.co"/>
    <x v="13"/>
    <d v="2026-03-04T00:00:00"/>
    <x v="1"/>
    <s v="Entregado"/>
    <m/>
    <n v="50"/>
    <n v="50"/>
    <n v="1"/>
  </r>
  <r>
    <x v="23"/>
    <s v="Lukas"/>
    <s v="Blanco Llanes"/>
    <s v="lukasblll@unisabana.edu.co"/>
    <x v="13"/>
    <d v="2026-03-04T00:00:00"/>
    <x v="1"/>
    <s v="Entregado"/>
    <m/>
    <n v="50"/>
    <n v="50"/>
    <n v="1"/>
  </r>
  <r>
    <x v="24"/>
    <s v="Juan Sebastian"/>
    <s v="Salas Hinojosa"/>
    <s v="juansahi@unisabana.edu.co"/>
    <x v="13"/>
    <d v="2026-03-04T00:00:00"/>
    <x v="1"/>
    <s v="Entregado"/>
    <m/>
    <n v="50"/>
    <n v="50"/>
    <n v="1"/>
  </r>
  <r>
    <x v="25"/>
    <s v="Avril Avril"/>
    <s v="Ariza Quitian"/>
    <s v="avrilarqu@unisabana.edu.co"/>
    <x v="13"/>
    <d v="2026-03-04T00:00:00"/>
    <x v="1"/>
    <s v="Entregado"/>
    <m/>
    <n v="50"/>
    <n v="50"/>
    <n v="1"/>
  </r>
  <r>
    <x v="26"/>
    <s v="Samuel David"/>
    <s v="Simancas Contreras"/>
    <s v="samuelsico@unisabana.edu.co"/>
    <x v="13"/>
    <d v="2026-03-04T00:00:00"/>
    <x v="1"/>
    <s v="Entregado"/>
    <m/>
    <n v="0"/>
    <n v="50"/>
    <n v="0"/>
  </r>
  <r>
    <x v="27"/>
    <s v="Maria Jose"/>
    <s v="Huertas Osorio"/>
    <s v="mariahueos@unisabana.edu.co"/>
    <x v="13"/>
    <d v="2026-03-04T00:00:00"/>
    <x v="1"/>
    <s v="Entregado"/>
    <m/>
    <n v="50"/>
    <n v="50"/>
    <n v="1"/>
  </r>
  <r>
    <x v="28"/>
    <s v="Juan Camilo"/>
    <s v="Leyton Lancheros"/>
    <s v="juanleyla@unisabana.edu.co"/>
    <x v="13"/>
    <d v="2026-03-04T00:00:00"/>
    <x v="1"/>
    <s v="Entregado"/>
    <m/>
    <n v="50"/>
    <n v="50"/>
    <n v="1"/>
  </r>
  <r>
    <x v="29"/>
    <s v="Samuel Mathias"/>
    <s v="Gonzalez Bernal"/>
    <s v="samuelgonbe@unisabana.edu.co"/>
    <x v="13"/>
    <d v="2026-03-04T00:00:00"/>
    <x v="1"/>
    <s v="Entregado"/>
    <m/>
    <n v="50"/>
    <n v="50"/>
    <n v="1"/>
  </r>
  <r>
    <x v="30"/>
    <s v="Valeria"/>
    <s v="Morales"/>
    <s v="valeriamor@unisabana.edu.co"/>
    <x v="13"/>
    <d v="2026-03-04T00:00:00"/>
    <x v="1"/>
    <s v="Entregado"/>
    <m/>
    <n v="50"/>
    <n v="50"/>
    <n v="1"/>
  </r>
  <r>
    <x v="31"/>
    <s v="Samantha"/>
    <s v="Vanegas Russi"/>
    <s v="samanthavaru@unisabana.edu.co"/>
    <x v="13"/>
    <d v="2026-03-04T00:00:00"/>
    <x v="1"/>
    <s v="Entregado"/>
    <m/>
    <n v="50"/>
    <n v="50"/>
    <n v="1"/>
  </r>
  <r>
    <x v="32"/>
    <s v="Juan Jose"/>
    <s v="Caballero Mantilla"/>
    <s v="juancabma@unisabana.edu.co"/>
    <x v="13"/>
    <d v="2026-03-04T00:00:00"/>
    <x v="1"/>
    <s v="Entregado"/>
    <m/>
    <n v="50"/>
    <n v="50"/>
    <n v="1"/>
  </r>
  <r>
    <x v="33"/>
    <s v="Daniel Camilo"/>
    <s v="Lopez Piraquive"/>
    <s v="danielloppi@unisabana.edu.co"/>
    <x v="13"/>
    <d v="2026-03-04T00:00:00"/>
    <x v="1"/>
    <s v="Entregado"/>
    <m/>
    <n v="50"/>
    <n v="50"/>
    <n v="1"/>
  </r>
  <r>
    <x v="34"/>
    <s v="Gabriela"/>
    <s v="Ruiz Perez"/>
    <s v="gabrielarupe@unisabana.edu.co"/>
    <x v="13"/>
    <d v="2026-03-04T00:00:00"/>
    <x v="1"/>
    <s v="Entregado"/>
    <m/>
    <n v="50"/>
    <n v="50"/>
    <n v="1"/>
  </r>
  <r>
    <x v="35"/>
    <s v="Juan Sebastian"/>
    <s v="Perdomo Herrera"/>
    <s v="juanperhe@unisabana.edu.co"/>
    <x v="13"/>
    <d v="2026-03-04T00:00:00"/>
    <x v="1"/>
    <s v="Entregado"/>
    <m/>
    <n v="0"/>
    <n v="50"/>
    <n v="0"/>
  </r>
  <r>
    <x v="36"/>
    <s v="Martin Martin"/>
    <s v="Trujillo Rodriguez"/>
    <s v="martintrro@unisabana.edu.co"/>
    <x v="13"/>
    <d v="2026-03-04T00:00:00"/>
    <x v="1"/>
    <s v="Entregado"/>
    <m/>
    <n v="50"/>
    <n v="50"/>
    <n v="1"/>
  </r>
  <r>
    <x v="37"/>
    <s v="Alan David"/>
    <s v="Rossoff Vanegas"/>
    <s v="alanrova@unisabana.edu.co"/>
    <x v="13"/>
    <d v="2026-03-04T00:00:00"/>
    <x v="1"/>
    <s v="Entregado"/>
    <m/>
    <n v="50"/>
    <n v="50"/>
    <n v="1"/>
  </r>
  <r>
    <x v="38"/>
    <s v="Diego Alejandro"/>
    <s v="Hermida Limas"/>
    <s v="diegoherli@unisabana.edu.co"/>
    <x v="13"/>
    <d v="2026-03-04T00:00:00"/>
    <x v="1"/>
    <s v="Entregado"/>
    <m/>
    <n v="50"/>
    <n v="50"/>
    <n v="1"/>
  </r>
  <r>
    <x v="0"/>
    <s v="Paula Andrea"/>
    <s v="Arciniegas Cardenas"/>
    <s v="paulaarcca@unisabana.edu.co"/>
    <x v="14"/>
    <d v="2026-02-25T00:00:00"/>
    <x v="4"/>
    <s v="Entregado"/>
    <s v="Retroalimentación de la Entrega: Examen Parcial 1 - Motor_x000a_Lógico &quot;FinVes&quot;  Estudiante: ARCINIEGAS CARDENAS, PAULA ANDREA Calificación Final: 5.0 / 5.0  Comentarios del Profesor: Paula, excelente trabajo. Has entregado un examen parcial_x000a_muy sólido y estructurado. Demostraste un dominio claro de los fundamentos de_x000a_Python y cumpliste a cabalidad con los requerimientos lógicos del caso de_x000a_negocio &quot;FinVes&quot;.  Puntos a destacar (Lo excelente): _x000a_ Autogestión_x000a_     y Lógica: Tu pseudocódigo es uno de los más ordenados que he revisado._x000a_     El sistema de numeración (1.0, 1.1, 2.0...) refleja una mente analítica y_x000a_     estructurada. Lo más importante: el código en Python es un espejo exacto_x000a_     de tu planeación. _x000a_ Estructuras_x000a_     de Datos: Declaraste e implementaste a la perfección el Diccionario_x000a_     para el perfil, la Tupla para los activos fijos y la Lista para el_x000a_     portafolio dinámico. _x000a_ Procesamiento_x000a_     Matemático: El cálculo del ingreso pasivo mensual (inv[&quot;monto&quot;]_x000a_     * (inv[&quot;tasa&quot;] / 100)) / 12 y el acumulador dentro del ciclo for_x000a_     están impecables. Entendiste perfectamente la lógica financiera detrás del_x000a_     algoritmo.  Oportunidades de Mejora (Sanity Check y UX): _x000a_ Manejo_x000a_     de Errores (El Bono perdido): El parcial ofrecía hasta +1.0 unidad_x000a_     extra por implementar bloques try-except. En tu código, si el usuario_x000a_     digita la letra &quot;A&quot; cuando pides la opción del menú (int(input(...)))_x000a_     o el monto a invertir, el programa colapsará inmediatamente con un ValueError._x000a_     En el mundo real, los usuarios cometen errores de digitación; siempre_x000a_     debemos blindar nuestras aplicaciones. _x000a_ Experiencia_x000a_     de Usuario (UX): Aunque calculaste el ingreso_pasivo_total_x000a_     correctamente y mostraste el porcentaje de avance con formato :,2f,_x000a_     omitiste imprimirle al usuario cuánto dinero exacto está generando_x000a_     mensualmente. En una App financiera, ver el monto en pesos es el mayor_x000a_     incentivo para el cliente.  Motivación: _x000a_Tienes una excelente capacidad de abstracción y lógica de programación. Posees_x000a_las bases técnicas necesarias para modelar problemas complejos del mundo de los_x000a_negocios. Sigue cultivando este nivel de orden y disciplina en los próximos_x000a_cortes.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
    <s v="Sofia"/>
    <s v="Giraldo Pico"/>
    <s v="sofiagipi@unisabana.edu.co"/>
    <x v="14"/>
    <d v="2026-02-25T00:00:00"/>
    <x v="4"/>
    <s v="Entregado"/>
    <s v="Retroalimentación de la Entrega: Examen Parcial 1 - Motor_x000a_Lógico &quot;FinVes&quot;  Estudiante: Sofia Giraldo Pico Calificación Final: 5.0 / 5.0  Comentarios del Profesor: Tu desempeño en este primer examen parcial ha sido_x000a_excelente. Has logrado plasmar la lógica de negocio solicitada en un código_x000a_limpio, estructurado y completamente funcional, demostrando que los conceptos_x000a_fundamentales del primer corte están consolidados.  Puntos a destacar (Lo excelente): _x000a_ Autogestión_x000a_     Evidenciada: El pseudocódigo entregado en la celda de Markdown es_x000a_     claro, secuencial y refleja exactamente la estructura que luego_x000a_     programaste en Python. Este paso de planeación es vital y lo has ejecutado_x000a_     a la perfección. _x000a_ Manejo_x000a_     de Estructuras de Datos: Utilizaste el diccionario (perfil_usuario),_x000a_     la tupla (activos_disponibles) y la lista (portafolio) de manera precisa._x000a_     La forma en que inicializaste el diccionario vacío y luego le asignaste_x000a_     las llaves dinámicamente con los input() demuestra una comprensión_x000a_     profunda de la mutabilidad de esta estructura. _x000a_ Procesamiento_x000a_     y Matemáticas: El ciclo for para recorrer el portafolio y la_x000a_     aplicación de las fórmulas financieras (cálculo del ingreso pasivo mensual_x000a_     y el porcentaje de avance) son exactos. No hay errores de casting_x000a_     ni de lógica aritmética. _x000a_ Presentación_x000a_     (UX): El uso de f-strings con el formato :,.2f para mostrar el dinero_x000a_     y los porcentajes le da un toque muy profesional a la salida en consola.  Oportunidad de Mejora (El Siguiente Nivel): _x000a_El código cumple con el 100% de los requerimientos base. Para alcanzar el nivel_x000a_de excelencia absoluta (y obtener el bono de +1.0), faltó implementar el bloque_x000a_de seguridad try-except al momento de solicitar los datos numéricos (monto y_x000a_tasa). En el mundo real, los usuarios cometen errores de digitación, y un_x000a_sistema financiero no puede permitirse colapsar (ValueError) por un texto_x000a_ingresado accidentalmente. Te invito a incorporar esta validación en tus_x000a_futuros proyectos.  Motivación: _x000a_Tienes una base técnica muy sólida y una capacidad analítica destacable. Si_x000a_mantienes este nivel de organización y rigor en tu código, los retos de_x000a_análisis de datos que vienen en los próximos cortes serán muy fáciles de_x000a_dominar.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se implementó el bloque try-except para validación de_x000a_  errores.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2"/>
    <s v="Valery"/>
    <s v="Linares Hernandez"/>
    <s v="valerylihe@unisabana.edu.co"/>
    <x v="14"/>
    <d v="2026-02-25T00:00:00"/>
    <x v="4"/>
    <s v="Entregado"/>
    <s v="Retroalimentación de la Entrega: Examen Parcial 1 - Motor_x000a_Lógico &quot;FinVes&quot;  Estudiante: Linares Hernandez, Valery Calificación Final: 5.0 / 5.0 (+1.0 Unidad de Bono por excelencia técnica)  Comentarios del Profesor: Este es un examen de nivel profesional. No solo_x000a_has cumplido con todos los requerimientos técnicos, sino que has demostrado una_x000a_comprensión profunda de la lógica de programación y la autogestión, que son los_x000a_pilares de este curso.  Puntos a destacar (Lo excelente): _x000a_ Autogestión_x000a_     y Diseño (Sanity Check): Tu pseudocódigo en Markdown es un ejemplo_x000a_     perfecto de cómo se debe planificar un proyecto. Es detallado, sigue una_x000a_     secuencia lógica impecable y, lo más importante, tu código en Python es un_x000a_     reflejo exacto de esa planeación. Esto demuestra que dominas la_x000a_     metodología de &quot;pensar antes de programar&quot;. _x000a_ Robustez_x000a_     y Seguridad (Bono +1.0): Implementaste bloques try-except para manejar_x000a_     posibles errores de formato (ValueError) del usuario. Esta es la_x000a_     mentalidad de un desarrollador senior: anticiparse a los problemas y crear_x000a_     un programa &quot;a prueba de balas&quot;. Por esta iniciativa, te has_x000a_     ganado la unidad de bono completa. _x000a_ Lógica_x000a_     Avanzada: No solo cumpliste con lo solicitado, sino que añadiste una_x000a_     capa de validación extra (if activo_elegido not in activos_disponibles:)._x000a_     Este pequeño detalle demuestra que piensas en la integridad de los datos y_x000a_     en la experiencia del usuario, evitando que se registren inversiones en_x000a_     activos no autorizados. _x000a_ Clean_x000a_     Code y Presentación: Tu código está excepcionalmente bien documentado_x000a_     y organizado. El uso de f-strings con formato de moneda y el diseño de los_x000a_     reportes en consola son limpios y profesionales.  Motivación: _x000a_Has demostrado tener una base técnica y lógica sobresaliente. Si continúas_x000a_aplicando este nivel de disciplina, análisis y atención al detalle, tienes el_x000a_potencial no solo para destacar en el ámbito académico, sino para liderar_x000a_proyectos tecnológicos complejos en el sector financiero o administrativo._x000a_¡Felicitaciones por un trabajo excepcional!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perfectamente con la lógica programada.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código_x000a_  documentado y mensajes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
    <s v="Nicolas"/>
    <s v="Torres Calderon"/>
    <s v="nicolastorca@unisabana.edu.co"/>
    <x v="14"/>
    <d v="2026-02-25T00:00:00"/>
    <x v="4"/>
    <s v="Entregado"/>
    <s v="Retroalimentación de la Entrega: Examen Parcial 1 - Motor_x000a_Lógico &quot;FinVes&quot;  Estudiante: TORRES CALDERON, NICOLAS Calificación Final: 5.0 / 5.0 (Nota Desglosada: 4.0 Base + 1.0 Bono por Robustez Técnica. La ausencia del_x000a_Pseudocódigo anuló el punto de Lógica, pero el Bono compensó la nota final).  Comentarios del Profesor: Técnicamente has entregado uno de los códigos más_x000a_robustos de la clase. Tu implementación en Python demuestra un dominio sólido_x000a_de la sintaxis y una excelente capacidad para validar datos (evitando que el_x000a_programa colapse). Sin embargo, hay un punto crítico de Autogestión que_x000a_omitiste y que casi te cuesta la nota perfecta.  Puntos a destacar (Lo excelente): _x000a_ Robustez_x000a_     y Seguridad (Bono +1.0): Implementaste bloques try-except y_x000a_     validaciones while True para asegurar que los datos ingresados (meta,_x000a_     monto, tasa) sean correctos. Esto protege al sistema de errores de usuario_x000a_     (ValueError) y cumple con el criterio para el bono extra. ¡Excelente_x000a_     trabajo blindando el código! _x000a_ Lógica_x000a_     de Negocio: La fórmula de libertad financiera y el cálculo de ingresos_x000a_     pasivos son matemáticamente correctos. _x000a_ Presentación:_x000a_     El uso de f-strings con separadores de miles (:,.2f) facilita la lectura_x000a_     de los datos financieros.  Oportunidad de Mejora (Atención a la Autogestión): _x000a_ Ausencia_x000a_     de Pseudocódigo: El enunciado era explícito: &quot;Antes de_x000a_     escribir una sola línea de código... DEBEN escribir el Pseudocódigo&quot;._x000a_     Tu celda de Markdown solo tiene tu nombre. En este parcial, el Bono de_x000a_     Seguridad salvó tu nota, cubriendo el punto perdido por Lógica y_x000a_     Diseño. En futuros entregables, la planeación escrita es obligatoria y no_x000a_     negociable. _x000a_ Tip_x000a_     Técnico: Usaste portafolio = portafolio + [inversion]. Aunque funciona_x000a_     (concatenación de listas), la forma estándar y más eficiente en memoria en_x000a_     Python es usar el método .append(inversion).  Motivación: _x000a_Tienes una habilidad técnica muy fuerte. Si logras combinar esa capacidad de_x000a_programación con la disciplina de documentar tu lógica previamente_x000a_(Pseudocódigo), serás un desarrollador/analista excepcional. ¡Sigue así, pero_x000a_no descuides las instrucciones de autogestión!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faltante. No se presentó la planeación_x000a_  lógica en Markdown requerida. _x000a_  _x000a_  _x000a_  1.0 _x000a_  _x000a_  _x000a_  0.0 _x000a_  _x000a_ _x000a_ _x000a_  _x000a_  2. Estructuras de Datos _x000a_  _x000a_  _x000a_  Uso correcto de Diccionarios, Tuplas y Listas anidadas. _x000a_  _x000a_  _x000a_  1.5 _x000a_  _x000a_  _x000a_  1.5 _x000a_  _x000a_ _x000a_ _x000a_  _x000a_  3. Control de Flujo _x000a_  _x000a_  _x000a_  Menú interactivo funcional con opciones de salida y_x000a_  validación correcta. _x000a_  _x000a_  _x000a_  1.0 _x000a_  _x000a_  _x000a_  1.0 _x000a_  _x000a_ _x000a_ _x000a_  _x000a_  4. Procesamiento _x000a_  _x000a_  _x000a_  Cálculos matemáticos precisos e iteración correcta de la_x000a_  lista. _x000a_  _x000a_  _x000a_  1.0 _x000a_  _x000a_  _x000a_  1.0 _x000a_  _x000a_ _x000a_ _x000a_  _x000a_  5. Presentación (UX) _x000a_  _x000a_  _x000a_  Formato de moneda legible y mensajes claros al usuario. _x000a_  _x000a_  _x000a_  0.5 _x000a_  _x000a_  _x000a_  0.5 _x000a_  _x000a_ _x000a_ _x000a_  _x000a_  Bono de Seguridad _x000a_  _x000a_  _x000a_  Implementación efectiva de try-except y validaciones de_x000a_  entrada. _x000a_  _x000a_  _x000a_  + 1.0 _x000a_  _x000a_  _x000a_  + 1.0 _x000a_  _x000a_ _x000a_ _x000a_  _x000a_  TOTAL _x000a_  _x000a_  _x000a_  _x000a_  5.0 _x000a_  _x000a_  _x000a_  5.0 _x000a_  _x000a_ Diego Mauricio Zuluaga Rodríguez _x000a_Profesor - Departamento de Economía _x000a_Universidad de La Sabana"/>
    <n v="50"/>
    <n v="50"/>
    <n v="1"/>
  </r>
  <r>
    <x v="4"/>
    <s v="Cristian"/>
    <s v="Bermudez"/>
    <s v="cristianbe@unisabana.edu.co"/>
    <x v="14"/>
    <d v="2026-02-25T00:00:00"/>
    <x v="4"/>
    <s v="Entregado"/>
    <s v="Retroalimentación de la Entrega: Examen Parcial 1 - Motor_x000a_Lógico &quot;FinVes&quot;  Estudiante: Cristian Bermudez Calificación Final: 5.0 / 5.0 (Nota Desglosada: 4.0 Base + 1.0 Bono por Robustez Técnica. La ausencia del_x000a_Pseudocódigo anuló el punto de Lógica, pero el Bono compensó la nota final).  Comentarios del Profesor: Cristian, técnicamente has entregado uno de los códigos más_x000a_robustos de la clase. Tu implementación en Python demuestra un dominio sólido_x000a_de la sintaxis y una excelente capacidad para validar datos (evitando que el_x000a_programa colapse). Sin embargo, hay un punto crítico de Autogestión que_x000a_omitiste y que casi te cuesta la nota perfecta.  Puntos a destacar (Lo excelente): _x000a_ Robustez_x000a_     y Seguridad (Bono +1.0): Implementaste bloques try-except y_x000a_     validaciones while True para asegurar que los datos ingresados (meta,_x000a_     monto, tasa) sean correctos. Esto protege al sistema de errores de usuario_x000a_     (ValueError) y cumple con el criterio para el bono extra. ¡Excelente_x000a_     trabajo blindando el código! _x000a_ Lógica_x000a_     de Negocio: La fórmula de libertad financiera y el cálculo de ingresos_x000a_     pasivos son matemáticamente correctos. _x000a_ Presentación:_x000a_     El uso de f-strings con separadores de miles (:,.2f) facilita la lectura_x000a_     de los datos financieros.  Oportunidad de Mejora (Atención a la Autogestión): _x000a_ Ausencia_x000a_     de Pseudocódigo: El enunciado era explícito: &quot;Antes de_x000a_     escribir una sola línea de código... DEBEN escribir el Pseudocódigo&quot;._x000a_     Tu celda de Markdown solo tiene tu nombre. En este parcial, el Bono de_x000a_     Seguridad salvó tu nota, cubriendo el punto perdido por Lógica y_x000a_     Diseño. En futuros entregables, la planeación escrita es obligatoria y no_x000a_     negociable. _x000a_ Tip_x000a_     Técnico: Usaste portafolio = portafolio + [inversion]. Aunque funciona_x000a_     (concatenación de listas), la forma estándar y más eficiente en memoria en_x000a_     Python es usar el método .append(inversion).  Motivación: _x000a_Tienes una habilidad técnica muy fuerte. Si logras combinar esa capacidad de_x000a_programación con la disciplina de documentar tu lógica previamente_x000a_(Pseudocódigo), serás un desarrollador/analista excepcional. ¡Sigue así, pero_x000a_no descuides las instrucciones de autogestión!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faltante. No se presentó la planeación_x000a_  lógica en Markdown requerida. _x000a_  _x000a_  _x000a_  1.0 _x000a_  _x000a_  _x000a_  0.0 _x000a_  _x000a_ _x000a_ _x000a_  _x000a_  2. Estructuras de Datos _x000a_  _x000a_  _x000a_  Uso correcto de Diccionarios, Tuplas y Listas anidadas. _x000a_  _x000a_  _x000a_  1.5 _x000a_  _x000a_  _x000a_  1.5 _x000a_  _x000a_ _x000a_ _x000a_  _x000a_  3. Control de Flujo _x000a_  _x000a_  _x000a_  Menú interactivo funcional con opciones de salida y_x000a_  validación correcta. _x000a_  _x000a_  _x000a_  1.0 _x000a_  _x000a_  _x000a_  1.0 _x000a_  _x000a_ _x000a_ _x000a_  _x000a_  4. Procesamiento _x000a_  _x000a_  _x000a_  Cálculos matemáticos precisos e iteración correcta de la_x000a_  lista. _x000a_  _x000a_  _x000a_  1.0 _x000a_  _x000a_  _x000a_  1.0 _x000a_  _x000a_ _x000a_ _x000a_  _x000a_  5. Presentación (UX) _x000a_  _x000a_  _x000a_  Formato de moneda legible y mensajes claros al usuario. _x000a_  _x000a_  _x000a_  0.5 _x000a_  _x000a_  _x000a_  0.5 _x000a_  _x000a_ _x000a_ _x000a_  _x000a_  Bono de Seguridad _x000a_  _x000a_  _x000a_  Implementación efectiva de try-except y validaciones de_x000a_  entrada. _x000a_  _x000a_  _x000a_  + 1.0 _x000a_  _x000a_  _x000a_  + 1.0 _x000a_  _x000a_ _x000a_ _x000a_  _x000a_  TOTAL _x000a_  _x000a_  _x000a_  _x000a_  5.0 _x000a_  _x000a_  _x000a_  5.0 _x000a_  _x000a_ Diego Mauricio Zuluaga Rodríguez _x000a_Profesor - Departamento de Economía _x000a_Universidad de La Sabana"/>
    <n v="50"/>
    <n v="50"/>
    <n v="1"/>
  </r>
  <r>
    <x v="5"/>
    <s v="Mariana"/>
    <s v="Carmona Romero"/>
    <s v="marianacarrom@unisabana.edu.co"/>
    <x v="14"/>
    <d v="2026-02-25T00:00:00"/>
    <x v="4"/>
    <s v="Entregado"/>
    <s v="Retroalimentación de la Entrega: Examen Parcial 1 - Motor_x000a_Lógico &quot;FinVes&quot;  Estudiante: Mariana Carmona Romero Calificación Final: 5.0 / 5.0  Comentarios del Profesor: Tu desempeño en este parcial ha sido excepcional. Has_x000a_demostrado no solo un dominio completo de los conceptos técnicos del primer_x000a_corte, sino también una capacidad de autogestión y planeación que es_x000a_precisamente lo que buscamos en los profesionales de la EICEA.  Puntos a destacar (Lo excelente): _x000a_ Autogestión_x000a_     y Lógica Impecable: Tu pseudocódigo en la celda de Markdown es un_x000a_     ejemplo perfecto de cómo se debe planificar un programa. Es claro,_x000a_     detallado y, lo más importante, se traduce directamente en la lógica de tu_x000a_     código en Python. Cumpliste a cabalidad la regla de &quot;pensar antes de_x000a_     programar&quot;. _x000a_ Dominio_x000a_     de Estructuras de Datos: Utilizaste las tres estructuras de datos_x000a_     (Diccionario, Tupla y Lista) de manera precisa y para el propósito_x000a_     correcto, demostrando que entiendes la naturaleza y el uso de cada una. La_x000a_     validación if activo_seleccionado in activos_disponibles es una_x000a_     implementación de alto nivel. _x000a_ Presentación_x000a_     y UX Profesional: El uso de f-strings con formato de moneda (:,.2f),_x000a_     los menús limpios y los mensajes de estado claros hacen que tu aplicación_x000a_     se sienta como un producto real y profesional.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sentado una base técnica y lógica extremadamente sólida para el resto del_x000a_semestre. Tu capacidad para seguir instrucciones detalladas y entregar un_x000a_producto de alta calidad es una habilidad muy valorada en la industria._x000a_¡Felicitaciones por un trabaj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6"/>
    <s v="Mariana"/>
    <s v="Pena Rodriguez"/>
    <s v="marianapero@unisabana.edu.co"/>
    <x v="14"/>
    <d v="2026-02-25T00:00:00"/>
    <x v="4"/>
    <s v="Entregado"/>
    <s v="Retroalimentación de la Entrega: Examen Parcial 1 - Motor_x000a_Lógico &quot;FinVes&quot;  Estudiante: PEÑA RODRIGUEZ, MARIANA Calificación Final: 5.0 / 5.0 (+1.0 Unidad de Bono por uso de try-except)  Comentarios del Profesor: Has entregado un examen parcial impecable._x000a_Demostraste un dominio absoluto de todos los temas vistos durante el primer_x000a_corte y, lo más importante, probaste que tienes la lógica estructurada de una_x000a_verdadera analista y desarrolladora.  Puntos a destacar (Lo excelente): _x000a_ Autogestión_x000a_     y Sanity Check: Tu pseudocódigo en la celda de Markdown es detallado,_x000a_     claro y coincide paso a paso con la ejecución de tu código en Python._x000a_     Cumpliste a la perfección la regla de &quot;pensar antes de_x000a_     programar&quot;. _x000a_ Robustez_x000a_     del Código (Bono +1.0): Implementaste bloques try-except tanto en la_x000a_     configuración inicial del perfil como en el registro de inversiones. Esto_x000a_     demuestra que te pones en los zapatos del usuario y previenes que la_x000a_     aplicación colapse por un error de digitación. Excelente iniciativa. _x000a_ Estructuras_x000a_     de Datos: Manejaste a la perfección la combinación de Diccionarios_x000a_     (para el perfil y las inversiones individuales), Tuplas (para los activos_x000a_     fijos) y Listas (para el portafolio dinámico). _x000a_ Presentación_x000a_     (UX): El uso de f-strings con el formato :,.2f hace que tu aplicación_x000a_     se vea como un software financiero real. Además, los menús y mensajes en_x000a_     consola son muy limpios e intuitivos (noté en el registro de salida que_x000a_     hiciste pruebas exhaustivas, incluso usando &quot;Matias&quot; como_x000a_     usuario de prueba, lo cual es una excelente práctica de testeo).  Motivación: _x000a_Tienes una base técnica y lógica sumamente sólida. Si mantienes esta_x000a_disciplina, rigurosidad y atención al detalle, no solo te irá excelente en lo_x000a_que resta del semestre, sino que tendrás las herramientas necesarias para_x000a_liderar proyectos tecnológicos reales en tu vida profesional. ¡Felicitaciones_x000a_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7"/>
    <s v="Isabella"/>
    <s v="Carranza Tapiero"/>
    <s v="isabellacata@unisabana.edu.co"/>
    <x v="14"/>
    <d v="2026-02-25T00:00:00"/>
    <x v="4"/>
    <s v="Entregado"/>
    <s v="Retroalimentación de la Entrega: Examen Parcial 1 - Motor_x000a_Lógico &quot;FinVes&quot;  Estudiante: CARRANZA TAPIERO, ISABELLA Calificación Final: 5.0 / 5.0  Comentarios del Profesor: Excelente trabajo. Has entregado un examen parcial_x000a_muy sólido y estructurado. Demostraste un dominio claro de los fundamentos de_x000a_Python y cumpliste a cabalidad con los requerimientos lógicos del caso de_x000a_negocio &quot;FinVes&quot;.  Puntos a destacar (Lo excelente): _x000a_ Autogestión_x000a_     y Lógica: Tu pseudocódigo es uno de los más ordenados que he revisado._x000a_     El sistema de numeración (1.0, 1.1, 2.0...) refleja una mente analítica y_x000a_     estructurada. Lo más importante: el código en Python es un espejo exacto_x000a_     de tu planeación. _x000a_ Estructuras_x000a_     de Datos: Declaraste e implementaste a la perfección el Diccionario_x000a_     para el perfil, la Tupla para los activos fijos y la Lista para el_x000a_     portafolio dinámico. _x000a_ Procesamiento_x000a_     Matemático: El cálculo del ingreso pasivo mensual (inv[&quot;monto&quot;]_x000a_     * (inv[&quot;tasa&quot;] / 100)) / 12 y el acumulador dentro del ciclo for_x000a_     están impecables. Entendiste perfectamente la lógica financiera detrás del_x000a_     algoritmo.  Oportunidades de Mejora (Sanity Check y UX): _x000a_ Manejo_x000a_     de Errores (El Bono perdido): El parcial ofrecía hasta +1.0 unidad_x000a_     extra por implementar bloques try-except. En tu código, si el usuario_x000a_     digita la letra &quot;A&quot; cuando pides la opción del menú (int(input(...)))_x000a_     o el monto a invertir, el programa colapsará inmediatamente con un ValueError._x000a_     En el mundo real, los usuarios cometen errores de digitación; siempre_x000a_     debemos blindar nuestras aplicaciones. _x000a_ Experiencia_x000a_     de Usuario (UX): Aunque calculaste el ingreso_pasivo_total_x000a_     correctamente y mostraste el porcentaje de avance con formato :,2f,_x000a_     omitiste imprimirle al usuario cuánto dinero exacto está generando_x000a_     mensualmente. En una App financiera, ver el monto en pesos es el mayor_x000a_     incentivo para el cliente.  Motivación: _x000a_Tienes una excelente capacidad de abstracción y lógica de programación. Posees_x000a_las bases técnicas necesarias para modelar problemas complejos del mundo de los_x000a_negocios. Sigue cultivando este nivel de orden y disciplina en los próximos_x000a_cortes.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8"/>
    <s v="Samuel David"/>
    <s v="Lozano Holguin"/>
    <s v="samuelloho@unisabana.edu.co"/>
    <x v="14"/>
    <d v="2026-02-25T00:00:00"/>
    <x v="4"/>
    <s v="Entregado"/>
    <s v="Retroalimentación de la Entrega: Examen Parcial 1 - Motor_x000a_Lógico &quot;FinVes&quot;  Estudiante: Lozano Holguin, Samuel David Calificación Final: 4.3 / 5.0  Comentarios del Profesor: Has entregado un parcial con una estructura muy interesante_x000a_y con destellos de programación avanzada. Se nota que comprendes la sintaxis de_x000a_Python y te sientes cómodo explorando formas eficientes de resolver problemas.  Puntos a destacar (Lo excelente): _x000a_ Autogestión_x000a_     (Pseudocódigo): Cumpliste a la perfección con la regla de escribir el_x000a_     pseudocódigo antes de programar. Tu paso a paso es lógico, estructurado y_x000a_     fácil de leer. _x000a_ Estructuras_x000a_     de Datos: Implementaste correctamente el diccionario, la tupla y la_x000a_     lista. Validar si el activo ingresado existe dentro de la tupla (if activo_x000a_     in activos_disponibles:) es una excelente práctica de validación de datos. _x000a_ Código_x000a_     Avanzado (&quot;Pythónico&quot;): El uso de la función sum() combinada_x000a_     con un generador en una sola línea (sum(inversion[&quot;monto&quot;] * ..._x000a_     for inversion in portafolio)) para calcular el rendimiento total demuestra_x000a_     un nivel de abstracción superior al promedio. ¡Muy bien hecho! _x000a_ Presentación_x000a_     Visual (UX): El uso de f-strings con separadores de miles y decimales_x000a_     (:,.2f) hace que la salida en consola sea muy profesional y fácil de leer_x000a_     para un usuario financiero.  Oportunidades de Mejora (Atención al Detalle): _x000a_El motivo por el cual no alcanzas la nota máxima se debe a tres detalles_x000a_específicos en el seguimiento de instrucciones y la lógica de procesamiento: _x000a_ Bug_x000a_     Lógico (Duplicidad de Datos): En la Opción 1, estás agregando la misma_x000a_     inversión dos veces a la lista portafolio. Primero haces un .append()_x000a_     parcial, luego le agregas la tasa, y unas líneas más abajo creas el_x000a_     diccionario datos_inversion y le haces .append() de nuevo. Si revisas tu_x000a_     propia consola de salida, verás que &quot;Bonos del Estado&quot; aparece_x000a_     duplicado y el ingreso pasivo se calcula por el doble del valor real. _x000a_ Requerimiento_x000a_     Omitido (Porcentaje): La rúbrica exigía explícitamente calcular el_x000a_     porcentaje de avance (Ingreso Pasivo / Meta) * 100 e imprimir el mensaje &quot;Te_x000a_     falta un camino por recorrer. Tu avance es del X.XX%.&quot;. Omitiste_x000a_     este cálculo matemático y el mensaje solicitado. _x000a_ Documentación_x000a_     del Código: La rúbrica pedía &quot;código documentado con # explicando_x000a_     cada bloque&quot;. Tu script carece por completo de comentarios internos._x000a_     En el entorno profesional, documentar el código es vital para el trabajo_x000a_     en equipo. _x000a_ Bono_x000a_     de Seguridad: No implementaste el bloque try-except para capturar_x000a_     errores de digitación (ValueError), por lo que no aplicas para la unidad_x000a_     extra.  Motivación: _x000a_Tienes una lógica de programación muy ágil y utilizas herramientas avanzadas de_x000a_Python de forma natural. Tu reto ahora es la auditoría de tu propio código_x000a_(Sanity Check). Revisa siempre las salidas de tu consola para detectar bugs_x000a_(como la duplicidad) y lee los requerimientos del cliente línea por línea. Si_x000a_ajustas ese nivel de atención al detalle, tus próximos proyectos serán_x000a_perfectos. ¡Sigue ade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y decisiones lógicas precisas con if/elif/else. _x000a_  _x000a_  _x000a_  1.0 _x000a_  _x000a_  _x000a_  1.0 _x000a_  _x000a_ _x000a_ _x000a_  _x000a_  4. Procesamiento _x000a_  _x000a_  _x000a_  Penalización por duplicidad de datos en el .append() y por_x000a_  omitir el cálculo del porcentaje de avance exigido. _x000a_  _x000a_  _x000a_  1.0 _x000a_  _x000a_  _x000a_  0.5 _x000a_  _x000a_ _x000a_ _x000a_  _x000a_  5. Presentación (UX) _x000a_  _x000a_  _x000a_  Excelente uso de f-strings, pero ausencia total de_x000a_  comentarios (#) en el código.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3 _x000a_  _x000a_ Diego Mauricio Zuluaga Rodríguez _x000a_Profesor - Departamento de Economía _x000a_Universidad de La Sabana"/>
    <n v="43"/>
    <n v="50"/>
    <n v="0.86"/>
  </r>
  <r>
    <x v="9"/>
    <s v="Sebastian"/>
    <s v="Vanoy Gutierrez"/>
    <s v="sebastianvagu@unisabana.edu.co"/>
    <x v="14"/>
    <d v="2026-02-25T00:00:00"/>
    <x v="4"/>
    <s v="Entregado"/>
    <s v="Retroalimentación de la Entrega: Examen Parcial 1 - Motor_x000a_Lógico &quot;FinVes&quot;  Estudiante: Vanoy Gutierrez, Sebastian Calificación Final: 4.3 / 5.0  Comentarios del Profesor: Has entregado un parcial con una estructura muy interesante_x000a_y con destellos de programación avanzada. Se nota que comprendes la sintaxis de_x000a_Python y te sientes cómodo explorando formas eficientes de resolver problemas.  Puntos a destacar (Lo excelente): _x000a_ Autogestión_x000a_     (Pseudocódigo): Cumpliste a la perfección con la regla de escribir el_x000a_     pseudocódigo antes de programar. Tu paso a paso es lógico, estructurado y_x000a_     fácil de leer. _x000a_ Estructuras_x000a_     de Datos: Implementaste correctamente el diccionario, la tupla y la_x000a_     lista. Validar si el activo ingresado existe dentro de la tupla (if activo_x000a_     in activos_disponibles:) es una excelente práctica de validación de datos. _x000a_ Código_x000a_     Avanzado (&quot;Pythónico&quot;): El uso de la función sum() combinada_x000a_     con un generador en una sola línea (sum(inversion[&quot;monto&quot;] * ..._x000a_     for inversion in portafolio)) para calcular el rendimiento total demuestra_x000a_     un nivel de abstracción superior al promedio. ¡Muy bien hecho! _x000a_ Presentación_x000a_     Visual (UX): El uso de f-strings con separadores de miles y decimales_x000a_     (:,.2f) hace que la salida en consola sea muy profesional y fácil de leer_x000a_     para un usuario financiero.  Oportunidades de Mejora (Atención al Detalle): _x000a_El motivo por el cual no alcanzas la nota máxima se debe a tres detalles_x000a_específicos en el seguimiento de instrucciones y la lógica de procesamiento: _x000a_ Bug_x000a_     Lógico (Duplicidad de Datos): En la Opción 1, estás agregando la misma_x000a_     inversión dos veces a la lista portafolio. Primero haces un .append()_x000a_     parcial, luego le agregas la tasa, y unas líneas más abajo creas el_x000a_     diccionario datos_inversion y le haces .append() de nuevo. Si revisas tu_x000a_     propia consola de salida, verás que &quot;Bonos del Estado&quot; aparece_x000a_     duplicado y el ingreso pasivo se calcula por el doble del valor real. _x000a_ Requerimiento_x000a_     Omitido (Porcentaje): La rúbrica exigía explícitamente calcular el_x000a_     porcentaje de avance (Ingreso Pasivo / Meta) * 100 e imprimir el mensaje &quot;Te_x000a_     falta un camino por recorrer. Tu avance es del X.XX%.&quot;. Omitiste_x000a_     este cálculo matemático y el mensaje solicitado. _x000a_ Documentación_x000a_     del Código: La rúbrica pedía &quot;código documentado con # explicando_x000a_     cada bloque&quot;. Tu script carece por completo de comentarios internos._x000a_     En el entorno profesional, documentar el código es vital para el trabajo_x000a_     en equipo. _x000a_ Bono_x000a_     de Seguridad: No implementaste el bloque try-except para capturar_x000a_     errores de digitación (ValueError), por lo que no aplicas para la unidad_x000a_     extra.  Motivación: _x000a_Tienes una lógica de programación muy ágil y utilizas herramientas avanzadas de_x000a_Python de forma natural. Tu reto ahora es la auditoría de tu propio código_x000a_(Sanity Check). Revisa siempre las salidas de tu consola para detectar bugs_x000a_(como la duplicidad) y lee los requerimientos del cliente línea por línea. Si_x000a_ajustas ese nivel de atención al detalle, tus próximos proyectos serán_x000a_perfectos. ¡Sigue ade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y decisiones lógicas precisas con if/elif/else. _x000a_  _x000a_  _x000a_  1.0 _x000a_  _x000a_  _x000a_  1.0 _x000a_  _x000a_ _x000a_ _x000a_  _x000a_  4. Procesamiento _x000a_  _x000a_  _x000a_  Penalización por duplicidad de datos en el .append() y por_x000a_  omitir el cálculo del porcentaje de avance exigido. _x000a_  _x000a_  _x000a_  1.0 _x000a_  _x000a_  _x000a_  0.5 _x000a_  _x000a_ _x000a_ _x000a_  _x000a_  5. Presentación (UX) _x000a_  _x000a_  _x000a_  Excelente uso de f-strings, pero ausencia total de_x000a_  comentarios (#) en el código.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3 _x000a_  _x000a_ Diego Mauricio Zuluaga Rodríguez _x000a_Profesor - Departamento de Economía _x000a_Universidad de La Sabana"/>
    <n v="43"/>
    <n v="50"/>
    <n v="0.86"/>
  </r>
  <r>
    <x v="10"/>
    <s v="Jose Daniel"/>
    <s v="Escobar Hurtado"/>
    <s v="joseeshu@unisabana.edu.co"/>
    <x v="14"/>
    <d v="2026-02-25T00:00:00"/>
    <x v="4"/>
    <s v="Entregado"/>
    <s v="Retroalimentación de la Entrega: Examen Parcial 1 - Motor_x000a_Lógico &quot;FinVes&quot;  Estudiante: Jóse Daniel Escobar Hurtado Calificación Final: 5.0 / 5.0  Comentarios del Profesor: Tu examen es un ejemplo de excelencia técnica y_x000a_metodológica. Has demostrado un dominio completo de todos los conceptos del_x000a_primer corte y, lo que es más importante, una capacidad de autogestión y_x000a_pensamiento estructurado que es precisamente lo que buscamos en los_x000a_profesionales de la EICEA.  Puntos a destacar (Lo excelente): _x000a_ Autogestión_x000a_     y Lógica Impecable: Tu pseudocódigo en la celda de Markdown es de_x000a_     altísima calidad. Es detallado, sigue una estructura lógica profesional y_x000a_     se refleja perfectamente en tu código final. Cumpliste a cabalidad la_x000a_     regla de &quot;pensar antes de programar&quot;. _x000a_ Programación_x000a_     Defensiva: La validación if activo not in activos_disponibles: es una_x000a_     muestra de pensamiento computacional avanzado. No solo hiciste que el_x000a_     programa funcionara, sino que lo hiciste robusto, anticipándote a los_x000a_     errores del usuario. _x000a_ Presentación_x000a_     y UX Profesional: El uso de emojis, mensajes claros y una interfaz de_x000a_     consola bien organizada demuestra que piensas en el usuario final. Esto_x000a_     transforma un simple script en una aplicación amigable.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demostrado que no solo sabes programar, sino que sabes cómo construir una_x000a_solución completa y bien pensada. Esta habilidad para pasar de un problema de_x000a_negocio a un prototipo funcional es extremadamente valiosa en el mercado._x000a_¡Felicitaciones por un trabajo impecabl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ódigo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1"/>
    <s v="Maria Jose"/>
    <s v="Botero Galviz"/>
    <s v="mariabotga@unisabana.edu.co"/>
    <x v="14"/>
    <d v="2026-02-25T00:00:00"/>
    <x v="4"/>
    <s v="Entregado"/>
    <s v="Retroalimentación de la Entrega: Examen Parcial 1 - Motor_x000a_Lógico &quot;FinVes&quot;  Estudiante: María José Botero Galviz Calificación Final: 5.0 / 5.0 (+1.0 Unidad de Bono por excelencia técnica)  Comentarios del Profesor: María José, este es un examen de nivel profesional. No solo_x000a_has cumplido con todos los requerimientos técnicos, sino que has demostrado una_x000a_comprensión profunda de la lógica de programación y la autogestión, que son los_x000a_pilares de este curso.  Puntos a destacar (Lo excelente): _x000a_ Autogestión_x000a_     y Diseño (Sanity Check): Tu pseudocódigo en Markdown es un ejemplo_x000a_     perfecto de cómo se debe planificar un proyecto. Es detallado, sigue una_x000a_     secuencia lógica impecable y, lo más importante, tu código en Python es un_x000a_     reflejo exacto de esa planeación. Esto demuestra que dominas la_x000a_     metodología de &quot;pensar antes de programar&quot;. _x000a_ Robustez_x000a_     y Seguridad (Bono +1.0): Implementaste bloques try-except para manejar_x000a_     posibles errores de formato (ValueError) del usuario. Esta es la_x000a_     mentalidad de un desarrollador senior: anticiparse a los problemas y crear_x000a_     un programa &quot;a prueba de balas&quot;. Por esta iniciativa, te has_x000a_     ganado la unidad de bono completa. _x000a_ Lógica_x000a_     Avanzada: No solo cumpliste con lo solicitado, sino que añadiste una_x000a_     capa de validación extra (if activo_elegido not in activos_disponibles:)._x000a_     Este pequeño detalle demuestra que piensas en la integridad de los datos y_x000a_     en la experiencia del usuario, evitando que se registren inversiones en_x000a_     activos no autorizados. _x000a_ Clean_x000a_     Code y Presentación: Tu código está excepcionalmente bien documentado_x000a_     y organizado. El uso de f-strings con formato de moneda y el diseño de los_x000a_     reportes en consola son limpios y profesionales.  Motivación: _x000a_Has demostrado tener una base técnica y lógica sobresaliente. Si continúas_x000a_aplicando este nivel de disciplina, análisis y atención al detalle, tienes el_x000a_potencial no solo para destacar en el ámbito académico, sino para liderar_x000a_proyectos tecnológicos complejos en el sector financiero o administrativo._x000a_¡Felicitaciones por un trabajo excepcional!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perfectamente con la lógica programada.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código_x000a_  documentado y mensajes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12"/>
    <s v="Maria Juliana"/>
    <s v="Mejia Quintero"/>
    <s v="mariamequ@unisabana.edu.co"/>
    <x v="14"/>
    <d v="2026-02-25T00:00:00"/>
    <x v="4"/>
    <s v="Entregado"/>
    <s v="Retroalimentación de la Entrega: Examen Parcial 1 - Motor_x000a_Lógico &quot;FinVes&quot;  Estudiante: Mariana Carmona Romero Calificación Final: 5.0 / 5.0  Comentarios del Profesor: Tu desempeño en este parcial ha sido excepcional. Has_x000a_demostrado no solo un dominio completo de los conceptos técnicos del primer_x000a_corte, sino también una capacidad de autogestión y planeación que es_x000a_precisamente lo que buscamos en los profesionales de la EICEA.  Puntos a destacar (Lo excelente): _x000a_ Autogestión_x000a_     y Lógica Impecable: Tu pseudocódigo en la celda de Markdown es un_x000a_     ejemplo perfecto de cómo se debe planificar un programa. Es claro,_x000a_     detallado y, lo más importante, se traduce directamente en la lógica de tu_x000a_     código en Python. Cumpliste a cabalidad la regla de &quot;pensar antes de_x000a_     programar&quot;. _x000a_ Dominio_x000a_     de Estructuras de Datos: Utilizaste las tres estructuras de datos_x000a_     (Diccionario, Tupla y Lista) de manera precisa y para el propósito_x000a_     correcto, demostrando que entiendes la naturaleza y el uso de cada una. La_x000a_     validación if activo_seleccionado in activos_disponibles es una_x000a_     implementación de alto nivel. _x000a_ Presentación_x000a_     y UX Profesional: El uso de f-strings con formato de moneda (:,.2f),_x000a_     los menús limpios y los mensajes de estado claros hacen que tu aplicación_x000a_     se sienta como un producto real y profesional.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sentado una base técnica y lógica extremadamente sólida para el resto del_x000a_semestre. Tu capacidad para seguir instrucciones detalladas y entregar un_x000a_producto de alta calidad es una habilidad muy valorada en la industria._x000a_¡Felicitaciones por un trabaj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3"/>
    <s v="Alejandra"/>
    <s v="Leon Vargas"/>
    <s v="alejandraleva@unisabana.edu.co"/>
    <x v="14"/>
    <d v="2026-02-25T00:00:00"/>
    <x v="4"/>
    <s v="Entregado"/>
    <s v="Retroalimentación de la Entrega: Examen Parcial 1 - Motor_x000a_Lógico &quot;FinVes&quot;  Estudiante: Leon Vargas, Alejandra Calificación Final: 5.0 / 5.0  Comentarios del Profesor: Tu desempeño en este primer examen parcial ha sido_x000a_excelente. Has logrado plasmar la lógica de negocio solicitada en un código_x000a_limpio, estructurado y completamente funcional, demostrando que los conceptos_x000a_fundamentales del primer corte están consolidados.  Puntos a destacar (Lo excelente): _x000a_ Autogestión_x000a_     Evidenciada: El pseudocódigo entregado en la celda de Markdown es_x000a_     claro, secuencial y refleja exactamente la estructura que luego_x000a_     programaste en Python. Este paso de planeación es vital y lo has ejecutado_x000a_     a la perfección. _x000a_ Manejo_x000a_     de Estructuras de Datos: Utilizaste el diccionario (perfil_usuario),_x000a_     la tupla (activos_disponibles) y la lista (portafolio) de manera precisa._x000a_     La forma en que inicializaste el diccionario vacío y luego le asignaste_x000a_     las llaves dinámicamente con los input() demuestra una comprensión_x000a_     profunda de la mutabilidad de esta estructura. _x000a_ Procesamiento_x000a_     y Matemáticas: El ciclo for para recorrer el portafolio y la_x000a_     aplicación de las fórmulas financieras (cálculo del ingreso pasivo mensual_x000a_     y el porcentaje de avance) son exactos. No hay errores de casting_x000a_     ni de lógica aritmética. _x000a_ Presentación_x000a_     (UX): El uso de f-strings con el formato :,.2f para mostrar el dinero_x000a_     y los porcentajes le da un toque muy profesional a la salida en consola.  Oportunidad de Mejora (El Siguiente Nivel): _x000a_El código cumple con el 100% de los requerimientos base. Para alcanzar el nivel_x000a_de excelencia absoluta (y obtener el bono de +1.0), faltó implementar el bloque_x000a_de seguridad try-except al momento de solicitar los datos numéricos (monto y_x000a_tasa). En el mundo real, los usuarios cometen errores de digitación, y un_x000a_sistema financiero no puede permitirse colapsar (ValueError) por un texto_x000a_ingresado accidentalmente. Te invito a incorporar esta validación en tus_x000a_futuros proyectos.  Motivación: _x000a_Tienes una base técnica muy sólida y una capacidad analítica destacable. Si_x000a_mantienes este nivel de organización y rigor en tu código, los retos de_x000a_análisis de datos que vienen en los próximos cortes serán muy fáciles de_x000a_dominar.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se implementó el bloque try-except para validación de_x000a_  errores.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4"/>
    <s v="Alessandro Di Mauro"/>
    <s v="Bonilla Correa"/>
    <s v="alessandroboco@unisabana.edu.co"/>
    <x v="14"/>
    <d v="2026-02-25T00:00:00"/>
    <x v="4"/>
    <s v="Entregado"/>
    <s v="Retroalimentación de la Entrega: Examen Parcial 1 - Motor_x000a_Lógico &quot;FinVes&quot;  Estudiante: Alessandro Bonilla Calificación Final: 4.5 / 5.0  Comentarios del Profesor: Alessandro, tu examen demuestra un nivel de pensamiento_x000a_lógico y estructurado excepcional. La forma en que desglosaste el problema en_x000a_el pseudocódigo y el diagrama de flujo es exactamente lo que se espera de un_x000a_analista que domina la autogestión.  Puntos a destacar (Lo excelente): _x000a_ Autogestión_x000a_     y Diseño: Tu pseudocódigo no es solo una lista de pasos, es una_x000a_     narración técnica del flujo del programa. Junto con el diagrama de flujo,_x000a_     demuestras una comprensión profunda del problema antes de escribir una_x000a_     sola línea de código. Este es el pilar de un buen desarrollador. _x000a_ Lógica_x000a_     de Programación: Tu código es limpio, sigue todos los requerimientos y_x000a_     la lógica es impecable. El uso combinado de diccionarios, tuplas y listas_x000a_     es perfecto. Mención especial a la validación if activo_seleccionado not_x000a_     in activos_disponibles:, una iniciativa que añade robustez al programa y_x000a_     demuestra que piensas en los posibles errores del usuario.  Oportunidad de Mejora (El punto crítico): _x000a_ Funcionalidad_x000a_     y Entorno: El único factor que impidió una calificación perfecta fue_x000a_     que el código no es ejecutable. El error ipykernel package que se muestra_x000a_     en la salida indica que el entorno de tu Jupyter Notebook no estaba_x000a_     correctamente configurado para correr el código. En el mundo profesional,_x000a_     un código que no corre, sin importar cuán perfecto sea en teoría, no es un_x000a_     entregable funcional. Es una lección crucial: un programador de élite no_x000a_     solo escribe código correcto, sino que se asegura de que sea ejecutable_x000a_     y reproducible. _x000a_ Bono_x000a_     de Seguridad: No implementaste el bloque try-except, por lo que no_x000a_     aplicas al bono de +1.0 unidad. Si lo hubieras hecho, tu programa habría_x000a_     sido aún más robusto.  Motivación: _x000a_La buena noticia es que tu error no fue de lógica, sino de configuración de_x000a_entorno, algo que se aprende y se corrige con la práctica. Tu capacidad para_x000a_diseñar y estructurar soluciones es de primer nivel. Si a esa habilidad le_x000a_sumas la disciplina de probar y asegurar que tus entregables funcionen siempre,_x000a_estarás más que preparado para cualquier reto técnico en tu carrera. ¡Sigue_x000a_trabajando en esa lógica bril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y Diagrama de Flujo detallados y_x000a_  perfectamente alineados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La lógica del menú while y las decisiones if/elif/else es_x000a_  perfecta, pero el programa no es funcional (error de ipykernel). _x000a_  _x000a_  _x000a_  1.0 _x000a_  _x000a_  _x000a_  0.5 _x000a_  _x000a_ _x000a_ _x000a_  _x000a_  4. Procesamiento _x000a_  _x000a_  _x000a_  El ciclo for y los cálculos matemáticos son lógicamente_x000a_  correctos. _x000a_  _x000a_  _x000a_  1.0 _x000a_  _x000a_  _x000a_  1.0 _x000a_  _x000a_ _x000a_ _x000a_  _x000a_  5. Presentación (UX) _x000a_  _x000a_  _x000a_  Uso de f-strings, código documentado y mensajes claros_x000a_  para el usuario. _x000a_  _x000a_  _x000a_  0.5 _x000a_  _x000a_  _x000a_  0.5 _x000a_  _x000a_ _x000a_ _x000a_  _x000a_  Bono de Seguridad _x000a_  _x000a_  _x000a_  No se implementó el bloque try-except. _x000a_  _x000a_  _x000a_  + 1.0 _x000a_  _x000a_  _x000a_  + 0.0 _x000a_  _x000a_ _x000a_ _x000a_  _x000a_  TOTAL _x000a_  _x000a_  _x000a_  _x000a_  5.0 _x000a_  _x000a_  _x000a_  4.5 _x000a_  _x000a_ Diego Mauricio Zuluaga Rodríguez _x000a_Profesor - Departamento de Economía _x000a_Universidad de La Sabana"/>
    <n v="45"/>
    <n v="50"/>
    <n v="0.9"/>
  </r>
  <r>
    <x v="15"/>
    <s v="Arianne Mariana"/>
    <s v="Amorocho Quiroga"/>
    <s v="arianneamqu@unisabana.edu.co"/>
    <x v="14"/>
    <d v="2026-02-25T00:00:00"/>
    <x v="4"/>
    <s v="Entregado"/>
    <s v="Retroalimentación de la Entrega: Examen Parcial 1 - Motor_x000a_Lógico &quot;FinVes&quot;  Estudiante: AMOROCHO QUIROGA, ARIANNE MARIANA Calificación Final: 5.0 / 5.0 (+1.0 Unidad de Bono por uso de try-except)  Comentarios del Profesor: Arianne, has entregado un examen parcial impecable._x000a_Demostraste un dominio absoluto de todos los temas vistos durante el primer_x000a_corte y, lo más importante, probaste que tienes la lógica estructurada de una_x000a_verdadera analista y desarrolladora.  Puntos a destacar (Lo excelente): _x000a_ Autogestión_x000a_     y Sanity Check: Tu pseudocódigo en la celda de Markdown es detallado,_x000a_     claro y coincide paso a paso con la ejecución de tu código en Python._x000a_     Cumpliste a la perfección la regla de &quot;pensar antes de_x000a_     programar&quot;. _x000a_ Robustez_x000a_     del Código (Bono +1.0): Implementaste bloques try-except tanto en la_x000a_     configuración inicial del perfil como en el registro de inversiones. Esto_x000a_     demuestra que te pones en los zapatos del usuario y previenes que la_x000a_     aplicación colapse por un error de digitación. Excelente iniciativa. _x000a_ Estructuras_x000a_     de Datos: Manejaste a la perfección la combinación de Diccionarios_x000a_     (para el perfil y las inversiones individuales), Tuplas (para los activos_x000a_     fijos) y Listas (para el portafolio dinámico). _x000a_ Presentación_x000a_     (UX): El uso de f-strings con el formato :,.2f hace que tu aplicación_x000a_     se vea como un software financiero real. Además, los menús y mensajes en_x000a_     consola son muy limpios e intuitivos (noté en el registro de salida que_x000a_     hiciste pruebas exhaustivas, incluso usando &quot;Matias&quot; como_x000a_     usuario de prueba, lo cual es una excelente práctica de testeo).  Motivación: _x000a_Tienes una base técnica y lógica sumamente sólida. Si mantienes esta_x000a_disciplina, rigurosidad y atención al detalle, no solo te irá excelente en lo_x000a_que resta del semestre, sino que tendrás las herramientas necesarias para_x000a_liderar proyectos tecnológicos reales en tu vida profesional. ¡Felicitaciones_x000a_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16"/>
    <s v="Maria Juliana"/>
    <s v="Herrera Pulido"/>
    <s v="mariahepu@unisabana.edu.co"/>
    <x v="14"/>
    <d v="2026-02-25T00:00:00"/>
    <x v="4"/>
    <s v="Entregado"/>
    <s v="Retroalimentación de la Entrega: Examen Parcial 1 - Motor_x000a_Lógico &quot;FinVes&quot;  Estudiante: Mariana Carmona Romero Calificación Final: 5.0 / 5.0  Comentarios del Profesor: Tu desempeño en este parcial ha sido excepcional. Has_x000a_demostrado no solo un dominio completo de los conceptos técnicos del primer_x000a_corte, sino también una capacidad de autogestión y planeación que es_x000a_precisamente lo que buscamos en los profesionales de la EICEA.  Puntos a destacar (Lo excelente): _x000a_ Autogestión_x000a_     y Lógica Impecable: Tu pseudocódigo en la celda de Markdown es un_x000a_     ejemplo perfecto de cómo se debe planificar un programa. Es claro,_x000a_     detallado y, lo más importante, se traduce directamente en la lógica de tu_x000a_     código en Python. Cumpliste a cabalidad la regla de &quot;pensar antes de_x000a_     programar&quot;. _x000a_ Dominio_x000a_     de Estructuras de Datos: Utilizaste las tres estructuras de datos_x000a_     (Diccionario, Tupla y Lista) de manera precisa y para el propósito_x000a_     correcto, demostrando que entiendes la naturaleza y el uso de cada una. La_x000a_     validación if activo_seleccionado in activos_disponibles es una_x000a_     implementación de alto nivel. _x000a_ Presentación_x000a_     y UX Profesional: El uso de f-strings con formato de moneda (:,.2f),_x000a_     los menús limpios y los mensajes de estado claros hacen que tu aplicación_x000a_     se sienta como un producto real y profesional.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sentado una base técnica y lógica extremadamente sólida para el resto del_x000a_semestre. Tu capacidad para seguir instrucciones detalladas y entregar un_x000a_producto de alta calidad es una habilidad muy valorada en la industria._x000a_¡Felicitaciones por un trabaj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17"/>
    <s v="Simon Gustavo"/>
    <s v="Restrepo Alvarez"/>
    <s v="simonreal@unisabana.edu.co"/>
    <x v="14"/>
    <d v="2026-02-25T00:00:00"/>
    <x v="4"/>
    <s v="Entregado"/>
    <s v="Retroalimentación de la Entrega: Examen Parcial 1 - Motor_x000a_Lógico &quot;FinVes&quot;  Estudiante: Restrepo Alvarez, Simon Gustavo Calificación Final: 4.8 / 5.0  Comentarios del Profesor: Has entregado un examen con una lógica de programación muy_x000a_sólida. Es grato ver que fuiste un paso más allá de lo enseñado en este primer_x000a_corte al implementar funciones (def) para modularizar tu código. Esto demuestra_x000a_curiosidad intelectual y una excelente capacidad de abstracción.  Puntos a destacar (Lo excelente): _x000a_ Autogestión_x000a_     (Pseudocódigo): Tu paso a paso en la celda de Markdown es claro,_x000a_     estructurado y refleja fielmente lo que programaste después. Cumpliste_x000a_     perfectamente con la regla de planear antes de codificar. _x000a_ Modularidad_x000a_     Avanzada: Separar la lógica en registrar_inversion() y mostrar_reporte()_x000a_     hace que tu menú principal (while True) quede sumamente limpio y fácil de_x000a_     leer. Esta es una práctica profesional excelente. _x000a_ Estructuras_x000a_     de Datos y Matemáticas: Implementaste correctamente el diccionario, la_x000a_     tupla y la lista. Además, los cálculos del ingreso pasivo mensual y el_x000a_     porcentaje de avance son matemáticamente exactos y están bien aplicados_x000a_     dentro del ciclo for.  Oportunidades de Mejora (Atención al Detalle): _x000a_El motivo por el cual no alcanzas la nota máxima (y el bono) se debe a detalles_x000a_específicos de la rúbrica en cuanto a presentación y seguridad: _x000a_ Documentación_x000a_     del Código: La rúbrica exigía explícitamente &quot;código documentado_x000a_     con # explicando cada bloque&quot;. Tu script en Python carece de_x000a_     comentarios internos. En el entorno profesional, documentar el código es_x000a_     vital para que otros desarrolladores entiendan tu lógica. _x000a_ Formato_x000a_     de Moneda (UX): Utilizaste :.2f para los decimales, lo cual está bien,_x000a_     pero la rúbrica pedía :,.2f para incluir los separadores de miles. En_x000a_     finanzas, leer $1000000.00 es mucho más difícil que leer $1,000,000.00. _x000a_ Bono_x000a_     de Seguridad: No implementaste el bloque try-except para capturar_x000a_     errores de digitación (por ejemplo, si el usuario escribe &quot;diez&quot;_x000a_     en lugar de &quot;10&quot; en el monto). Por este motivo, no aplicas para_x000a_     la unidad extra del parcial.  Motivación: _x000a_Tienes una intuición natural para la programación y la estructuración de_x000a_software. El uso de funciones demuestra que estás listo para temas más_x000a_avanzados. Si ajustas tu atención a los detalles de los requerimientos del_x000a_cliente (la rúbrica) y te acostumbras a documentar tu código, tus próximos_x000a_proyectos serán de nivel &quot;Senior&quot;. ¡Excelente trabaj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exacta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uso innovador de funciones (def) y_x000a_  decisiones lógicas precisas.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Ausencia de comentarios (#) en el código y falta del_x000a_  separador de miles (,) en los f-strings.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8 _x000a_  _x000a_ Diego Mauricio Zuluaga Rodríguez _x000a_Profesor - Departamento de Economía _x000a_Universidad de La Sabana"/>
    <n v="48"/>
    <n v="50"/>
    <n v="0.96"/>
  </r>
  <r>
    <x v="18"/>
    <s v="Daniel Felipe"/>
    <s v="Camacho Pedraza"/>
    <s v="danielcampe@unisabana.edu.co"/>
    <x v="14"/>
    <d v="2026-02-25T00:00:00"/>
    <x v="4"/>
    <s v="Entregado"/>
    <s v="Retroalimentación de la Entrega: Examen Parcial 1 - Motor_x000a_Lógico &quot;FinVes&quot;  Estudiante: Camacho Pedraza, Daniel Felipe Calificación Final: 4.5 / 5.0 (Incluye +1.0 de Bono por uso de try-except)  Comentarios del Profesor: Tu desempeño técnico en este parcial es sobresaliente._x000a_El código que has escrito no solo es funcional, sino que demuestra un nivel de_x000a_habilidad y atención al detalle en la presentación (UX) que va más allá de lo_x000a_esperado para este primer corte.  Puntos a destacar (Lo excelente): _x000a_ Robustez_x000a_     del Código (Bono +1.0): Implementaste try-except de manera impecable_x000a_     para validar las entradas numéricas, evitando que la aplicación colapse._x000a_     Además, la validación if activo_elegido not in activos_disponibles es una_x000a_     muestra de pensamiento lógico defensivo de alto nivel. _x000a_ Presentación_x000a_     Profesional (UX): El uso de f-strings con alineación (:&amp;lt;20, :&amp;gt;14)_x000a_     y el cálculo de la cantidad faltante para la meta financiera son detalles_x000a_     que transforman un script funcional en una herramienta útil y profesional. _x000a_ Lógica_x000a_     de Programación: El control de flujo con el menú while, el_x000a_     procesamiento con el ciclo for y las decisiones con if/else son perfectos.  Oportunidades de Mejora (Atención al Detalle y_x000a_Autogestión): _x000a_El motivo por el cual la nota no es superior a 5.0, a pesar de tu brillantez_x000a_técnica, se debe a dos fallos críticos en el seguimiento de instrucciones, que_x000a_es un pilar de la competencia de Autogestión: _x000a_ Ausencia_x000a_     del Pseudocódigo: La regla #3 del examen era explícita: &quot;DEBEN_x000a_     escribir el Pseudocódigo&quot; en una celda de Markdown antes del_x000a_     código. Omitir este paso, que valida el proceso de &quot;pensar antes de_x000a_     programar&quot;, anula por completo el puntaje del primer criterio de la_x000a_     rúbrica. _x000a_ Precisión_x000a_     en los Datos: La tupla activos_disponibles debía contener 4 mercados,_x000a_     pero omitiste &quot;S&amp;amp;P500&quot;. En el mundo financiero y de_x000a_     negocios, si un cliente te pide un reporte con 4 KPIs, entregar 3 es un_x000a_     error crítico. _x000a_ Bug_x000a_     Menor: Hubo un error de variable (NameError) en la creación del_x000a_     diccionario perfil_usuario al usar meta en lugar de meta_str, lo que_x000a_     indica que faltó una revisión final.  Motivación: _x000a_Tienes un talento natural para la programación y la lógica. Tu código es de los_x000a_mejores del curso. El siguiente paso en tu desarrollo profesional es combinar_x000a_ese talento técnico con una disciplina férrea para seguir los requerimientos de_x000a_un proyecto al pie de la letra. Si logras eso, tu potencial es ilimi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El pseudocódigo no fue entregado en la celda de Markdown. _x000a_  _x000a_  _x000a_  1.0 _x000a_  _x000a_  _x000a_  1.0 _x000a_  _x000a_ _x000a_ _x000a_  _x000a_  2. Estructuras de Datos _x000a_  _x000a_  _x000a_  Implementación correcta de Lista y Diccionario. La Tupla_x000a_  está incompleta. _x000a_  _x000a_  _x000a_  1.5 _x000a_  _x000a_  _x000a_  1.0 _x000a_  _x000a_ _x000a_ _x000a_  _x000a_  3. Control de Flujo _x000a_  _x000a_  _x000a_  Menú while y decisiones if/else implementados de forma_x000a_  impecable. _x000a_  _x000a_  _x000a_  1.0 _x000a_  _x000a_  _x000a_  1.0 _x000a_  _x000a_ _x000a_ _x000a_  _x000a_  4. Procesamiento _x000a_  _x000a_  _x000a_  Recorrido con for y cálculos matemáticos correctos. _x000a_  _x000a_  _x000a_  1.0 _x000a_  _x000a_  _x000a_  1.0 _x000a_  _x000a_ _x000a_ _x000a_  _x000a_  5. Presentación (UX) _x000a_  _x000a_  _x000a_  Uso de f-strings y comentarios excelente. Supera las_x000a_  expectativas. _x000a_  _x000a_  _x000a_  0.5 _x000a_  _x000a_  _x000a_  0.5 _x000a_  _x000a_ _x000a_ _x000a_  _x000a_  Bono de Seguridad _x000a_  _x000a_  _x000a_  Implementación de try-except para evitar ValueError.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19"/>
    <s v="Mateo"/>
    <s v="Perez Daza"/>
    <s v="mateopeda@unisabana.edu.co"/>
    <x v="14"/>
    <d v="2026-02-25T00:00:00"/>
    <x v="4"/>
    <s v="Entregado"/>
    <s v="Retroalimentación de la Entrega: Examen Parcial 1 - Motor_x000a_Lógico &quot;FinVes&quot;  Estudiante: Perez Daza, Mateo Calificación Final: 4.8 / 5.0  Comentarios del Profesor: Has entregado un examen con una lógica de programación muy_x000a_sólida. Es grato ver que fuiste un paso más allá de lo enseñado en este primer_x000a_corte al implementar funciones (def) para modularizar tu código. Esto demuestra_x000a_curiosidad intelectual y una excelente capacidad de abstracción.  Puntos a destacar (Lo excelente): _x000a_ Autogestión_x000a_     (Pseudocódigo): Tu paso a paso en la celda de Markdown es claro,_x000a_     estructurado y refleja fielmente lo que programaste después. Cumpliste_x000a_     perfectamente con la regla de planear antes de codificar. _x000a_ Modularidad_x000a_     Avanzada: Separar la lógica en registrar_inversion() y mostrar_reporte()_x000a_     hace que tu menú principal (while True) quede sumamente limpio y fácil de_x000a_     leer. Esta es una práctica profesional excelente. _x000a_ Estructuras_x000a_     de Datos y Matemáticas: Implementaste correctamente el diccionario, la_x000a_     tupla y la lista. Además, los cálculos del ingreso pasivo mensual y el_x000a_     porcentaje de avance son matemáticamente exactos y están bien aplicados_x000a_     dentro del ciclo for.  Oportunidades de Mejora (Atención al Detalle): _x000a_El motivo por el cual no alcanzas la nota máxima (y el bono) se debe a detalles_x000a_específicos de la rúbrica en cuanto a presentación y seguridad: _x000a_ Documentación_x000a_     del Código: La rúbrica exigía explícitamente &quot;código documentado_x000a_     con # explicando cada bloque&quot;. Tu script en Python carece de_x000a_     comentarios internos. En el entorno profesional, documentar el código es_x000a_     vital para que otros desarrolladores entiendan tu lógica. _x000a_ Formato_x000a_     de Moneda (UX): Utilizaste :.2f para los decimales, lo cual está bien,_x000a_     pero la rúbrica pedía :,.2f para incluir los separadores de miles. En_x000a_     finanzas, leer $1000000.00 es mucho más difícil que leer $1,000,000.00. _x000a_ Bono_x000a_     de Seguridad: No implementaste el bloque try-except para capturar_x000a_     errores de digitación (por ejemplo, si el usuario escribe &quot;diez&quot;_x000a_     en lugar de &quot;10&quot; en el monto). Por este motivo, no aplicas para_x000a_     la unidad extra del parcial.  Motivación: _x000a_Tienes una intuición natural para la programación y la estructuración de_x000a_software. El uso de funciones demuestra que estás listo para temas más_x000a_avanzados. Si ajustas tu atención a los detalles de los requerimientos del_x000a_cliente (la rúbrica) y te acostumbras a documentar tu código, tus próximos_x000a_proyectos serán de nivel &quot;Senior&quot;. ¡Excelente trabaj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exacta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uso innovador de funciones (def) y_x000a_  decisiones lógicas precisas.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Ausencia de comentarios (#) en el código y falta del_x000a_  separador de miles (,) en los f-strings.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8 _x000a_  _x000a_ Diego Mauricio Zuluaga Rodríguez _x000a_Profesor - Departamento de Economía _x000a_Universidad de La Sabana"/>
    <n v="48"/>
    <n v="50"/>
    <n v="0.96"/>
  </r>
  <r>
    <x v="20"/>
    <s v="Matias"/>
    <s v="Mondragon Osorio"/>
    <s v="matiasmoos@unisabana.edu.co"/>
    <x v="14"/>
    <d v="2026-02-25T00:00:00"/>
    <x v="4"/>
    <s v="Entregado"/>
    <s v="Retroalimentación de la Entrega: Examen Parcial 1 - Motor_x000a_Lógico &quot;FinVes&quot;  Estudiante: MONDRAGON OSORIO, MATIAS Calificación Final: 5.0 / 5.0 (+1.0 Unidad de Bono por uso de try-except)  Comentarios del Profesor: Has entregado un examen parcial impecable._x000a_Demostraste un dominio absoluto de todos los temas vistos durante el primer_x000a_corte y, lo más importante, probaste que tienes la lógica estructurada de una_x000a_verdadera analista y desarrolladora.  Puntos a destacar (Lo excelente): _x000a_ Autogestión_x000a_     y Sanity Check: Tu pseudocódigo en la celda de Markdown es detallado,_x000a_     claro y coincide paso a paso con la ejecución de tu código en Python._x000a_     Cumpliste a la perfección la regla de &quot;pensar antes de_x000a_     programar&quot;. _x000a_ Robustez_x000a_     del Código (Bono +1.0): Implementaste bloques try-except tanto en la_x000a_     configuración inicial del perfil como en el registro de inversiones. Esto_x000a_     demuestra que te pones en los zapatos del usuario y previenes que la_x000a_     aplicación colapse por un error de digitación. Excelente iniciativa. _x000a_ Estructuras_x000a_     de Datos: Manejaste a la perfección la combinación de Diccionarios_x000a_     (para el perfil y las inversiones individuales), Tuplas (para los activos_x000a_     fijos) y Listas (para el portafolio dinámico). _x000a_ Presentación_x000a_     (UX): El uso de f-strings con el formato :,.2f hace que tu aplicación_x000a_     se vea como un software financiero real. Además, los menús y mensajes en_x000a_     consola son muy limpios e intuitivos (noté en el registro de salida que_x000a_     hiciste pruebas exhaustivas, incluso usando &quot;Matias&quot; como_x000a_     usuario de prueba, lo cual es una excelente práctica de testeo).  Motivación: _x000a_Tienes una base técnica y lógica sumamente sólida. Si mantienes esta_x000a_disciplina, rigurosidad y atención al detalle, no solo te irá excelente en lo_x000a_que resta del semestre, sino que tendrás las herramientas necesarias para_x000a_liderar proyectos tecnológicos reales en tu vida profesional. ¡Felicitaciones_x000a_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21"/>
    <s v="Juan David"/>
    <s v="Neuta Medina"/>
    <s v="juanneme@unisabana.edu.co"/>
    <x v="14"/>
    <d v="2026-02-25T00:00:00"/>
    <x v="4"/>
    <s v="Entregado"/>
    <s v="Retroalimentación de la Entrega: Examen Parcial 1 - Motor_x000a_Lógico &quot;FinVes&quot;  Estudiante: Neuta Medina, Juan David Calificación Final: 5.0 / 5.0  Comentarios del Profesor: Tu examen es un ejemplo de excelencia técnica y_x000a_metodológica. Has demostrado un dominio completo de todos los conceptos del_x000a_primer corte y, lo que es más importante, una capacidad de autogestión y_x000a_pensamiento estructurado que es precisamente lo que buscamos en los_x000a_profesionales de la EICEA.  Puntos a destacar (Lo excelente): _x000a_ Autogestión_x000a_     y Lógica Impecable: Tu pseudocódigo en la celda de Markdown es de_x000a_     altísima calidad. Es detallado, sigue una estructura lógica profesional y_x000a_     se refleja perfectamente en tu código final. Cumpliste a cabalidad la_x000a_     regla de &quot;pensar antes de programar&quot;. _x000a_ Programación_x000a_     Defensiva: La validación if activo not in activos_disponibles: es una_x000a_     muestra de pensamiento computacional avanzado. No solo hiciste que el_x000a_     programa funcionara, sino que lo hiciste robusto, anticipándote a los_x000a_     errores del usuario. _x000a_ Presentación_x000a_     y UX Profesional: El uso de emojis, mensajes claros y una interfaz de_x000a_     consola bien organizada demuestra que piensas en el usuario final. Esto_x000a_     transforma un simple script en una aplicación amigable.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demostrado que no solo sabes programar, sino que sabes cómo construir una_x000a_solución completa y bien pensada. Esta habilidad para pasar de un problema de_x000a_negocio a un prototipo funcional es extremadamente valiosa en el mercado._x000a_¡Felicitaciones por un trabajo impecabl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ódigo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22"/>
    <s v="Laura Fernanda"/>
    <s v="Lopez Parra"/>
    <s v="lauraloppa@unisabana.edu.co"/>
    <x v="14"/>
    <d v="2026-02-25T00:00:00"/>
    <x v="4"/>
    <s v="Entregado"/>
    <s v="Retroalimentación de la Entrega: Examen Parcial 1 - Motor_x000a_Lógico &quot;FinVes&quot;  Estudiante: Lopez Parra, Laura Fernanda Calificación Final: 5.0 / 5.0  Comentarios del Profesor: Tu examen es un ejemplo de excelencia técnica y_x000a_metodológica. Has demostrado un dominio completo de todos los conceptos del_x000a_primer corte y, lo que es más importante, una capacidad de autogestión y_x000a_pensamiento estructurado que es precisamente lo que buscamos en los_x000a_profesionales de la EICEA.  Puntos a destacar (Lo excelente): _x000a_ Autogestión_x000a_     y Lógica Impecable: Tu pseudocódigo en la celda de Markdown es de_x000a_     altísima calidad. Es detallado, sigue una estructura lógica profesional y_x000a_     se refleja perfectamente en tu código final. Cumpliste a cabalidad la_x000a_     regla de &quot;pensar antes de programar&quot;. _x000a_ Programación_x000a_     Defensiva: La validación if activo not in activos_disponibles: es una_x000a_     muestra de pensamiento computacional avanzado. No solo hiciste que el_x000a_     programa funcionara, sino que lo hiciste robusto, anticipándote a los_x000a_     errores del usuario. _x000a_ Presentación_x000a_     y UX Profesional: El uso de emojis, mensajes claros y una interfaz de_x000a_     consola bien organizada demuestra que piensas en el usuario final. Esto_x000a_     transforma un simple script en una aplicación amigable.  Oportunidad de Mejora (El Siguiente Nivel): _x000a_Tu código es funcionalmente perfecto. El único paso que te faltó para obtener_x000a_el bono de seguridad fue implementar el bloque try-except para manejar los ValueError_x000a_(cuando un usuario ingresa texto en lugar de un número). Si hubieras añadido_x000a_esa capa de protección, tu programa sería &quot;a prueba de balas&quot;. Este_x000a_será uno de los temas que reforzaremos en el segundo corte.  Motivación: _x000a_Has demostrado que no solo sabes programar, sino que sabes cómo construir una_x000a_solución completa y bien pensada. Esta habilidad para pasar de un problema de_x000a_negocio a un prototipo funcional es extremadamente valiosa en el mercado._x000a_¡Felicitaciones por un trabajo impecabl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ódigo documentado y mensajes claros. _x000a_  _x000a_  _x000a_  0.5 _x000a_  _x000a_  _x000a_  0.5 _x000a_  _x000a_ _x000a_ _x000a_  _x000a_  Bono de Seguridad _x000a_  _x000a_  _x000a_  No implementado.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23"/>
    <s v="Lukas"/>
    <s v="Blanco Llanes"/>
    <s v="lukasblll@unisabana.edu.co"/>
    <x v="14"/>
    <d v="2026-02-25T00:00:00"/>
    <x v="4"/>
    <s v="Entregado"/>
    <s v="Retroalimentación del Examen Parcial - Corte 1: App_x000a_&quot;FinVes&quot;  Estudiante: Lukas Blanco Llanes Calificación Final: 55.0 / 50.0 (Nota registrada: 5.0 +_x000a_Bono acumulable).  Comentarios del Profesor: Lukas, has entregado un examen parcial excepcional. No solo_x000a_cumpliste con todos los requerimientos técnicos de la rúbrica, sino que fuiste_x000a_más allá, implementando lógica avanzada de limpieza de datos que demuestra un_x000a_nivel de seniority poco común en un primer corte.  Aspectos Sobresalientes (Excelencia Técnica): _x000a_ Ingeniería_x000a_     de Datos (Función leer_numero): Me impresionó gratamente tu función_x000a_     personalizada para limpiar la entrada de números. Manejar formatos_x000a_     complejos como 1.000.000,50 o 1,000,000.50 y convertirlos correctamente a float_x000a_     es un problema real en la industria financiera que resolviste con_x000a_     elegancia. Esto supera las expectativas del curso. _x000a_ Autogestión_x000a_     Impecable: Tu pseudocódigo en Markdown es detallado, estructurado y_x000a_     coincide al 100% con la lógica final. Es evidente que planeaste antes de_x000a_     ejecutar. _x000a_ Sanity_x000a_     Checks: Las validaciones de monto &amp;lt;= 0, tasa &amp;lt; 0 y la_x000a_     verificación de activos not in activos_disponibles blindan tu aplicación_x000a_     contra errores humanos. _x000a_ UX_x000a_     Financiera: El reporte final con el desglose por inversión y el_x000a_     cálculo de avance porcentual es claro y profesional.  Bono de GitHub: _x000a_Al haber entregado tu parcial mediante un repositorio de GitHub, sumas +5.0_x000a_puntos adicionales a tu nota (o al acumulado del corte), demostrando_x000a_competencia en gestión de versiones.  Conclusión: _x000a_Tienes un talento natural para la lógica de programación aplicada a negocios._x000a_Esa capacidad para anticipar cómo un usuario puede escribir mal un número (1.000.000_x000a_vs 1000000) es lo que diferencia a un programador promedio de uno excelente._x000a_¡Sigue así!  Rúbrica de Calificación Detallada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 con el_x000a_  código. _x000a_  _x000a_  _x000a_  10.0 _x000a_  _x000a_  _x000a_  10.0 _x000a_  _x000a_ _x000a_ _x000a_  _x000a_  2. Estructuras de Datos _x000a_  _x000a_  _x000a_  Implementación correcta de perfil_usuario (dict), activos_disponibles_x000a_  (tuple) y portafolio (list). _x000a_  _x000a_  _x000a_  15.0 _x000a_  _x000a_  _x000a_  15.0 _x000a_  _x000a_ _x000a_ _x000a_  _x000a_  3. Control de Flujo _x000a_  _x000a_  _x000a_  Menú while robusto, validaciones if/else y manejo de_x000a_  opciones inválidas. _x000a_  _x000a_  _x000a_  10.0 _x000a_  _x000a_  _x000a_  10.0 _x000a_  _x000a_ _x000a_ _x000a_  _x000a_  4. Procesamiento _x000a_  _x000a_  _x000a_  Cálculo preciso de ingresos pasivos, recorridos con for y_x000a_  lógica financiera correcta. _x000a_  _x000a_  _x000a_  10.0 _x000a_  _x000a_  _x000a_  10.0 _x000a_  _x000a_ _x000a_ _x000a_  _x000a_  5. Presentación (UX) _x000a_  _x000a_  _x000a_  Uso avanzado de f-strings y función propia para limpieza_x000a_  de formatos numéricos. _x000a_  _x000a_  _x000a_  5.0 _x000a_  _x000a_  _x000a_  5.0 _x000a_  _x000a_ _x000a_ _x000a_  _x000a_  Bono GitHub _x000a_  _x000a_  _x000a_  Entrega mediante repositorio de control de versiones. _x000a_  _x000a_  _x000a_  + 5.0 _x000a_  _x000a_  _x000a_  + 5.0 _x000a_  _x000a_ _x000a_ _x000a_  _x000a_  TOTAL _x000a_  _x000a_  _x000a_  _x000a_  50.0 _x000a_  _x000a_  _x000a_  65.0 _x000a_  _x000a_ Diego Mauricio Zuluaga Rodríguez _x000a_Profesor - Departamento de Economía _x000a_Universidad de La Sabana"/>
    <n v="65"/>
    <n v="50"/>
    <n v="1.3"/>
  </r>
  <r>
    <x v="24"/>
    <s v="Juan Sebastian"/>
    <s v="Salas Hinojosa"/>
    <s v="juansahi@unisabana.edu.co"/>
    <x v="14"/>
    <d v="2026-02-25T00:00:00"/>
    <x v="4"/>
    <s v="Entregado"/>
    <s v="Retroalimentación de la Entrega: Examen Parcial 1 - Motor_x000a_Lógico &quot;FinVes&quot;  Estudiante: SALAS HINOJOSA, JUAN SEBASTIAN Calificación Final: 6.0 / 5.0 (5.0 Base + 1.0 Bono por excelencia_x000a_técnica)  Comentarios del Profesor: Tu examen no solo es correcto, es excepcional. Has ido_x000a_más allá de los requerimientos del parcial y has entregado una solución que_x000a_demuestra la mentalidad de un desarrollador senior: no solo resuelves el_x000a_problema, lo anticipas.  Puntos a destacar (Lo sobresaliente): _x000a_ Autogestión_x000a_     y Diseño Lógico: Tu pseudocódigo es una obra de arte. Es tan detallado_x000a_     que incluso incluye una sección de &quot;Criterios de cumplimiento de la_x000a_     rúbrica&quot;. Esto demuestra un nivel de autogestión y planeación que_x000a_     excede por completo las expectativas del curso. _x000a_ Ingeniería_x000a_     de Software (Función leer_numero): La creación de la función leer_numero_x000a_     es la marca de un programador que piensa en la reutilización y la_x000a_     robustez. Esta función no solo usa try-except (lo que te otorga el bono de_x000a_     +1.0), sino que resuelve un problema real y complejo del contexto_x000a_     colombiano: la ambigüedad entre el punto y la coma como separadores_x000a_     decimales y de miles. Esto es pensamiento de ingeniería aplicado a un_x000a_     problema de negocio. _x000a_ Dominio_x000a_     Técnico Integral: Has implementado a la perfección todas las_x000a_     estructuras de datos (Listas, Tuplas, Diccionarios) y de control (while, for,_x000a_     if/else). La forma en que guardas cada inversión como un diccionario_x000a_     dentro de la lista portafolio es la práctica estándar en la industria. _x000a_ Experiencia_x000a_     de Usuario (UX): Tu programa es &quot;a prueba de balas&quot;. Valida_x000a_     que la meta sea positiva, que el activo exista en la tupla, que los montos_x000a_     no sean negativos y que el usuario no pueda romper el programa con_x000a_     entradas inválidas.  Motivación: _x000a_Este es el tipo de trabajo que se presenta en un portafolio para conseguir un_x000a_rol en una FinTech. Tienes una base lógica y técnica extremadamente sólida. Si_x000a_continúas con esta disciplina y curiosidad por resolver problemas de forma_x000a_elegante y robusta, tienes un futuro muy prometedor en el mundo de la_x000a_tecnología y los datos. ¡Felicitaciones por un desempeñ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 nivel superior, detallado y perfectamente_x000a_  alineado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Menú while robusto, con validaciones de entrada y_x000a_  decisiones if/else precisas. _x000a_  _x000a_  _x000a_  1.0 _x000a_  _x000a_  _x000a_  1.0 _x000a_  _x000a_ _x000a_ _x000a_  _x000a_  4. Procesamiento _x000a_  _x000a_  _x000a_  Recorrido con for, cálculos matemáticos correctos y_x000a_  casting manejado de forma avanzada. _x000a_  _x000a_  _x000a_  1.0 _x000a_  _x000a_  _x000a_  1.0 _x000a_  _x000a_ _x000a_ _x000a_  _x000a_  5. Presentación (UX) _x000a_  _x000a_  _x000a_  Uso de f-strings con formato, código limpio y mensajes_x000a_  claros. _x000a_  _x000a_  _x000a_  0.5 _x000a_  _x000a_  _x000a_  0.5 _x000a_  _x000a_ _x000a_ _x000a_  _x000a_  Bono de Excelencia _x000a_  _x000a_  _x000a_  Creación de función reutilizable (leer_numero) con try-except_x000a_  y lógica avanzada de validación.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25"/>
    <s v="Avril Avril"/>
    <s v="Ariza Quitian"/>
    <s v="avrilarqu@unisabana.edu.co"/>
    <x v="14"/>
    <d v="2026-02-25T00:00:00"/>
    <x v="4"/>
    <s v="Entregado"/>
    <s v="Retroalimentación de la Entrega: Examen Parcial 1 - Motor_x000a_Lógico &quot;FinVes&quot;  Estudiante: ARIZA QUITIAN, AVRIL Calificación Final: 5.0 / 5.0 (Nota Base: 4.5/5.0 + 1.0 Unidad de Bono por uso avanzado de try-except. La_x000a_nota máxima del sistema es 5.0).  Comentarios del Profesor: Avril, has entregado un examen parcial con un nivel técnico_x000a_sobresaliente. Has demostrado un dominio muy sólido de las estructuras de_x000a_control y de la prevención de errores, lo cual es vital para cualquier_x000a_aplicación financiera real.  Puntos a destacar (Lo excelente): _x000a_ Robustez_x000a_     y Seguridad (Bono +1.0): Tu implementación de los bloques try-except_x000a_     fue excepcional. No solo validaste la entrada de la meta financiera, sino_x000a_     que creaste un sistema de selección de activos por índice numérico (enumerate)_x000a_     validando que el usuario no ingresara opciones fuera de rango. Esto es_x000a_     pensar como una verdadera desarrolladora. _x000a_ Autogestión:_x000a_     El pseudocódigo está perfectamente estructurado y refleja paso a paso lo_x000a_     que programaste después. Cumpliste la regla de oro: pensar antes de_x000a_     codificar. _x000a_ Estructuras_x000a_     de Datos: Manipulaste correctamente el Diccionario para el perfil, la_x000a_     Tupla para los activos y la Lista de diccionarios para el portafolio. _x000a_ Presentación_x000a_     (UX): El uso de f-strings con separadores de miles (:,.2f) y la_x000a_     limpieza de los menús hacen que tu código sea muy agradable para el_x000a_     usuario final.  Oportunidad de Mejora (Atención al Detalle /_x000a_Requerimientos del Cliente): _x000a_ El_x000a_     Cálculo del Avance: En el Paso 4, el requerimiento exigía_x000a_     explícitamente calcular el porcentaje de avance (Ingreso Pasivo /_x000a_     Meta) * 100 e imprimir el mensaje &quot;Te falta un camino por_x000a_     recorrer. Tu avance es del X.XX%.&quot;. En tu código, calculaste el valor_x000a_     faltante absoluto (la resta). _x000a_ Lección_x000a_     de Negocios: Aunque tu cálculo matemático es correcto y útil, en el_x000a_     mundo real, si un cliente o gerente te pide un KPI en porcentaje, entregar_x000a_     un valor absoluto se considera un fallo en el levantamiento de requisitos._x000a_     Por este detalle tu nota base fue de 4.5, pero gracias a tu excelente_x000a_     trabajo extra con las validaciones (try-except), recuperaste el puntaje y_x000a_     lograste el 5.0 perfecto.  Motivación: _x000a_Tienes una lógica de programación excelente y construyes código muy seguro._x000a_Sigue cultivando esa atención a la prevención de errores, ajustando un poco más_x000a_la lectura estricta de los requerimientos, y serás una profesional imparable en_x000a_el análisis de datos y la tecnología. ¡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y cálculo de ingresos pasivos. (Penalización_x000a_  de -0.5 por no calcular el porcentaje de avance solicitado). _x000a_  _x000a_  _x000a_  1.0 _x000a_  _x000a_  _x000a_  0.5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avanzada de try-except para evitar cierres_x000a_  abruptos en múltiples inputs.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26"/>
    <s v="Samuel David"/>
    <s v="Simancas Contreras"/>
    <s v="samuelsico@unisabana.edu.co"/>
    <x v="14"/>
    <d v="2026-02-25T00:00:00"/>
    <x v="4"/>
    <s v="Entregado"/>
    <s v="Retroalimentación de la Entrega: Examen Parcial 1 - Motor_x000a_Lógico &quot;FinVes&quot;  Estudiante: Simancas Contreras, Samuel David Calificación Final: 4.5 / 5.0 (Incluye +1.0 de Bono por uso de try-except)  Comentarios del Profesor: Tu desempeño técnico en este parcial es sobresaliente._x000a_El código que has escrito no solo es funcional, sino que demuestra un nivel de_x000a_habilidad y atención al detalle en la presentación (UX) que va más allá de lo_x000a_esperado para este primer corte.  Puntos a destacar (Lo excelente): _x000a_ Robustez_x000a_     del Código (Bono +1.0): Implementaste try-except de manera impecable_x000a_     para validar las entradas numéricas, evitando que la aplicación colapse._x000a_     Además, la validación if activo_elegido not in activos_disponibles es una_x000a_     muestra de pensamiento lógico defensivo de alto nivel. _x000a_ Presentación_x000a_     Profesional (UX): El uso de f-strings con alineación (:&amp;lt;20, :&amp;gt;14)_x000a_     y el cálculo de la cantidad faltante para la meta financiera son detalles_x000a_     que transforman un script funcional en una herramienta útil y profesional. _x000a_ Lógica_x000a_     de Programación: El control de flujo con el menú while, el_x000a_     procesamiento con el ciclo for y las decisiones con if/else son perfectos.  Oportunidades de Mejora (Atención al Detalle y_x000a_Autogestión): _x000a_El motivo por el cual la nota no es superior a 5.0, a pesar de tu brillantez_x000a_técnica, se debe a dos fallos críticos en el seguimiento de instrucciones, que_x000a_es un pilar de la competencia de Autogestión: _x000a_ Ausencia_x000a_     del Pseudocódigo: La regla #3 del examen era explícita: &quot;DEBEN_x000a_     escribir el Pseudocódigo&quot; en una celda de Markdown antes del_x000a_     código. Omitir este paso, que valida el proceso de &quot;pensar antes de_x000a_     programar&quot;, anula por completo el puntaje del primer criterio de la_x000a_     rúbrica. _x000a_ Precisión_x000a_     en los Datos: La tupla activos_disponibles debía contener 4 mercados,_x000a_     pero omitiste &quot;S&amp;amp;P500&quot;. En el mundo financiero y de_x000a_     negocios, si un cliente te pide un reporte con 4 KPIs, entregar 3 es un_x000a_     error crítico. _x000a_ Bug_x000a_     Menor: Hubo un error de variable (NameError) en la creación del_x000a_     diccionario perfil_usuario al usar meta en lugar de meta_str, lo que_x000a_     indica que faltó una revisión final.  Motivación: _x000a_Tienes un talento natural para la programación y la lógica. Tu código es de los_x000a_mejores del curso. El siguiente paso en tu desarrollo profesional es combinar_x000a_ese talento técnico con una disciplina férrea para seguir los requerimientos de_x000a_un proyecto al pie de la letra. Si logras eso, tu potencial es ilimi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El pseudocódigo no fue entregado en la celda de Markdown. _x000a_  _x000a_  _x000a_  1.0 _x000a_  _x000a_  _x000a_  1.0 _x000a_  _x000a_ _x000a_ _x000a_  _x000a_  2. Estructuras de Datos _x000a_  _x000a_  _x000a_  Implementación correcta de Lista y Diccionario. La Tupla_x000a_  está incompleta. _x000a_  _x000a_  _x000a_  1.5 _x000a_  _x000a_  _x000a_  1.0 _x000a_  _x000a_ _x000a_ _x000a_  _x000a_  3. Control de Flujo _x000a_  _x000a_  _x000a_  Menú while y decisiones if/else implementados de forma_x000a_  impecable. _x000a_  _x000a_  _x000a_  1.0 _x000a_  _x000a_  _x000a_  1.0 _x000a_  _x000a_ _x000a_ _x000a_  _x000a_  4. Procesamiento _x000a_  _x000a_  _x000a_  Recorrido con for y cálculos matemáticos correctos. _x000a_  _x000a_  _x000a_  1.0 _x000a_  _x000a_  _x000a_  1.0 _x000a_  _x000a_ _x000a_ _x000a_  _x000a_  5. Presentación (UX) _x000a_  _x000a_  _x000a_  Uso de f-strings y comentarios excelente. Supera las_x000a_  expectativas. _x000a_  _x000a_  _x000a_  0.5 _x000a_  _x000a_  _x000a_  0.5 _x000a_  _x000a_ _x000a_ _x000a_  _x000a_  Bono de Seguridad _x000a_  _x000a_  _x000a_  Implementación de try-except para evitar ValueError.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27"/>
    <s v="Maria Jose"/>
    <s v="Huertas Osorio"/>
    <s v="mariahueos@unisabana.edu.co"/>
    <x v="14"/>
    <d v="2026-02-25T00:00:00"/>
    <x v="4"/>
    <s v="Entregado"/>
    <s v="Retroalimentación de la Entrega: Examen Parcial 1 - Motor_x000a_Lógico &quot;FinVes&quot;  Estudiante: Alessandro Bonilla Calificación Final: 4.5 / 5.0  Comentarios del Profesor: Alessandro, tu examen demuestra un nivel de pensamiento_x000a_lógico y estructurado excepcional. La forma en que desglosaste el problema en_x000a_el pseudocódigo y el diagrama de flujo es exactamente lo que se espera de un_x000a_analista que domina la autogestión.  Puntos a destacar (Lo excelente): _x000a_ Autogestión_x000a_     y Diseño: Tu pseudocódigo no es solo una lista de pasos, es una_x000a_     narración técnica del flujo del programa. Junto con el diagrama de flujo,_x000a_     demuestras una comprensión profunda del problema antes de escribir una_x000a_     sola línea de código. Este es el pilar de un buen desarrollador. _x000a_ Lógica_x000a_     de Programación: Tu código es limpio, sigue todos los requerimientos y_x000a_     la lógica es impecable. El uso combinado de diccionarios, tuplas y listas_x000a_     es perfecto. Mención especial a la validación if activo_seleccionado not_x000a_     in activos_disponibles:, una iniciativa que añade robustez al programa y_x000a_     demuestra que piensas en los posibles errores del usuario.  Oportunidad de Mejora (El punto crítico): _x000a_ Funcionalidad_x000a_     y Entorno: El único factor que impidió una calificación perfecta fue_x000a_     que el código no es ejecutable. El error ipykernel package que se muestra_x000a_     en la salida indica que el entorno de tu Jupyter Notebook no estaba_x000a_     correctamente configurado para correr el código. En el mundo profesional,_x000a_     un código que no corre, sin importar cuán perfecto sea en teoría, no es un_x000a_     entregable funcional. Es una lección crucial: un programador de élite no_x000a_     solo escribe código correcto, sino que se asegura de que sea ejecutable_x000a_     y reproducible. _x000a_ Bono_x000a_     de Seguridad: No implementaste el bloque try-except, por lo que no_x000a_     aplicas al bono de +1.0 unidad. Si lo hubieras hecho, tu programa habría_x000a_     sido aún más robusto.  Motivación: _x000a_La buena noticia es que tu error no fue de lógica, sino de configuración de_x000a_entorno, algo que se aprende y se corrige con la práctica. Tu capacidad para_x000a_diseñar y estructurar soluciones es de primer nivel. Si a esa habilidad le_x000a_sumas la disciplina de probar y asegurar que tus entregables funcionen siempre,_x000a_estarás más que preparado para cualquier reto técnico en tu carrera. ¡Sigue_x000a_trabajando en esa lógica bril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y Diagrama de Flujo detallados y_x000a_  perfectamente alineados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La lógica del menú while y las decisiones if/elif/else es_x000a_  perfecta, pero el programa no es funcional (error de ipykernel). _x000a_  _x000a_  _x000a_  1.0 _x000a_  _x000a_  _x000a_  0.5 _x000a_  _x000a_ _x000a_ _x000a_  _x000a_  4. Procesamiento _x000a_  _x000a_  _x000a_  El ciclo for y los cálculos matemáticos son lógicamente_x000a_  correctos. _x000a_  _x000a_  _x000a_  1.0 _x000a_  _x000a_  _x000a_  1.0 _x000a_  _x000a_ _x000a_ _x000a_  _x000a_  5. Presentación (UX) _x000a_  _x000a_  _x000a_  Uso de f-strings, código documentado y mensajes claros_x000a_  para el usuario. _x000a_  _x000a_  _x000a_  0.5 _x000a_  _x000a_  _x000a_  0.5 _x000a_  _x000a_ _x000a_ _x000a_  _x000a_  Bono de Seguridad _x000a_  _x000a_  _x000a_  No se implementó el bloque try-except. _x000a_  _x000a_  _x000a_  + 1.0 _x000a_  _x000a_  _x000a_  + 0.0 _x000a_  _x000a_ _x000a_ _x000a_  _x000a_  TOTAL _x000a_  _x000a_  _x000a_  _x000a_  5.0 _x000a_  _x000a_  _x000a_  4.5 _x000a_  _x000a_ Diego Mauricio Zuluaga Rodríguez _x000a_Profesor - Departamento de Economía _x000a_Universidad de La Sabana"/>
    <n v="45"/>
    <n v="50"/>
    <n v="0.9"/>
  </r>
  <r>
    <x v="28"/>
    <s v="Juan Camilo"/>
    <s v="Leyton Lancheros"/>
    <s v="juanleyla@unisabana.edu.co"/>
    <x v="14"/>
    <d v="2026-02-25T00:00:00"/>
    <x v="4"/>
    <s v="Entregado"/>
    <s v="Retroalimentación de la Entrega: Examen Parcial 1 - Motor_x000a_Lógico &quot;FinVes&quot;  Estudiante: LEYTON LANCHEROS, JUAN CAMILO Calificación Final: 5.0 / 5.0 (Nota Desglosada: 4.0 Base + 1.0 Bono por Robustez Técnica. La ausencia del_x000a_Pseudocódigo anuló el punto de Lógica, pero el Bono compensó la nota final).  Comentarios del Profesor: Técnicamente has entregado uno de los códigos más_x000a_robustos de la clase. Tu implementación en Python demuestra un dominio sólido_x000a_de la sintaxis y una excelente capacidad para validar datos (evitando que el_x000a_programa colapse). Sin embargo, hay un punto crítico de Autogestión que_x000a_omitiste y que casi te cuesta la nota perfecta.  Puntos a destacar (Lo excelente): _x000a_ Robustez_x000a_     y Seguridad (Bono +1.0): Implementaste bloques try-except y_x000a_     validaciones while True para asegurar que los datos ingresados (meta,_x000a_     monto, tasa) sean correctos. Esto protege al sistema de errores de usuario_x000a_     (ValueError) y cumple con el criterio para el bono extra. ¡Excelente_x000a_     trabajo blindando el código! _x000a_ Lógica_x000a_     de Negocio: La fórmula de libertad financiera y el cálculo de ingresos_x000a_     pasivos son matemáticamente correctos. _x000a_ Presentación:_x000a_     El uso de f-strings con separadores de miles (:,.2f) facilita la lectura_x000a_     de los datos financieros.  Oportunidad de Mejora (Atención a la Autogestión): _x000a_ Ausencia_x000a_     de Pseudocódigo: El enunciado era explícito: &quot;Antes de_x000a_     escribir una sola línea de código... DEBEN escribir el Pseudocódigo&quot;._x000a_     Tu celda de Markdown solo tiene tu nombre. En este parcial, el Bono de_x000a_     Seguridad salvó tu nota, cubriendo el punto perdido por Lógica y_x000a_     Diseño. En futuros entregables, la planeación escrita es obligatoria y no_x000a_     negociable. _x000a_ Tip_x000a_     Técnico: Usaste portafolio = portafolio + [inversion]. Aunque funciona_x000a_     (concatenación de listas), la forma estándar y más eficiente en memoria en_x000a_     Python es usar el método .append(inversion).  Motivación: _x000a_Tienes una habilidad técnica muy fuerte. Si logras combinar esa capacidad de_x000a_programación con la disciplina de documentar tu lógica previamente_x000a_(Pseudocódigo), serás un desarrollador/analista excepcional. ¡Sigue así, pero_x000a_no descuides las instrucciones de autogestión!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faltante. No se presentó la planeación_x000a_  lógica en Markdown requerida. _x000a_  _x000a_  _x000a_  1.0 _x000a_  _x000a_  _x000a_  0.0 _x000a_  _x000a_ _x000a_ _x000a_  _x000a_  2. Estructuras de Datos _x000a_  _x000a_  _x000a_  Uso correcto de Diccionarios, Tuplas y Listas anidadas. _x000a_  _x000a_  _x000a_  1.5 _x000a_  _x000a_  _x000a_  1.5 _x000a_  _x000a_ _x000a_ _x000a_  _x000a_  3. Control de Flujo _x000a_  _x000a_  _x000a_  Menú interactivo funcional con opciones de salida y_x000a_  validación correcta. _x000a_  _x000a_  _x000a_  1.0 _x000a_  _x000a_  _x000a_  1.0 _x000a_  _x000a_ _x000a_ _x000a_  _x000a_  4. Procesamiento _x000a_  _x000a_  _x000a_  Cálculos matemáticos precisos e iteración correcta de la_x000a_  lista. _x000a_  _x000a_  _x000a_  1.0 _x000a_  _x000a_  _x000a_  1.0 _x000a_  _x000a_ _x000a_ _x000a_  _x000a_  5. Presentación (UX) _x000a_  _x000a_  _x000a_  Formato de moneda legible y mensajes claros al usuario. _x000a_  _x000a_  _x000a_  0.5 _x000a_  _x000a_  _x000a_  0.5 _x000a_  _x000a_ _x000a_ _x000a_  _x000a_  Bono de Seguridad _x000a_  _x000a_  _x000a_  Implementación efectiva de try-except y validaciones de_x000a_  entrada. _x000a_  _x000a_  _x000a_  + 1.0 _x000a_  _x000a_  _x000a_  + 1.0 _x000a_  _x000a_ _x000a_ _x000a_  _x000a_  TOTAL _x000a_  _x000a_  _x000a_  _x000a_  5.0 _x000a_  _x000a_  _x000a_  5.0 _x000a_  _x000a_ Diego Mauricio Zuluaga Rodríguez _x000a_Profesor - Departamento de Economía _x000a_Universidad de La Sabana"/>
    <n v="50"/>
    <n v="50"/>
    <n v="1"/>
  </r>
  <r>
    <x v="29"/>
    <s v="Samuel Mathias"/>
    <s v="Gonzalez Bernal"/>
    <s v="samuelgonbe@unisabana.edu.co"/>
    <x v="14"/>
    <d v="2026-02-25T00:00:00"/>
    <x v="4"/>
    <s v="Entregado"/>
    <s v="Retroalimentación de la Entrega: Examen Parcial 1 - Motor_x000a_Lógico &quot;FinVes&quot;  Estudiante: Samuel Mathias González Bernal Calificación Final: 4.3 / 5.0  Comentarios del Profesor: Has entregado un parcial con una estructura muy interesante_x000a_y con destellos de programación avanzada. Se nota que comprendes la sintaxis de_x000a_Python y te sientes cómodo explorando formas eficientes de resolver problemas.  Puntos a destacar (Lo excelente): _x000a_ Autogestión_x000a_     (Pseudocódigo): Cumpliste a la perfección con la regla de escribir el_x000a_     pseudocódigo antes de programar. Tu paso a paso es lógico, estructurado y_x000a_     fácil de leer. _x000a_ Estructuras_x000a_     de Datos: Implementaste correctamente el diccionario, la tupla y la_x000a_     lista. Validar si el activo ingresado existe dentro de la tupla (if activo_x000a_     in activos_disponibles:) es una excelente práctica de validación de datos. _x000a_ Código_x000a_     Avanzado (&quot;Pythónico&quot;): El uso de la función sum() combinada_x000a_     con un generador en una sola línea (sum(inversion[&quot;monto&quot;] * ..._x000a_     for inversion in portafolio)) para calcular el rendimiento total demuestra_x000a_     un nivel de abstracción superior al promedio. ¡Muy bien hecho! _x000a_ Presentación_x000a_     Visual (UX): El uso de f-strings con separadores de miles y decimales_x000a_     (:,.2f) hace que la salida en consola sea muy profesional y fácil de leer_x000a_     para un usuario financiero.  Oportunidades de Mejora (Atención al Detalle): _x000a_El motivo por el cual no alcanzas la nota máxima se debe a tres detalles_x000a_específicos en el seguimiento de instrucciones y la lógica de procesamiento: _x000a_ Bug_x000a_     Lógico (Duplicidad de Datos): En la Opción 1, estás agregando la misma_x000a_     inversión dos veces a la lista portafolio. Primero haces un .append()_x000a_     parcial, luego le agregas la tasa, y unas líneas más abajo creas el_x000a_     diccionario datos_inversion y le haces .append() de nuevo. Si revisas tu_x000a_     propia consola de salida, verás que &quot;Bonos del Estado&quot; aparece_x000a_     duplicado y el ingreso pasivo se calcula por el doble del valor real. _x000a_ Requerimiento_x000a_     Omitido (Porcentaje): La rúbrica exigía explícitamente calcular el_x000a_     porcentaje de avance (Ingreso Pasivo / Meta) * 100 e imprimir el mensaje &quot;Te_x000a_     falta un camino por recorrer. Tu avance es del X.XX%.&quot;. Omitiste_x000a_     este cálculo matemático y el mensaje solicitado. _x000a_ Documentación_x000a_     del Código: La rúbrica pedía &quot;código documentado con # explicando_x000a_     cada bloque&quot;. Tu script carece por completo de comentarios internos._x000a_     En el entorno profesional, documentar el código es vital para el trabajo_x000a_     en equipo. _x000a_ Bono_x000a_     de Seguridad: No implementaste el bloque try-except para capturar_x000a_     errores de digitación (ValueError), por lo que no aplicas para la unidad_x000a_     extra.  Motivación: _x000a_Tienes una lógica de programación muy ágil y utilizas herramientas avanzadas de_x000a_Python de forma natural. Tu reto ahora es la auditoría de tu propio código_x000a_(Sanity Check). Revisa siempre las salidas de tu consola para detectar bugs_x000a_(como la duplicidad) y lee los requerimientos del cliente línea por línea. Si_x000a_ajustas ese nivel de atención al detalle, tus próximos proyectos serán_x000a_perfectos. ¡Sigue ade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y decisiones lógicas precisas con if/elif/else. _x000a_  _x000a_  _x000a_  1.0 _x000a_  _x000a_  _x000a_  1.0 _x000a_  _x000a_ _x000a_ _x000a_  _x000a_  4. Procesamiento _x000a_  _x000a_  _x000a_  Penalización por duplicidad de datos en el .append() y por_x000a_  omitir el cálculo del porcentaje de avance exigido. _x000a_  _x000a_  _x000a_  1.0 _x000a_  _x000a_  _x000a_  0.5 _x000a_  _x000a_ _x000a_ _x000a_  _x000a_  5. Presentación (UX) _x000a_  _x000a_  _x000a_  Excelente uso de f-strings, pero ausencia total de_x000a_  comentarios (#) en el código.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3 _x000a_  _x000a_ Diego Mauricio Zuluaga Rodríguez _x000a_Profesor - Departamento de Economía _x000a_Universidad de La Sabana"/>
    <n v="43"/>
    <n v="50"/>
    <n v="0.86"/>
  </r>
  <r>
    <x v="30"/>
    <s v="Valeria"/>
    <s v="Morales"/>
    <s v="valeriamor@unisabana.edu.co"/>
    <x v="14"/>
    <d v="2026-02-25T00:00:00"/>
    <x v="4"/>
    <s v="Entregado"/>
    <s v="Retroalimentación de la Entrega: Examen Parcial 1 - Motor_x000a_Lógico &quot;FinVes&quot;  Estudiante: MORALES , VALERIA Calificación Final: 5.0 / 5.0  Comentarios del Profesor: Excelente trabajo. Has entregado un examen parcial_x000a_muy sólido y estructurado. Demostraste un dominio claro de los fundamentos de_x000a_Python y cumpliste a cabalidad con los requerimientos lógicos del caso de_x000a_negocio &quot;FinVes&quot;.  Puntos a destacar (Lo excelente): _x000a_ Autogestión_x000a_     y Lógica: Tu pseudocódigo es uno de los más ordenados que he revisado._x000a_     El sistema de numeración (1.0, 1.1, 2.0...) refleja una mente analítica y_x000a_     estructurada. Lo más importante: el código en Python es un espejo exacto_x000a_     de tu planeación. _x000a_ Estructuras_x000a_     de Datos: Declaraste e implementaste a la perfección el Diccionario_x000a_     para el perfil, la Tupla para los activos fijos y la Lista para el_x000a_     portafolio dinámico. _x000a_ Procesamiento_x000a_     Matemático: El cálculo del ingreso pasivo mensual (inv[&quot;monto&quot;]_x000a_     * (inv[&quot;tasa&quot;] / 100)) / 12 y el acumulador dentro del ciclo for_x000a_     están impecables. Entendiste perfectamente la lógica financiera detrás del_x000a_     algoritmo.  Oportunidades de Mejora (Sanity Check y UX): _x000a_ Manejo_x000a_     de Errores (El Bono perdido): El parcial ofrecía hasta +1.0 unidad_x000a_     extra por implementar bloques try-except. En tu código, si el usuario_x000a_     digita la letra &quot;A&quot; cuando pides la opción del menú (int(input(...)))_x000a_     o el monto a invertir, el programa colapsará inmediatamente con un ValueError._x000a_     En el mundo real, los usuarios cometen errores de digitación; siempre_x000a_     debemos blindar nuestras aplicaciones. _x000a_ Experiencia_x000a_     de Usuario (UX): Aunque calculaste el ingreso_pasivo_total_x000a_     correctamente y mostraste el porcentaje de avance con formato :,2f,_x000a_     omitiste imprimirle al usuario cuánto dinero exacto está generando_x000a_     mensualmente. En una App financiera, ver el monto en pesos es el mayor_x000a_     incentivo para el cliente.  Motivación: _x000a_Tienes una excelente capacidad de abstracción y lógica de programación. Posees_x000a_las bases técnicas necesarias para modelar problemas complejos del mundo de los_x000a_negocios. Sigue cultivando este nivel de orden y disciplina en los próximos_x000a_cortes. ¡Felicitaciones por este gran resul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de try-except para evitar cierres abruptos_x000a_  por errores de formato (ValueError). _x000a_  _x000a_  _x000a_  + 1.0 _x000a_  _x000a_  _x000a_  + 0.0 _x000a_  _x000a_ _x000a_ _x000a_  _x000a_  TOTAL _x000a_  _x000a_  _x000a_  _x000a_  5.0 _x000a_  _x000a_  _x000a_  5.0 _x000a_  _x000a_ Diego Mauricio Zuluaga Rodríguez _x000a_Profesor - Departamento de Economía _x000a_Universidad de La Sabana"/>
    <n v="50"/>
    <n v="50"/>
    <n v="1"/>
  </r>
  <r>
    <x v="31"/>
    <s v="Samantha"/>
    <s v="Vanegas Russi"/>
    <s v="samanthavaru@unisabana.edu.co"/>
    <x v="14"/>
    <d v="2026-02-25T00:00:00"/>
    <x v="4"/>
    <s v="Entregado"/>
    <s v="Retroalimentación de la Entrega: Examen Parcial 1 - Motor_x000a_Lógico &quot;FinVes&quot;  Estudiante: VANEGAS RUSSI, SAMANTHA Calificación Final: 5.0 / 5.0 (Nota Base: 4.5/5.0 + 1.0 Unidad de Bono por uso avanzado de try-except. La_x000a_nota máxima del sistema es 5.0).  Comentarios del Profesor: Has entregado un examen parcial con un nivel técnico_x000a_sobresaliente. Has demostrado un dominio muy sólido de las estructuras de_x000a_control y de la prevención de errores, lo cual es vital para cualquier_x000a_aplicación financiera real.  Puntos a destacar (Lo excelente): _x000a_ Robustez_x000a_     y Seguridad (Bono +1.0): Tu implementación de los bloques try-except_x000a_     fue excepcional. No solo validaste la entrada de la meta financiera, sino_x000a_     que creaste un sistema de selección de activos por índice numérico (enumerate)_x000a_     validando que el usuario no ingresara opciones fuera de rango. Esto es_x000a_     pensar como una verdadera desarrolladora. _x000a_ Autogestión:_x000a_     El pseudocódigo está perfectamente estructurado y refleja paso a paso lo_x000a_     que programaste después. Cumpliste la regla de oro: pensar antes de_x000a_     codificar. _x000a_ Estructuras_x000a_     de Datos: Manipulaste correctamente el Diccionario para el perfil, la_x000a_     Tupla para los activos y la Lista de diccionarios para el portafolio. _x000a_ Presentación_x000a_     (UX): El uso de f-strings con separadores de miles (:,.2f) y la_x000a_     limpieza de los menús hacen que tu código sea muy agradable para el_x000a_     usuario final.  Oportunidad de Mejora (Atención al Detalle /_x000a_Requerimientos del Cliente): _x000a_ El_x000a_     Cálculo del Avance: En el Paso 4, el requerimiento exigía_x000a_     explícitamente calcular el porcentaje de avance (Ingreso Pasivo /_x000a_     Meta) * 100 e imprimir el mensaje &quot;Te falta un camino por_x000a_     recorrer. Tu avance es del X.XX%.&quot;. En tu código, calculaste el valor_x000a_     faltante absoluto (la resta). _x000a_ Lección_x000a_     de Negocios: Aunque tu cálculo matemático es correcto y útil, en el_x000a_     mundo real, si un cliente o gerente te pide un KPI en porcentaje, entregar_x000a_     un valor absoluto se considera un fallo en el levantamiento de requisitos._x000a_     Por este detalle tu nota base fue de 4.5, pero gracias a tu excelente_x000a_     trabajo extra con las validaciones (try-except), recuperaste el puntaje y_x000a_     lograste el 5.0 perfecto.  Motivación: _x000a_Tienes una lógica de programación excelente y construyes código muy seguro._x000a_Sigue cultivando esa atención a la prevención de errores, ajustando un poco más_x000a_la lectura estricta de los requerimientos, y serás una profesional imparable en_x000a_el análisis de datos y la tecnología. ¡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coincide_x000a_  exactamente con la lógica programada. _x000a_  _x000a_  _x000a_  1.0 _x000a_  _x000a_  _x000a_  1.0 _x000a_  _x000a_ _x000a_ _x000a_  _x000a_  2. Estructuras de Datos _x000a_  _x000a_  _x000a_  Implementación y manipulación correcta de Lista (portafolio),_x000a_  Tupla (activos) y Diccionario (perfil). _x000a_  _x000a_  _x000a_  1.5 _x000a_  _x000a_  _x000a_  1.5 _x000a_  _x000a_ _x000a_ _x000a_  _x000a_  3. Control de Flujo _x000a_  _x000a_  _x000a_  Menú while funcional, sin bucles infinitos y decisiones_x000a_  lógicas precisas con if/elif/else. _x000a_  _x000a_  _x000a_  1.0 _x000a_  _x000a_  _x000a_  1.0 _x000a_  _x000a_ _x000a_ _x000a_  _x000a_  4. Procesamiento _x000a_  _x000a_  _x000a_  Recorrido correcto con for y cálculo de ingresos pasivos. (Penalización_x000a_  de -0.5 por no calcular el porcentaje de avance solicitado). _x000a_  _x000a_  _x000a_  1.0 _x000a_  _x000a_  _x000a_  0.5 _x000a_  _x000a_ _x000a_ _x000a_  _x000a_  5. Presentación (UX) _x000a_  _x000a_  _x000a_  Uso de f-strings con separadores de miles, código_x000a_  documentado y mensajes claros. _x000a_  _x000a_  _x000a_  0.5 _x000a_  _x000a_  _x000a_  0.5 _x000a_  _x000a_ _x000a_ _x000a_  _x000a_  Bono de Seguridad _x000a_  _x000a_  _x000a_  Implementación avanzada de try-except para evitar cierres_x000a_  abruptos en múltiples inputs.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32"/>
    <s v="Juan Jose"/>
    <s v="Caballero Mantilla"/>
    <s v="juancabma@unisabana.edu.co"/>
    <x v="14"/>
    <d v="2026-02-25T00:00:00"/>
    <x v="4"/>
    <s v="Entregado"/>
    <s v="Retroalimentación de la Entrega: Examen Parcial 1 - Motor_x000a_Lógico &quot;FinVes&quot;  Estudiante: Juan José Caballero Mantilla Calificación Final: 5.0 / 5.0 (+1.0 Unidad de Bono por uso de try-except)  Comentarios del Profesor: Has entregado un examen excelente. Demuestras una sólida_x000a_comprensión de todos los conceptos del primer corte y la capacidad de_x000a_integrarlos en una solución funcional y bien estructurada.  Puntos a destacar (Lo excelente): _x000a_ Autogestión_x000a_     y Lógica: Tu pseudocódigo, aunque conciso, sigue la secuencia lógica_x000a_     correcta y se refleja fielmente en tu código Python. Cumpliste con el_x000a_     requerimiento de planificar antes de ejecutar. _x000a_ Robustez_x000a_     del Código (Bono +1.0): La implementación del bloque try-except en el_x000a_     registro de la inversión es un acierto técnico muy importante. Demuestra_x000a_     que piensas en la experiencia del usuario y en cómo prevenir que el_x000a_     programa falle por entradas incorrectas. Por esta iniciativa, te has_x000a_     ganado la unidad de bono completa. _x000a_ Dominio_x000a_     de Estructuras: Utilizaste correctamente la Lista, la Tupla y el_x000a_     Diccionario, cada uno para el propósito que fue diseñado en el enunciado,_x000a_     lo cual es clave para la eficiencia del código. _x000a_ Presentación_x000a_     de Datos: El uso de f-strings con formato de moneda (:,.2f) es una_x000a_     práctica profesional que mejora enormemente la legibilidad de los reportes_x000a_     financieros.  Oportunidades de Mejora (Para llegar al siguiente nivel): _x000a_ Documentación_x000a_     del Código: Tu código funciona perfectamente, pero para que sea aún_x000a_     más profesional, te sugiero añadir más comentarios (#) que expliquen el porqué_x000a_     de ciertos bloques. Por ejemplo, un comentario como # Acumulador para_x000a_     sumar los ingresos de todas las inversiones antes de ingreso_total = 0. _x000a_ Validación_x000a_     de Entradas: Un siguiente paso en la robustez de tu app sería validar_x000a_     que el activo que el usuario ingresa esté realmente dentro de la tupla activos_disponibles._x000a_     Esto se logra con un simple if activo in activos_disponibles:.  Motivación: _x000a_Demuestras una gran capacidad para traducir un problema de negocio en una_x000a_solución técnica funcional. Tienes una base muy sólida para enfrentar los retos_x000a_más complejos que veremos en el segundo corte. Sigue puliendo estos detalles y_x000a_te convertirás en un excelente programador orientado a soluciones._x000a_¡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en Markdown que coincide con la lógica_x000a_  programad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y mensajes_x000a_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3"/>
    <s v="Daniel Camilo"/>
    <s v="Lopez Piraquive"/>
    <s v="danielloppi@unisabana.edu.co"/>
    <x v="14"/>
    <d v="2026-02-25T00:00:00"/>
    <x v="4"/>
    <s v="Entregado"/>
    <s v="Retroalimentación de la Entrega: Examen Parcial 1 - Motor_x000a_Lógico &quot;FinVes&quot;  Estudiante: Lopez Piraquive, Daniel Camilo Calificación Final: 5.0 / 5.0 (+1.0 Unidad de Bono por uso de try-except)  Comentarios del Profesor: Has entregado un examen excelente. Demuestras una sólida_x000a_comprensión de todos los conceptos del primer corte y la capacidad de_x000a_integrarlos en una solución funcional y bien estructurada.  Puntos a destacar (Lo excelente): _x000a_ Autogestión_x000a_     y Lógica: Tu pseudocódigo, aunque conciso, sigue la secuencia lógica_x000a_     correcta y se refleja fielmente en tu código Python. Cumpliste con el_x000a_     requerimiento de planificar antes de ejecutar. _x000a_ Robustez_x000a_     del Código (Bono +1.0): La implementación del bloque try-except en el_x000a_     registro de la inversión es un acierto técnico muy importante. Demuestra_x000a_     que piensas en la experiencia del usuario y en cómo prevenir que el_x000a_     programa falle por entradas incorrectas. Por esta iniciativa, te has_x000a_     ganado la unidad de bono completa. _x000a_ Dominio_x000a_     de Estructuras: Utilizaste correctamente la Lista, la Tupla y el_x000a_     Diccionario, cada uno para el propósito que fue diseñado en el enunciado,_x000a_     lo cual es clave para la eficiencia del código. _x000a_ Presentación_x000a_     de Datos: El uso de f-strings con formato de moneda (:,.2f) es una_x000a_     práctica profesional que mejora enormemente la legibilidad de los reportes_x000a_     financieros.  Oportunidades de Mejora (Para llegar al siguiente nivel): _x000a_ Documentación_x000a_     del Código: Tu código funciona perfectamente, pero para que sea aún_x000a_     más profesional, te sugiero añadir más comentarios (#) que expliquen el porqué_x000a_     de ciertos bloques. Por ejemplo, un comentario como # Acumulador para_x000a_     sumar los ingresos de todas las inversiones antes de ingreso_total = 0. _x000a_ Validación_x000a_     de Entradas: Un siguiente paso en la robustez de tu app sería validar_x000a_     que el activo que el usuario ingresa esté realmente dentro de la tupla activos_disponibles._x000a_     Esto se logra con un simple if activo in activos_disponibles:.  Motivación: _x000a_Demuestras una gran capacidad para traducir un problema de negocio en una_x000a_solución técnica funcional. Tienes una base muy sólida para enfrentar los retos_x000a_más complejos que veremos en el segundo corte. Sigue puliendo estos detalles y_x000a_te convertirás en un excelente programador orientado a soluciones._x000a_¡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en Markdown que coincide con la lógica_x000a_  programad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y mensajes_x000a_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4"/>
    <s v="Gabriela"/>
    <s v="Ruiz Perez"/>
    <s v="gabrielarupe@unisabana.edu.co"/>
    <x v="14"/>
    <d v="2026-02-25T00:00:00"/>
    <x v="4"/>
    <s v="Entregado"/>
    <s v="Retroalimentación de la Entrega: Examen Parcial 1 - Motor_x000a_Lógico &quot;FinVes&quot;  Estudiante: Alessandro Bonilla Calificación Final: 4.5 / 5.0  Comentarios del Profesor: Alessandro, tu examen demuestra un nivel de pensamiento_x000a_lógico y estructurado excepcional. La forma en que desglosaste el problema en_x000a_el pseudocódigo y el diagrama de flujo es exactamente lo que se espera de un_x000a_analista que domina la autogestión.  Puntos a destacar (Lo excelente): _x000a_ Autogestión_x000a_     y Diseño: Tu pseudocódigo no es solo una lista de pasos, es una_x000a_     narración técnica del flujo del programa. Junto con el diagrama de flujo,_x000a_     demuestras una comprensión profunda del problema antes de escribir una_x000a_     sola línea de código. Este es el pilar de un buen desarrollador. _x000a_ Lógica_x000a_     de Programación: Tu código es limpio, sigue todos los requerimientos y_x000a_     la lógica es impecable. El uso combinado de diccionarios, tuplas y listas_x000a_     es perfecto. Mención especial a la validación if activo_seleccionado not_x000a_     in activos_disponibles:, una iniciativa que añade robustez al programa y_x000a_     demuestra que piensas en los posibles errores del usuario.  Oportunidad de Mejora (El punto crítico): _x000a_ Funcionalidad_x000a_     y Entorno: El único factor que impidió una calificación perfecta fue_x000a_     que el código no es ejecutable. El error ipykernel package que se muestra_x000a_     en la salida indica que el entorno de tu Jupyter Notebook no estaba_x000a_     correctamente configurado para correr el código. En el mundo profesional,_x000a_     un código que no corre, sin importar cuán perfecto sea en teoría, no es un_x000a_     entregable funcional. Es una lección crucial: un programador de élite no_x000a_     solo escribe código correcto, sino que se asegura de que sea ejecutable_x000a_     y reproducible. _x000a_ Bono_x000a_     de Seguridad: No implementaste el bloque try-except, por lo que no_x000a_     aplicas al bono de +1.0 unidad. Si lo hubieras hecho, tu programa habría_x000a_     sido aún más robusto.  Motivación: _x000a_La buena noticia es que tu error no fue de lógica, sino de configuración de_x000a_entorno, algo que se aprende y se corrige con la práctica. Tu capacidad para_x000a_diseñar y estructurar soluciones es de primer nivel. Si a esa habilidad le_x000a_sumas la disciplina de probar y asegurar que tus entregables funcionen siempre,_x000a_estarás más que preparado para cualquier reto técnico en tu carrera. ¡Sigue_x000a_trabajando en esa lógica brillante!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y Diagrama de Flujo detallados y_x000a_  perfectamente alineados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La lógica del menú while y las decisiones if/elif/else es_x000a_  perfecta, pero el programa no es funcional (error de ipykernel). _x000a_  _x000a_  _x000a_  1.0 _x000a_  _x000a_  _x000a_  0.5 _x000a_  _x000a_ _x000a_ _x000a_  _x000a_  4. Procesamiento _x000a_  _x000a_  _x000a_  El ciclo for y los cálculos matemáticos son lógicamente_x000a_  correctos. _x000a_  _x000a_  _x000a_  1.0 _x000a_  _x000a_  _x000a_  1.0 _x000a_  _x000a_ _x000a_ _x000a_  _x000a_  5. Presentación (UX) _x000a_  _x000a_  _x000a_  Uso de f-strings, código documentado y mensajes claros_x000a_  para el usuario. _x000a_  _x000a_  _x000a_  0.5 _x000a_  _x000a_  _x000a_  0.5 _x000a_  _x000a_ _x000a_ _x000a_  _x000a_  Bono de Seguridad _x000a_  _x000a_  _x000a_  No se implementó el bloque try-except. _x000a_  _x000a_  _x000a_  + 1.0 _x000a_  _x000a_  _x000a_  + 0.0 _x000a_  _x000a_ _x000a_ _x000a_  _x000a_  TOTAL _x000a_  _x000a_  _x000a_  _x000a_  5.0 _x000a_  _x000a_  _x000a_  4.5 _x000a_  _x000a_ Diego Mauricio Zuluaga Rodríguez _x000a_Profesor - Departamento de Economía _x000a_Universidad de La Sabana"/>
    <n v="45"/>
    <n v="50"/>
    <n v="0.9"/>
  </r>
  <r>
    <x v="35"/>
    <s v="Juan Sebastian"/>
    <s v="Perdomo Herrera"/>
    <s v="juanperhe@unisabana.edu.co"/>
    <x v="14"/>
    <d v="2026-02-25T00:00:00"/>
    <x v="4"/>
    <s v="Entregado"/>
    <s v="Retroalimentación de la Entrega: Examen Parcial 1 - Motor_x000a_Lógico &quot;FinVes&quot;  Estudiante: Perdomo Herrera, Juan Sebastian Calificación Final: 4.5 / 5.0 (Incluye +1.0 de Bono por uso de try-except)  Comentarios del Profesor: Tu desempeño técnico en este parcial es sobresaliente._x000a_El código que has escrito no solo es funcional, sino que demuestra un nivel de_x000a_habilidad y atención al detalle en la presentación (UX) que va más allá de lo_x000a_esperado para este primer corte.  Puntos a destacar (Lo excelente): _x000a_ Robustez_x000a_     del Código (Bono +1.0): Implementaste try-except de manera impecable_x000a_     para validar las entradas numéricas, evitando que la aplicación colapse._x000a_     Además, la validación if activo_elegido not in activos_disponibles es una_x000a_     muestra de pensamiento lógico defensivo de alto nivel. _x000a_ Presentación_x000a_     Profesional (UX): El uso de f-strings con alineación (:&amp;lt;20, :&amp;gt;14)_x000a_     y el cálculo de la cantidad faltante para la meta financiera son detalles_x000a_     que transforman un script funcional en una herramienta útil y profesional. _x000a_ Lógica_x000a_     de Programación: El control de flujo con el menú while, el_x000a_     procesamiento con el ciclo for y las decisiones con if/else son perfectos.  Oportunidades de Mejora (Atención al Detalle y_x000a_Autogestión): _x000a_El motivo por el cual la nota no es superior a 5.0, a pesar de tu brillantez_x000a_técnica, se debe a dos fallos críticos en el seguimiento de instrucciones, que_x000a_es un pilar de la competencia de Autogestión: _x000a_ Ausencia_x000a_     del Pseudocódigo: La regla #3 del examen era explícita: &quot;DEBEN_x000a_     escribir el Pseudocódigo&quot; en una celda de Markdown antes del_x000a_     código. Omitir este paso, que valida el proceso de &quot;pensar antes de_x000a_     programar&quot;, anula por completo el puntaje del primer criterio de la_x000a_     rúbrica. _x000a_ Precisión_x000a_     en los Datos: La tupla activos_disponibles debía contener 4 mercados,_x000a_     pero omitiste &quot;S&amp;amp;P500&quot;. En el mundo financiero y de_x000a_     negocios, si un cliente te pide un reporte con 4 KPIs, entregar 3 es un_x000a_     error crítico. _x000a_ Bug_x000a_     Menor: Hubo un error de variable (NameError) en la creación del_x000a_     diccionario perfil_usuario al usar meta en lugar de meta_str, lo que_x000a_     indica que faltó una revisión final.  Motivación: _x000a_Tienes un talento natural para la programación y la lógica. Tu código es de los_x000a_mejores del curso. El siguiente paso en tu desarrollo profesional es combinar_x000a_ese talento técnico con una disciplina férrea para seguir los requerimientos de_x000a_un proyecto al pie de la letra. Si logras eso, tu potencial es ilimitad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El pseudocódigo no fue entregado en la celda de Markdown. _x000a_  _x000a_  _x000a_  1.0 _x000a_  _x000a_  _x000a_  1.0 _x000a_  _x000a_ _x000a_ _x000a_  _x000a_  2. Estructuras de Datos _x000a_  _x000a_  _x000a_  Implementación correcta de Lista y Diccionario. La Tupla_x000a_  está incompleta. _x000a_  _x000a_  _x000a_  1.5 _x000a_  _x000a_  _x000a_  1.0 _x000a_  _x000a_ _x000a_ _x000a_  _x000a_  3. Control de Flujo _x000a_  _x000a_  _x000a_  Menú while y decisiones if/else implementados de forma_x000a_  impecable. _x000a_  _x000a_  _x000a_  1.0 _x000a_  _x000a_  _x000a_  1.0 _x000a_  _x000a_ _x000a_ _x000a_  _x000a_  4. Procesamiento _x000a_  _x000a_  _x000a_  Recorrido con for y cálculos matemáticos correctos. _x000a_  _x000a_  _x000a_  1.0 _x000a_  _x000a_  _x000a_  1.0 _x000a_  _x000a_ _x000a_ _x000a_  _x000a_  5. Presentación (UX) _x000a_  _x000a_  _x000a_  Uso de f-strings y comentarios excelente. Supera las_x000a_  expectativas. _x000a_  _x000a_  _x000a_  0.5 _x000a_  _x000a_  _x000a_  0.5 _x000a_  _x000a_ _x000a_ _x000a_  _x000a_  Bono de Seguridad _x000a_  _x000a_  _x000a_  Implementación de try-except para evitar ValueError. _x000a_  _x000a_  _x000a_  + 1.0 _x000a_  _x000a_  _x000a_  + 1.0 _x000a_  _x000a_ _x000a_ _x000a_  _x000a_  TOTAL _x000a_  _x000a_  _x000a_  _x000a_  5.0 _x000a_  _x000a_  _x000a_  5.5 _x000a_  _x000a_ Diego Mauricio Zuluaga Rodríguez _x000a_Profesor - Departamento de Economía _x000a_Universidad de La Sabana"/>
    <n v="55"/>
    <n v="50"/>
    <n v="1.1000000000000001"/>
  </r>
  <r>
    <x v="36"/>
    <s v="Martin Martin"/>
    <s v="Trujillo Rodriguez"/>
    <s v="martintrro@unisabana.edu.co"/>
    <x v="14"/>
    <d v="2026-02-25T00:00:00"/>
    <x v="4"/>
    <s v="Entregado"/>
    <s v="Retroalimentación de la Entrega: Examen Parcial 1 - Motor_x000a_Lógico &quot;FinVes&quot;  Estudiante: Trujillo Rodriguez, Martin Martin Calificación Final: 5.0 / 5.0 (+1.0 Unidad de Bono por uso de try-except)  Comentarios del Profesor: Has entregado un examen excelente. Demuestras una sólida_x000a_comprensión de todos los conceptos del primer corte y la capacidad de_x000a_integrarlos en una solución funcional y bien estructurada.  Puntos a destacar (Lo excelente): _x000a_ Autogestión_x000a_     y Lógica: Tu pseudocódigo, aunque conciso, sigue la secuencia lógica_x000a_     correcta y se refleja fielmente en tu código Python. Cumpliste con el_x000a_     requerimiento de planificar antes de ejecutar. _x000a_ Robustez_x000a_     del Código (Bono +1.0): La implementación del bloque try-except en el_x000a_     registro de la inversión es un acierto técnico muy importante. Demuestra_x000a_     que piensas en la experiencia del usuario y en cómo prevenir que el_x000a_     programa falle por entradas incorrectas. Por esta iniciativa, te has_x000a_     ganado la unidad de bono completa. _x000a_ Dominio_x000a_     de Estructuras: Utilizaste correctamente la Lista, la Tupla y el_x000a_     Diccionario, cada uno para el propósito que fue diseñado en el enunciado,_x000a_     lo cual es clave para la eficiencia del código. _x000a_ Presentación_x000a_     de Datos: El uso de f-strings con formato de moneda (:,.2f) es una_x000a_     práctica profesional que mejora enormemente la legibilidad de los reportes_x000a_     financieros.  Oportunidades de Mejora (Para llegar al siguiente nivel): _x000a_ Documentación_x000a_     del Código: Tu código funciona perfectamente, pero para que sea aún_x000a_     más profesional, te sugiero añadir más comentarios (#) que expliquen el porqué_x000a_     de ciertos bloques. Por ejemplo, un comentario como # Acumulador para_x000a_     sumar los ingresos de todas las inversiones antes de ingreso_total = 0. _x000a_ Validación_x000a_     de Entradas: Un siguiente paso en la robustez de tu app sería validar_x000a_     que el activo que el usuario ingresa esté realmente dentro de la tupla activos_disponibles._x000a_     Esto se logra con un simple if activo in activos_disponibles:.  Motivación: _x000a_Demuestras una gran capacidad para traducir un problema de negocio en una_x000a_solución técnica funcional. Tienes una base muy sólida para enfrentar los retos_x000a_más complejos que veremos en el segundo corte. Sigue puliendo estos detalles y_x000a_te convertirás en un excelente programador orientado a soluciones._x000a_¡Felicitaciones!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en Markdown que coincide con la lógica_x000a_  programad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sin errores, y decisiones lógicas_x000a_  precisas con if/elif/else. _x000a_  _x000a_  _x000a_  1.0 _x000a_  _x000a_  _x000a_  1.0 _x000a_  _x000a_ _x000a_ _x000a_  _x000a_  4. Procesamiento _x000a_  _x000a_  _x000a_  Recorrido correcto con for, cálculos matemáticos precisos_x000a_  y sin errores de Casting. _x000a_  _x000a_  _x000a_  1.0 _x000a_  _x000a_  _x000a_  1.0 _x000a_  _x000a_ _x000a_ _x000a_  _x000a_  5. Presentación (UX) _x000a_  _x000a_  _x000a_  Uso de f-strings con formato profesional y mensajes_x000a_  claros. _x000a_  _x000a_  _x000a_  0.5 _x000a_  _x000a_  _x000a_  0.5 _x000a_  _x000a_ _x000a_ _x000a_  _x000a_  Bono de Seguridad _x000a_  _x000a_  _x000a_  Implementación de try-except para evitar cierres abruptos_x000a_  por errores de formato.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7"/>
    <s v="Alan David"/>
    <s v="Rossoff Vanegas"/>
    <s v="alanrova@unisabana.edu.co"/>
    <x v="14"/>
    <d v="2026-02-25T00:00:00"/>
    <x v="4"/>
    <s v="Entregado"/>
    <s v="Retroalimentación de la Entrega: Examen Parcial 1 - Motor_x000a_Lógico &quot;FinVes&quot;  Estudiante: Alan Rossoff Calificación Final: 6.0 / 5.0 (5.0 Base + 1.0 Bono por excelencia_x000a_técnica)  Comentarios del Profesor: Alan, tu examen no solo es correcto, es excepcional. Has ido_x000a_más allá de los requerimientos del parcial y has entregado una solución que_x000a_demuestra la mentalidad de un desarrollador senior: no solo resuelves el_x000a_problema, lo anticipas.  Puntos a destacar (Lo sobresaliente): _x000a_ Autogestión_x000a_     y Diseño Lógico: Tu pseudocódigo es una obra de arte. Es tan detallado_x000a_     que incluso incluye una sección de &quot;Criterios de cumplimiento de la_x000a_     rúbrica&quot;. Esto demuestra un nivel de autogestión y planeación que_x000a_     excede por completo las expectativas del curso. _x000a_ Ingeniería_x000a_     de Software (Función leer_numero): La creación de la función leer_numero_x000a_     es la marca de un programador que piensa en la reutilización y la_x000a_     robustez. Esta función no solo usa try-except (lo que te otorga el bono de_x000a_     +1.0), sino que resuelve un problema real y complejo del contexto_x000a_     colombiano: la ambigüedad entre el punto y la coma como separadores_x000a_     decimales y de miles. Esto es pensamiento de ingeniería aplicado a un_x000a_     problema de negocio. _x000a_ Dominio_x000a_     Técnico Integral: Has implementado a la perfección todas las_x000a_     estructuras de datos (Listas, Tuplas, Diccionarios) y de control (while, for,_x000a_     if/else). La forma en que guardas cada inversión como un diccionario_x000a_     dentro de la lista portafolio es la práctica estándar en la industria. _x000a_ Experiencia_x000a_     de Usuario (UX): Tu programa es &quot;a prueba de balas&quot;. Valida_x000a_     que la meta sea positiva, que el activo exista en la tupla, que los montos_x000a_     no sean negativos y que el usuario no pueda romper el programa con_x000a_     entradas inválidas.  Motivación: _x000a_Este es el tipo de trabajo que se presenta en un portafolio para conseguir un_x000a_rol en una FinTech. Tienes una base lógica y técnica extremadamente sólida. Si_x000a_continúas con esta disciplina y curiosidad por resolver problemas de forma_x000a_elegante y robusta, tienes un futuro muy prometedor en el mundo de la_x000a_tecnología y los datos. ¡Felicitaciones por un desempeño extraordinari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 nivel superior, detallado y perfectamente_x000a_  alineado con el código. _x000a_  _x000a_  _x000a_  1.0 _x000a_  _x000a_  _x000a_  1.0 _x000a_  _x000a_ _x000a_ _x000a_  _x000a_  2. Estructuras de Datos _x000a_  _x000a_  _x000a_  Implementación y manipulación impecable de Lista, Tupla y_x000a_  Diccionario. _x000a_  _x000a_  _x000a_  1.5 _x000a_  _x000a_  _x000a_  1.5 _x000a_  _x000a_ _x000a_ _x000a_  _x000a_  3. Control de Flujo _x000a_  _x000a_  _x000a_  Menú while robusto, con validaciones de entrada y_x000a_  decisiones if/else precisas. _x000a_  _x000a_  _x000a_  1.0 _x000a_  _x000a_  _x000a_  1.0 _x000a_  _x000a_ _x000a_ _x000a_  _x000a_  4. Procesamiento _x000a_  _x000a_  _x000a_  Recorrido con for, cálculos matemáticos correctos y_x000a_  casting manejado de forma avanzada. _x000a_  _x000a_  _x000a_  1.0 _x000a_  _x000a_  _x000a_  1.0 _x000a_  _x000a_ _x000a_ _x000a_  _x000a_  5. Presentación (UX) _x000a_  _x000a_  _x000a_  Uso de f-strings con formato, código limpio y mensajes_x000a_  claros. _x000a_  _x000a_  _x000a_  0.5 _x000a_  _x000a_  _x000a_  0.5 _x000a_  _x000a_ _x000a_ _x000a_  _x000a_  Bono de Excelencia _x000a_  _x000a_  _x000a_  Creación de función reutilizable (leer_numero) con try-except_x000a_  y lógica avanzada de validación. _x000a_  _x000a_  _x000a_  + 1.0 _x000a_  _x000a_  _x000a_  + 1.0 _x000a_  _x000a_ _x000a_ _x000a_  _x000a_  TOTAL _x000a_  _x000a_  _x000a_  _x000a_  5.0 _x000a_  _x000a_  _x000a_  6.0 _x000a_  _x000a_ Diego Mauricio Zuluaga Rodríguez _x000a_Profesor - Departamento de Economía _x000a_Universidad de La Sabana"/>
    <n v="60"/>
    <n v="50"/>
    <n v="1.2"/>
  </r>
  <r>
    <x v="38"/>
    <s v="Diego Alejandro"/>
    <s v="Hermida Limas"/>
    <s v="diegoherli@unisabana.edu.co"/>
    <x v="14"/>
    <d v="2026-02-25T00:00:00"/>
    <x v="4"/>
    <s v="Entregado"/>
    <s v="Retroalimentación de la Entrega: Examen Parcial 1 - Motor_x000a_Lógico &quot;FinVes&quot;  Estudiante: Hermida Limas, Diego Alejandro Calificación Final: 4.8 / 5.0  Comentarios del Profesor: Has entregado un examen con una lógica de programación muy_x000a_sólida. Es grato ver que fuiste un paso más allá de lo enseñado en este primer_x000a_corte al implementar funciones (def) para modularizar tu código. Esto demuestra_x000a_curiosidad intelectual y una excelente capacidad de abstracción.  Puntos a destacar (Lo excelente): _x000a_ Autogestión_x000a_     (Pseudocódigo): Tu paso a paso en la celda de Markdown es claro,_x000a_     estructurado y refleja fielmente lo que programaste después. Cumpliste_x000a_     perfectamente con la regla de planear antes de codificar. _x000a_ Modularidad_x000a_     Avanzada: Separar la lógica en registrar_inversion() y mostrar_reporte()_x000a_     hace que tu menú principal (while True) quede sumamente limpio y fácil de_x000a_     leer. Esta es una práctica profesional excelente. _x000a_ Estructuras_x000a_     de Datos y Matemáticas: Implementaste correctamente el diccionario, la_x000a_     tupla y la lista. Además, los cálculos del ingreso pasivo mensual y el_x000a_     porcentaje de avance son matemáticamente exactos y están bien aplicados_x000a_     dentro del ciclo for.  Oportunidades de Mejora (Atención al Detalle): _x000a_El motivo por el cual no alcanzas la nota máxima (y el bono) se debe a detalles_x000a_específicos de la rúbrica en cuanto a presentación y seguridad: _x000a_ Documentación_x000a_     del Código: La rúbrica exigía explícitamente &quot;código documentado_x000a_     con # explicando cada bloque&quot;. Tu script en Python carece de_x000a_     comentarios internos. En el entorno profesional, documentar el código es_x000a_     vital para que otros desarrolladores entiendan tu lógica. _x000a_ Formato_x000a_     de Moneda (UX): Utilizaste :.2f para los decimales, lo cual está bien,_x000a_     pero la rúbrica pedía :,.2f para incluir los separadores de miles. En_x000a_     finanzas, leer $1000000.00 es mucho más difícil que leer $1,000,000.00. _x000a_ Bono_x000a_     de Seguridad: No implementaste el bloque try-except para capturar_x000a_     errores de digitación (por ejemplo, si el usuario escribe &quot;diez&quot;_x000a_     en lugar de &quot;10&quot; en el monto). Por este motivo, no aplicas para_x000a_     la unidad extra del parcial.  Motivación: _x000a_Tienes una intuición natural para la programación y la estructuración de_x000a_software. El uso de funciones demuestra que estás listo para temas más_x000a_avanzados. Si ajustas tu atención a los detalles de los requerimientos del_x000a_cliente (la rúbrica) y te acostumbras a documentar tu código, tus próximos_x000a_proyectos serán de nivel &quot;Senior&quot;. ¡Excelente trabajo!  Rúbrica de Calificación _x000a_ _x000a_  _x000a_  Criterio de Evaluación _x000a_  _x000a_  _x000a_  Descripción Técnica _x000a_  _x000a_  _x000a_  Puntaje Máximo _x000a_  _x000a_  _x000a_  Puntaje Obtenido _x000a_  _x000a_ _x000a_ _x000a_  _x000a_  1. Autogestión y Lógica _x000a_  _x000a_  _x000a_  Pseudocódigo detallado en Markdown que refleja la_x000a_  planeación exacta del sistema. _x000a_  _x000a_  _x000a_  1.0 _x000a_  _x000a_  _x000a_  1.0 _x000a_  _x000a_ _x000a_ _x000a_  _x000a_  2. Estructuras de Datos _x000a_  _x000a_  _x000a_  Implementación y manipulación correcta de Lista, Tupla y_x000a_  Diccionario. _x000a_  _x000a_  _x000a_  1.5 _x000a_  _x000a_  _x000a_  1.5 _x000a_  _x000a_ _x000a_ _x000a_  _x000a_  3. Control de Flujo _x000a_  _x000a_  _x000a_  Menú while funcional, uso innovador de funciones (def) y_x000a_  decisiones lógicas precisas. _x000a_  _x000a_  _x000a_  1.0 _x000a_  _x000a_  _x000a_  1.0 _x000a_  _x000a_ _x000a_ _x000a_  _x000a_  4. Procesamiento _x000a_  _x000a_  _x000a_  Recorrido correcto con for, cálculos matemáticos precisos_x000a_  de ingresos pasivos y porcentajes. _x000a_  _x000a_  _x000a_  1.0 _x000a_  _x000a_  _x000a_  1.0 _x000a_  _x000a_ _x000a_ _x000a_  _x000a_  5. Presentación (UX) _x000a_  _x000a_  _x000a_  Ausencia de comentarios (#) en el código y falta del_x000a_  separador de miles (,) en los f-strings. _x000a_  _x000a_  _x000a_  0.5 _x000a_  _x000a_  _x000a_  0.3 _x000a_  _x000a_ _x000a_ _x000a_  _x000a_  Bono de Seguridad _x000a_  _x000a_  _x000a_  No se implementó try-except para evitar cierres abruptos. _x000a_  _x000a_  _x000a_  + 1.0 _x000a_  _x000a_  _x000a_  + 0.0 _x000a_  _x000a_ _x000a_ _x000a_  _x000a_  TOTAL _x000a_  _x000a_  _x000a_  _x000a_  5.0 _x000a_  _x000a_  _x000a_  4.8 _x000a_  _x000a_ Diego Mauricio Zuluaga Rodríguez _x000a_Profesor - Departamento de Economía _x000a_Universidad de La Sabana"/>
    <n v="48"/>
    <n v="50"/>
    <n v="0.96"/>
  </r>
  <r>
    <x v="0"/>
    <s v="Paula Andrea"/>
    <s v="Arciniegas Cardenas"/>
    <s v="paulaarcca@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y han_x000a_ demostrado un dominio sólido de las estructuras de datos y ciclos.Puntos Destacados:Atención al Detalle: Utilizaron exactamente los datos solicitados en el enunciado, lo cual es vital para la precisión financiera.Presentación de Resultados: El uso de un segundo bucle for con f-strings (:.2f)_x000a_ para imprimir los precios finales con formato de moneda es un valor _x000a_agregado excelente. Esto mejora significativamente la legibilidad para _x000a_el usuario final.Estructura: El archivo está perfectamente organizado, separando la lógica de negocio de la presentación de los datos.Motivación: Están_x000a_ aplicando muy bien el concepto de &quot;Clean Code&quot;. Mantengan este nivel de_x000a_ orden y precisión en el parcial presencial. El manejo de listas y el _x000a_formato de salida son temas clave que ya tienen dominados. ¡Muchos _x000a_éxitos!Rúbrica de CalificaciónCriterio de EvaluaciónRequisito TécnicoPuntaje MáximoPuntaje ObtenidoOrdenamientoUso correcto del método .sort() para organizar la lista.15.015.0Automatización (For)Implementación correcta del bucle para recorrer la lista.15.015.0Creación de ListasUso efectivo de .append() para generar la nueva lista con IVA.10.010.0Resultados y FormatoImpresión clara y uso de formato numérico (:.2f).10.010.0TOTAL50.050.0Diego Mauricio Zuluaga Rodríguez Profesor - Departamento de Economía Universidad de La Sabana"/>
    <n v="5"/>
    <n v="5"/>
    <n v="1"/>
  </r>
  <r>
    <x v="1"/>
    <s v="Sofia"/>
    <s v="Giraldo Pico"/>
    <s v="sofiagipi@unisabana.edu.co"/>
    <x v="15"/>
    <d v="2026-02-25T00:00:00"/>
    <x v="5"/>
    <s v="Entregado"/>
    <s v="Retroalimentación de la Entrega: El Organizador de PreciosCalificación Final: 10/50 (Equivalente a 1.0 / 5.0) Incentivo Académico: No aplica (Se pierde el beneficio de +0.5 por entrega extemporánea).Comentarios del Profesor: Sofia, técnicamente el ejercicio es impecable. El uso de round(precio_final, 2) demuestra una atención al detalle superior y el flujo lógico es exactamente el solicitado.Sin embargo, la Autogestión_x000a_ es un pilar fundamental de este curso y del Departamento de Economía. _x000a_Entregar la tarea 7 horas después del plazo límite invalida el propósito_x000a_ del bono de preparación. Como se estableció en el contrato pedagógico: _x000a_el Syllabus y las fechas son ley. La puntualidad es un requisito mínimo _x000a_para la excelencia profesional.Puntos Técnicos Logrados:Uso correcto de .sort() para modificar la lista original.Implementación perfecta del ciclo for y el método .append().Presentación de resultados limpia y profesional.Rúbrica de CalificaciónCriterio de EvaluaciónRequisito TécnicoPuntaje BasePuntaje ObtenidoOrdenamientoUso correcto del método .sort().15.015.0Automatización (For)Implementación correcta del bucle.15.015.0Creación de ListasUso efectivo de .append().10.010.0ResultadosImpresión clara de ambas listas.10.010.0PenalizaciónEntrega extemporánea (7 horas tarde)-40.0-40.0TOTAL50.010.0Diego Mauricio Zuluaga Rodríguez Profesor - Departamento de Economía Universidad de La Sabana"/>
    <n v="1"/>
    <n v="5"/>
    <n v="0.2"/>
  </r>
  <r>
    <x v="2"/>
    <s v="Valery"/>
    <s v="Linares Hernandez"/>
    <s v="valerylihe@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_x000a_demostrando un dominio sólido de la manipulación de listas y la lógica _x000a_de automatización.Puntos Destacados:Precisión en los Datos: Utilizaron la lista exacta solicitada en el reto, lo cual demuestra atención al detalle y rigurosidad.Uso de Métodos: Aplicaron correctamente el método .sort() para modificar la lista original y el método .append() para construir la nueva colección.Claridad y Formato: El uso de f-strings para la impresión final hace que los resultados sean fáciles de leer y profesionales.Documentación:_x000a_ El código está muy bien comentado, explicando no solo qué hace la _x000a_línea, sino el porqué de la estructura (ej. la mención al &quot;menú _x000a_interactivo&quot;).Motivación: Esta_x000a_ entrega refleja una excelente preparación para los temas del primer _x000a_corte. Han comprendido la diferencia crítica entre la mutabilidad de una_x000a_ lista y la creación de nuevos objetos de datos. Mantengan este nivel de_x000a_ orden y claridad en sus exámenes presenciales. ¡Felicitaciones!Rúbrica de CalificaciónCriterio de EvaluaciónRequisito TécnicoPuntaje MáximoPuntaje ObtenidoOrdenamientoUso correcto del método .sort() sobre la lista original.15.015.0Automatización (For)Implementación efectiva del bucle para procesar los datos.15.015.0Manejo de ListasCreación de lista nueva y uso correcto de .append().10.010.0Claridad y FormatoImpresión de resultados con f-strings y documentación clara.10.010.0TOTAL50.050.0Diego Mauricio Zuluaga Rodríguez Profesor - Departamento de Economía Universidad de La Sabana"/>
    <n v="5"/>
    <n v="5"/>
    <n v="1"/>
  </r>
  <r>
    <x v="3"/>
    <s v="Nicolas"/>
    <s v="Torres Calderon"/>
    <s v="nicolastorca@unisabana.edu.co"/>
    <x v="15"/>
    <d v="2026-02-25T00:00:00"/>
    <x v="5"/>
    <s v="Entregado"/>
    <s v="Retroalimentación de la Entrega: El Organizador de PreciosCalificación Final: 42/50 Incentivo Académico: Se otorgan +0.4 unidades para el Primer Parcial (Penalización de 0.1 por omisión de instrucciones técnicas y de autogestión).Comentarios del Profesor: El código es funcional y demuestra un conocimiento avanzado de Python al utilizar List Comprehension._x000a_ Sin embargo, como analistas, deben seguir estrictamente los _x000a_requerimientos del cliente/docente para asegurar la estandarización de _x000a_los procesos.Observaciones Técnicas:Uso de List Comprehension: Aunque es una técnica eficiente, el enunciado solicitaba explícitamente el uso de un bucle for (tradicional) para practicar la estructura de acumulación (.append()).Precisión de Flotantes: El resultado muestra errores de precisión decimal (ej. 11.899999999999999). En finanzas, esto debe controlarse con la función round() o formato de f-strings para evitar confusiones en el usuario final.Falla en Autogestión:Documentación Ausente: El código no contiene ni una sola línea de comentario (#). La autogestión implica hacer visible su proceso de pensamiento y facilitar la auditoría del código por parte de terceros.Instrucciones: Se solicitó el uso de .sort() y lo aplicaron correctamente, pero omitieron la estructura de bucle solicitada.Motivación: Tienen un buen nivel técnico, pero en este curso la rigurosidad en el seguimiento de instrucciones y la documentación_x000a_ son tan importantes como el resultado. En el parcial, asegúrense de _x000a_usar las estructuras solicitadas y comentar su código para obtener el _x000a_puntaje completo.Rúbrica de CalificaciónCriterio de EvaluaciónRequisito TécnicoPuntaje MáximoPuntaje ObtenidoOrdenamientoUso correcto del método .sort().15.015.0AutomatizaciónImplementación de bucle for y .append() (Se usó List Comprehension).15.010.0Claridad de SalidaImpresión de ambas listas (Faltó formato de decimales).10.010.0AutogestiónCódigo debidamente documentado y comentado.10.07.0TOTAL50.042.0Diego Mauricio Zuluaga Rodríguez Profesor - Departamento de Economía Universidad de La Sabana"/>
    <n v="4.2"/>
    <n v="5"/>
    <n v="0.84000000000000008"/>
  </r>
  <r>
    <x v="4"/>
    <s v="Cristian"/>
    <s v="Bermudez"/>
    <s v="cristianbe@unisabana.edu.co"/>
    <x v="15"/>
    <d v="2026-02-25T00:00:00"/>
    <x v="5"/>
    <s v="Entregado"/>
    <s v="Retroalimentación de la Entrega: El Organizador de PreciosCalificación Final: 42/50 Incentivo Académico: Se otorgan +0.4 unidades para el Primer Parcial (Penalización de 0.1 por omisión de instrucciones técnicas y de autogestión).Comentarios del Profesor: El código es funcional y demuestra un conocimiento avanzado de Python al utilizar List Comprehension._x000a_ Sin embargo, como analistas, deben seguir estrictamente los _x000a_requerimientos del cliente/docente para asegurar la estandarización de _x000a_los procesos.Observaciones Técnicas:Uso de List Comprehension: Aunque es una técnica eficiente, el enunciado solicitaba explícitamente el uso de un bucle for (tradicional) para practicar la estructura de acumulación (.append()).Precisión de Flotantes: El resultado muestra errores de precisión decimal (ej. 11.899999999999999). En finanzas, esto debe controlarse con la función round() o formato de f-strings para evitar confusiones en el usuario final.Falla en Autogestión:Documentación Ausente: El código no contiene ni una sola línea de comentario (#). La autogestión implica hacer visible su proceso de pensamiento y facilitar la auditoría del código por parte de terceros.Instrucciones: Se solicitó el uso de .sort() y lo aplicaron correctamente, pero omitieron la estructura de bucle solicitada.Motivación: Tienen un buen nivel técnico, pero en este curso la rigurosidad en el seguimiento de instrucciones y la documentación_x000a_ son tan importantes como el resultado. En el parcial, asegúrense de _x000a_usar las estructuras solicitadas y comentar su código para obtener el _x000a_puntaje completo.Rúbrica de CalificaciónCriterio de EvaluaciónRequisito TécnicoPuntaje MáximoPuntaje ObtenidoOrdenamientoUso correcto del método .sort().15.015.0AutomatizaciónImplementación de bucle for y .append() (Se usó List Comprehension).15.010.0Claridad de SalidaImpresión de ambas listas (Faltó formato de decimales).10.010.0AutogestiónCódigo debidamente documentado y comentado.10.07.0TOTAL50.042.0Diego Mauricio Zuluaga Rodríguez Profesor - Departamento de Economía Universidad de La Sabana"/>
    <n v="4.2"/>
    <n v="5"/>
    <n v="0.84000000000000008"/>
  </r>
  <r>
    <x v="5"/>
    <s v="Mariana"/>
    <s v="Carmona Romero"/>
    <s v="marianacarrom@unisabana.edu.co"/>
    <x v="15"/>
    <d v="2026-02-25T00:00:00"/>
    <x v="5"/>
    <s v="Entregado"/>
    <s v="No hay archivo adjunto."/>
    <n v="0"/>
    <n v="5"/>
    <n v="0"/>
  </r>
  <r>
    <x v="6"/>
    <s v="Mariana"/>
    <s v="Pena Rodriguez"/>
    <s v="marianapero@unisabana.edu.co"/>
    <x v="15"/>
    <d v="2026-02-25T00:00:00"/>
    <x v="5"/>
    <s v="Entregado"/>
    <s v="Retroalimentación de la Entrega: El Organizador de Precios (Bono)Calificación Final: 50/50 Incentivo Académico: Se otorgan +0.5 unidades para el Primer Parcial del 25 de febrero.Comentarios del Profesor: Equipo,_x000a_ el ejercicio está técnicamente correcto y demuestra que han comprendido_x000a_ la manipulación de listas. La lógica del patrón acumulador (crear lista_x000a_ vacía -&amp;gt; iterar -&amp;gt; llenar) está perfectamente implementada.Puntos Destacados:Lógica de Mutabilidad: Entendieron perfectamente que .sort() modifica la lista original y no requiere una reasignación.Procesamiento: El ciclo for con el cálculo del IVA y el uso de .append() es impecable.Documentación: Los comentarios en el código explican claramente el &quot;porqué&quot; de cada paso, lo cual es excelente para su estudio personal.Observación de Autogestión (Atención al Detalle):Aunque la lógica es perfecta, noté que cambiaron los datos de entrada. La imagen del reto solicitaba usar la lista [100, 20, 50, 80, 10], y ustedes usaron valores en miles (12000, etc.).En este bono no afecta la nota porque el objetivo era practicar la lógica, pero tengan cuidado en el Parcial:_x000a_ si el enunciado les da datos específicos, deben usar esos datos _x000a_exactos. En la vida real, si un cliente les da una base de datos, no _x000a_podemos cambiar los valores arbitrariamente.Motivación: Tienen_x000a_ la técnica dominada. Si aplican esta misma estructura lógica y orden en_x000a_ el parcial (respetando los datos del enunciado), les irá muy bien. _x000a_¡Buen trabajo!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Impresión clara de la lista original y la procesada.10.010.0TOTAL50.050.0Diego Mauricio Zuluaga Rodríguez Profesor - Departamento de Economía Universidad de La Sabana"/>
    <n v="5"/>
    <n v="5"/>
    <n v="1"/>
  </r>
  <r>
    <x v="7"/>
    <s v="Isabella"/>
    <s v="Carranza Tapiero"/>
    <s v="isabellacata@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y han_x000a_ demostrado un dominio sólido de la lógica de colecciones y bucles.Puntos Destacados:Precisión Técnica: El uso de .sort() para ordenar la lista original antes del procesamiento es correcto.Valor Agregado: El uso de la función round(..., 2)_x000a_ para limitar los decimales en el cálculo del IVA demuestra una _x000a_excelente atención al detalle y un enfoque orientado al usuario final _x000a_(Sanity Check).Estructura de Código: La separación en celdas y la documentación mediante comentarios facilitan la trazabilidad y el estudio del código.Observación de Autogestión: Han respetado los datos exactos del enunciado ([100, 20, 50, 80, 10]), lo cual es vital en procesos de auditoría de datos.Motivación: Este_x000a_ nivel de orden y claridad es el que se espera en el parcial presencial._x000a_ Han comprendido la diferencia entre modificar una lista (.sort()) y generar una nueva (.append()), que es un concepto central de este corte. ¡Sigan así!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 y ClaridadImpresión clara de resultados y uso de comentarios.10.010.0TOTAL50.050.0Diego Mauricio Zuluaga Rodríguez Profesor - Departamento de Economía Universidad de La Sabana"/>
    <n v="5"/>
    <n v="5"/>
    <n v="1"/>
  </r>
  <r>
    <x v="8"/>
    <s v="Samuel David"/>
    <s v="Lozano Holguin"/>
    <s v="samuelloho@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de la imagen con total _x000a_precisión, utilizando los datos exactos solicitados y aplicando la _x000a_lógica de programación de forma impecable.Puntos Destacados:Atención al Detalle: A diferencia de otros grupos, ustedes mantuvieron los datos originales del ejercicio ([100, 20, 50, 80, 10]), lo cual demuestra una lectura rigurosa de los requerimientos.Proactividad Técnica: El uso de la función round(precios_con_iva, 2)_x000a_ es un excelente aporte. En el mundo financiero y contable, el manejo de_x000a_ decimales es crítico, y redondear a dos cifras es la práctica estándar.Estructura Limpia: El código es minimalista, efectivo y está bien comentado.Observación de Mejora:En_x000a_ el último comentario del código escribieron &quot;Inspiramos&quot; en lugar de _x000a_&quot;Imprimimos&quot;. Es un detalle menor de redacción, pero en la documentación_x000a_ técnica la precisión en el lenguaje también suma profesionalismo.Motivación: Están_x000a_ listos para el parcial. Han demostrado que entienden cómo transformar _x000a_una lista y cómo generar una nueva sin destruir la información previa. _x000a_Mantengan esa rigurosidad con los datos el próximo miércoles. ¡Buen _x000a_trabajo!Rúbrica de CalificaciónCriterio de EvaluaciónRequisito TécnicoPuntaje MáximoPuntaje ObtenidoOrdenamientoUso correcto del método .sort() para organizar la lista original.15.015.0Automatización (For)Implementación correcta del bucle para procesar cada precio.15.015.0Creación de ListasUso efectivo de .append() y creación de lista independiente.10.010.0Resultados y FormatoImpresión clara y uso de round() para precisión financiera.10.010.0TOTAL50.050.0Diego Mauricio Zuluaga Rodríguez Profesor - Departamento de Economía Universidad de La Sabana"/>
    <n v="5"/>
    <n v="5"/>
    <n v="1"/>
  </r>
  <r>
    <x v="9"/>
    <s v="Sebastian"/>
    <s v="Vanoy Gutierrez"/>
    <s v="sebastianvagu@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de la imagen con total _x000a_precisión, utilizando los datos exactos solicitados y aplicando la _x000a_lógica de programación de forma impecable.Puntos Destacados:Atención al Detalle: A diferencia de otros grupos, ustedes mantuvieron los datos originales del ejercicio ([100, 20, 50, 80, 10]), lo cual demuestra una lectura rigurosa de los requerimientos.Proactividad Técnica: El uso de la función round(precios_con_iva, 2)_x000a_ es un excelente aporte. En el mundo financiero y contable, el manejo de_x000a_ decimales es crítico, y redondear a dos cifras es la práctica estándar.Estructura Limpia: El código es minimalista, efectivo y está bien comentado.Observación de Mejora:En_x000a_ el último comentario del código escribieron &quot;Inspiramos&quot; en lugar de _x000a_&quot;Imprimimos&quot;. Es un detalle menor de redacción, pero en la documentación_x000a_ técnica la precisión en el lenguaje también suma profesionalismo.Motivación: Están_x000a_ listos para el parcial. Han demostrado que entienden cómo transformar _x000a_una lista y cómo generar una nueva sin destruir la información previa. _x000a_Mantengan esa rigurosidad con los datos el próximo miércoles. ¡Buen _x000a_trabajo!Rúbrica de CalificaciónCriterio de EvaluaciónRequisito TécnicoPuntaje MáximoPuntaje ObtenidoOrdenamientoUso correcto del método .sort() para organizar la lista original.15.015.0Automatización (For)Implementación correcta del bucle para procesar cada precio.15.015.0Creación de ListasUso efectivo de .append() y creación de lista independiente.10.010.0Resultados y FormatoImpresión clara y uso de round() para precisión financiera.10.010.0TOTAL50.050.0Diego Mauricio Zuluaga Rodríguez Profesor - Departamento de Economía Universidad de La Sabana"/>
    <n v="5"/>
    <n v="5"/>
    <n v="1"/>
  </r>
  <r>
    <x v="10"/>
    <s v="Jose Daniel"/>
    <s v="Escobar Hurtado"/>
    <s v="joseeshu@unisabana.edu.co"/>
    <x v="15"/>
    <d v="2026-02-25T00:00:00"/>
    <x v="5"/>
    <s v="Entregado"/>
    <s v="Retroalimentación de la Entrega: El Organizador de Precios (Bono)Calificación Final: 45/50 Incentivo Académico: Se otorgan +0.5 unidades para el Primer Parcial del 25 de febrero.Comentarios del Profesor: Equipo,_x000a_ la lógica técnica del ejercicio es impecable. Han utilizado los datos _x000a_exactos solicitados en el reto y el flujo de control (ordenamiento -&amp;gt;_x000a_ iteración -&amp;gt; acumulación) funciona perfectamente.Puntos Destacados:Precisión de Datos: A diferencia de otros grupos, ustedes mantuvieron los valores originales del enunciado, lo cual demuestra atención al detalle.Eficacia: El código es minimalista y cumple con la función de transformar los datos mediante el bucle for.Oportunidad de Mejora (Rigurosidad y Autogestión):Falta de Documentación: Las instrucciones de autogestión solicitaban explícitamente que el código estuviera &quot;debidamente documentado&quot;. Su entrega no contiene un solo comentario (#) ni celdas de Markdown explicando la lógica.En_x000a_ este curso, el &quot;qué&quot; (resultado) es tan importante como el &quot;cómo&quot; _x000a_(explicación). La falta de comentarios penaliza la nota de esta entrega,_x000a_ ya que no se evidencia el seguimiento completo de las instrucciones.Motivación: Tienen una excelente base lógica. Para el parcial del miércoles, recuerden que documentar es obligatorio._x000a_ Un código sin explicar es difícil de auditar en un entorno profesional._x000a_ Mantengan la precisión técnica y sumen la rigurosidad en la _x000a_documentación. ¡Van por buen camino!Rúbrica de CalificaciónCriterio de EvaluaciónRequisito TécnicoPuntaje MáximoPuntaje ObtenidoOrdenamientoUso correcto del método .sort().15.015.0Automatización (For)Implementación correcta del bucle para recorrer la lista.15.015.0Creación de ListasUso efectivo de .append() para generar la nueva lista.10.010.0DocumentaciónCódigo debidamente documentado con comentarios y Markdown.10.05.0TOTAL50.045.0Diego Mauricio Zuluaga Rodríguez Profesor - Departamento de Economía Universidad de La Sabana"/>
    <n v="4.5"/>
    <n v="5"/>
    <n v="0.9"/>
  </r>
  <r>
    <x v="11"/>
    <s v="Maria Jose"/>
    <s v="Botero Galviz"/>
    <s v="mariabotga@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_x000a_demostrando un dominio sólido de la manipulación de listas y la lógica _x000a_de automatización.Puntos Destacados:Precisión en los Datos: Utilizaron la lista exacta solicitada en el reto, lo cual demuestra atención al detalle y rigurosidad.Uso de Métodos: Aplicaron correctamente el método .sort() para modificar la lista original y el método .append() para construir la nueva colección.Claridad y Formato: El uso de f-strings para la impresión final hace que los resultados sean fáciles de leer y profesionales.Documentación:_x000a_ El código está muy bien comentado, explicando no solo qué hace la _x000a_línea, sino el porqué de la estructura (ej. la mención al &quot;menú _x000a_interactivo&quot;).Motivación: Esta_x000a_ entrega refleja una excelente preparación para los temas del primer _x000a_corte. Han comprendido la diferencia crítica entre la mutabilidad de una_x000a_ lista y la creación de nuevos objetos de datos. Mantengan este nivel de_x000a_ orden y claridad en sus exámenes presenciales. ¡Felicitaciones!Rúbrica de CalificaciónCriterio de EvaluaciónRequisito TécnicoPuntaje MáximoPuntaje ObtenidoOrdenamientoUso correcto del método .sort() sobre la lista original.15.015.0Automatización (For)Implementación efectiva del bucle para procesar los datos.15.015.0Manejo de ListasCreación de lista nueva y uso correcto de .append().10.010.0Claridad y FormatoImpresión de resultados con f-strings y documentación clara.10.010.0TOTAL50.050.0Diego Mauricio Zuluaga Rodríguez Profesor - Departamento de Economía Universidad de La Sabana"/>
    <n v="5"/>
    <n v="5"/>
    <n v="1"/>
  </r>
  <r>
    <x v="12"/>
    <s v="Maria Juliana"/>
    <s v="Mejia Quintero"/>
    <s v="mariamequ@unisabana.edu.co"/>
    <x v="15"/>
    <d v="2026-02-25T00:00:00"/>
    <x v="5"/>
    <s v="Entregado"/>
    <s v="No hay archivo adjunto."/>
    <n v="0"/>
    <n v="5"/>
    <n v="0"/>
  </r>
  <r>
    <x v="13"/>
    <s v="Alejandra"/>
    <s v="Leon Vargas"/>
    <s v="alejandraleva@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Alejandra. Tu código es limpio, eficiente y cumple _x000a_estrictamente con cada uno de los requerimientos solicitados en el reto.Puntos Destacados:Atención al Detalle: A diferencia de otros casos, utilizaste exactamente la lista de precios solicitada en el enunciado [100, 20, 50, 80, 10]. Esto demuestra una lectura cuidadosa de los requerimientos.Uso de round(): Implementaste la función round(precio_con_iva, 2)._x000a_ Este es un valor agregado excelente, ya que en el área de _x000a_administración y economía, el manejo de decimales debe ser preciso y _x000a_estético.Lógica de Programación: El uso de .sort() para modificar la lista original y el bucle for para llenar la nueva lista con .append() es impecable.Documentación: Los comentarios son breves y precisos, facilitando la comprensión del flujo de datos.Motivación: Dominas_x000a_ las bases de las estructuras de datos y ciclos. Esta disciplina en la _x000a_validación de datos y el formato de salida te servirá mucho en el _x000a_parcial presencial. ¡Sigue así!Rúbrica de CalificaciónCriterio de EvaluaciónRequisito TécnicoPuntaje MáximoPuntaje ObtenidoOrdenamientoUso correcto del método .sort() sobre la lista original.15.015.0Automatización (For)Implementación efectiva del bucle para procesar los datos.15.015.0Manejo de ListasCreación de nueva lista y uso correcto de .append().10.010.0Documentación y DatosUso de los datos del enunciado y comentarios claros.10.010.0TOTAL50.050.0Diego Mauricio Zuluaga Rodríguez Profesor - Departamento de Economía Universidad de La Sabana"/>
    <n v="5"/>
    <n v="5"/>
    <n v="1"/>
  </r>
  <r>
    <x v="14"/>
    <s v="Alessandro Di Mauro"/>
    <s v="Bonilla Correa"/>
    <s v="alessandroboco@unisabana.edu.co"/>
    <x v="15"/>
    <d v="2026-02-25T00:00:00"/>
    <x v="5"/>
    <s v="Entregado"/>
    <s v="Retroalimentación de la Entrega: El Organizador de Precios (Bono)Calificación Final: 50/50 Incentivo Académico: Se otorgan +0.5 unidades para el Primer Parcial (Corte 1).Comentarios del Profesor: Excelente_x000a_ trabajo, equipo. Han seguido las instrucciones al pie de la letra y han_x000a_ demostrado un dominio sólido de las listas y los ciclos, que son temas _x000a_fundamentales para el examen de mañana.Puntos Destacados:Precisión Técnica: El uso del método .sort() fue correcto (modificación in-place) y el ciclo for para generar la nueva lista con IVA cumple con el patrón acumulador esperado.Documentación: El código está muy bien comentado, explicando cada paso del proceso, lo cual facilita la trazabilidad y el estudio.Uso de F-strings: La presentación de los resultados finales es clara y profesional.Observación de Autogestión:En el encabezado del Notebook, Alessandro mencionó que el punto es para el &quot;Parcial 2&quot;. Aclaro: Este bono corresponde al Parcial 1 (Corte 1)_x000a_ que se realiza este miércoles 25 de febrero. Es importante estar _x000a_atentos a los cortes académicos para una correcta autogestión de sus _x000a_notas.Motivación: Están_x000a_ listos para el parcial. Han demostrado que saben diferenciar entre _x000a_modificar una estructura existente y crear una nueva a partir de _x000a_cálculos. Sigan con este nivel de atención al detalle. ¡Muchos éxitos _x000a_mañana!Rúbrica de CalificaciónCriterio de EvaluaciónRequisito TécnicoPuntaje MáximoPuntaje ObtenidoOrdenamientoUso correcto del método .sort() con los datos exactos del reto.15.015.0Automatización (For)Implementación correcta del bucle para recorrer la lista de precios.15.015.0Creación de ListasUso efectivo de .append() para llenar la lista precios_con_iva.10.010.0Resultados y FormatoImpresión clara con f-strings y documentación del código.10.010.0TOTAL50.050.0Diego Mauricio Zuluaga Rodríguez Profesor - Departamento de Economía Universidad de La Sabana"/>
    <n v="5"/>
    <n v="5"/>
    <n v="1"/>
  </r>
  <r>
    <x v="15"/>
    <s v="Arianne Mariana"/>
    <s v="Amorocho Quiroga"/>
    <s v="arianneamqu@unisabana.edu.co"/>
    <x v="15"/>
    <d v="2026-02-25T00:00:00"/>
    <x v="5"/>
    <s v="Entregado"/>
    <s v="Retroalimentación de la Entrega: El Organizador de Precios (Bono)Calificación Final: 50/50 Incentivo Académico: Se otorgan +0.5 unidades para el Primer Parcial del 25 de febrero.Comentarios del Profesor: Equipo,_x000a_ el ejercicio está técnicamente correcto y demuestra que han comprendido_x000a_ la manipulación de listas. La lógica del patrón acumulador (crear lista_x000a_ vacía -&amp;gt; iterar -&amp;gt; llenar) está perfectamente implementada.Puntos Destacados:Lógica de Mutabilidad: Entendieron perfectamente que .sort() modifica la lista original y no requiere una reasignación.Procesamiento: El ciclo for con el cálculo del IVA y el uso de .append() es impecable.Documentación: Los comentarios en el código explican claramente el &quot;porqué&quot; de cada paso, lo cual es excelente para su estudio personal.Observación de Autogestión (Atención al Detalle):Aunque la lógica es perfecta, noté que cambiaron los datos de entrada. La imagen del reto solicitaba usar la lista [100, 20, 50, 80, 10], y ustedes usaron valores en miles (12000, etc.).En este bono no afecta la nota porque el objetivo era practicar la lógica, pero tengan cuidado en el Parcial:_x000a_ si el enunciado les da datos específicos, deben usar esos datos _x000a_exactos. En la vida real, si un cliente les da una base de datos, no _x000a_podemos cambiar los valores arbitrariamente.Motivación: Tienen_x000a_ la técnica dominada. Si aplican esta misma estructura lógica y orden en_x000a_ el parcial (respetando los datos del enunciado), les irá muy bien. _x000a_¡Buen trabajo!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Impresión clara de la lista original y la procesada.10.010.0TOTAL50.050.0Diego Mauricio Zuluaga Rodríguez Profesor - Departamento de Economía Universidad de La Sabana"/>
    <n v="5"/>
    <n v="5"/>
    <n v="1"/>
  </r>
  <r>
    <x v="16"/>
    <s v="Maria Juliana"/>
    <s v="Herrera Pulido"/>
    <s v="mariahepu@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con una precisión _x000a_impecable, demostrando un dominio sólido de las estructuras de datos _x000a_básicas de Python.Puntos Destacados:Fidelidad a los Datos: A diferencia de otros grupos, ustedes utilizaron exactamente la lista de precios solicitada en la imagen [100, 20, 50, 80, 10]. Esta atención al detalle es vital en el análisis de datos profesional.Uso de Métodos: El uso de .sort() para ordenar la lista original y .append() para construir la nueva colección es técnicamente correcto y eficiente.Lógica de Programación: La estructura del código es limpia y fácil de leer, cumpliendo con el estándar de &quot;Clean Code&quot;.Sugerencia de Mejora (Hacia el Parcial):Aunque el código es claro, para el parcial les sugiero usar f-strings en los print para darle un formato más profesional a los resultados (ej. agregar el símbolo de pesos $ y limitar los decimales a dos con :.2f).Motivación: Están_x000a_ listas para el parcial. Han demostrado que entienden cómo transformar _x000a_datos de manera secuencial y organizada. Mantengan esa rigurosidad en la_x000a_ evaluación presencial y obtendrán un resultado sobresaliente. _x000a_¡Felicitaciones!Rúbrica de CalificaciónCriterio de EvaluaciónRequisito TécnicoPuntaje MáximoPuntaje ObtenidoOrdenamientoUso correcto del método .sort() sobre la lista original.15.015.0Automatización (For)Implementación efectiva del bucle para procesar cada precio.15.015.0Manejo de ListasCreación de lista nueva y uso correcto de .append().10.010.0Seguimiento de InstruccionesUso de los datos exactos del enunciado y claridad en salida.10.010.0TOTAL50.050.0Diego Mauricio Zuluaga Rodríguez Profesor - Departamento de Economía Universidad de La Sabana"/>
    <n v="5"/>
    <n v="5"/>
    <n v="1"/>
  </r>
  <r>
    <x v="17"/>
    <s v="Simon Gustavo"/>
    <s v="Restrepo Alvarez"/>
    <s v="simonreal@unisabana.edu.co"/>
    <x v="15"/>
    <d v="2026-02-25T00:00:00"/>
    <x v="5"/>
    <s v="Entregado"/>
    <s v="Retroalimentación de la Entrega: El Organizador de Precios (Bono)Calificación Final: 50/50 Incentivo Académico: Se otorgan +0.5 unidades para el Primer Parcial del 25 de febrero.Comentarios del Profesor: Equipo,_x000a_ han ejecutado el ejercicio con total precisión técnica. A diferencia de_x000a_ otros grupos, ustedes mantuvieron los datos exactos solicitados en el _x000a_enunciado, lo cual demuestra una lectura rigurosa de los requerimientos.Puntos Destacados:Rigurosidad de Datos: El uso de la lista [100, 20, 50, 80, 10] es correcto.Uso de Métodos: Aplicaron .sort() de manera eficiente (in-place) y el método .append() dentro del ciclo para construir la nueva colección.Lógica Aritmética: El cálculo del IVA desglosado (precio * 0.19 y luego la suma) es claro y fácil de auditar.Observación de Vigilancia (Autogestión):Mateo Perez Daza y Simon Restrepo figuran en la lista oficial. Sin embargo, Diego Limas no aparece en el listado de 41 estudiantes inscritos_x000a_ en el curso &quot;Programación y Decisiones&quot;. Por favor, verifiquen si hay _x000a_un error en el nombre o si el estudiante debe regularizar su situación _x000a_académica.Motivación: El_x000a_ código es limpio y funcional. Están demostrando el dominio necesario _x000a_sobre las colecciones de datos para enfrentar el parcial de este _x000a_miércoles. Mantengan esa atención al detalle.Rúbrica de CalificaciónCriterio de EvaluaciónRequisito TécnicoPuntaje MáximoPuntaje ObtenidoOrdenamientoUso correcto del método .sort() sobre la lista original.15.015.0Automatización (For)Implementación correcta del bucle para procesar los datos.15.015.0Creación de ListasUso efectivo de .append() para la nueva lista precios_con_IVA.10.010.0ResultadosImpresión clara y correcta de ambas listas (original y final).10.010.0TOTAL50.050.0Diego Mauricio Zuluaga Rodríguez Profesor - Departamento de Economía Universidad de La Sabana"/>
    <n v="5"/>
    <n v="5"/>
    <n v="1"/>
  </r>
  <r>
    <x v="18"/>
    <s v="Daniel Felipe"/>
    <s v="Camacho Pedraza"/>
    <s v="danielcampe@unisabana.edu.co"/>
    <x v="15"/>
    <d v="2026-02-25T00:00:00"/>
    <x v="5"/>
    <s v="Entregado"/>
    <s v="No hay archivo adjunto."/>
    <n v="0"/>
    <n v="5"/>
    <n v="0"/>
  </r>
  <r>
    <x v="19"/>
    <s v="Mateo"/>
    <s v="Perez Daza"/>
    <s v="mateopeda@unisabana.edu.co"/>
    <x v="15"/>
    <d v="2026-02-25T00:00:00"/>
    <x v="5"/>
    <s v="Entregado"/>
    <s v="Retroalimentación de la Entrega: El Organizador de Precios (Bono)Calificación Final: 50/50 Incentivo Académico: Se otorgan +0.5 unidades para el Primer Parcial del 25 de febrero.Comentarios del Profesor: Equipo,_x000a_ han ejecutado el ejercicio con total precisión técnica. A diferencia de_x000a_ otros grupos, ustedes mantuvieron los datos exactos solicitados en el _x000a_enunciado, lo cual demuestra una lectura rigurosa de los requerimientos.Puntos Destacados:Rigurosidad de Datos: El uso de la lista [100, 20, 50, 80, 10] es correcto.Uso de Métodos: Aplicaron .sort() de manera eficiente (in-place) y el método .append() dentro del ciclo para construir la nueva colección.Lógica Aritmética: El cálculo del IVA desglosado (precio * 0.19 y luego la suma) es claro y fácil de auditar.Observación de Vigilancia (Autogestión):Mateo Perez Daza y Simon Restrepo figuran en la lista oficial. Sin embargo, Diego Limas no aparece en el listado de 41 estudiantes inscritos_x000a_ en el curso &quot;Programación y Decisiones&quot;. Por favor, verifiquen si hay _x000a_un error en el nombre o si el estudiante debe regularizar su situación _x000a_académica.Motivación: El_x000a_ código es limpio y funcional. Están demostrando el dominio necesario _x000a_sobre las colecciones de datos para enfrentar el parcial de este _x000a_miércoles. Mantengan esa atención al detalle.Rúbrica de CalificaciónCriterio de EvaluaciónRequisito TécnicoPuntaje MáximoPuntaje ObtenidoOrdenamientoUso correcto del método .sort() sobre la lista original.15.015.0Automatización (For)Implementación correcta del bucle para procesar los datos.15.015.0Creación de ListasUso efectivo de .append() para la nueva lista precios_con_IVA.10.010.0ResultadosImpresión clara y correcta de ambas listas (original y final).10.010.0TOTAL50.050.0Diego Mauricio Zuluaga Rodríguez Profesor - Departamento de Economía Universidad de La Sabana"/>
    <n v="5"/>
    <n v="5"/>
    <n v="1"/>
  </r>
  <r>
    <x v="20"/>
    <s v="Matias"/>
    <s v="Mondragon Osorio"/>
    <s v="matiasmoos@unisabana.edu.co"/>
    <x v="15"/>
    <d v="2026-02-25T00:00:00"/>
    <x v="5"/>
    <s v="Entregado"/>
    <s v="Retroalimentación de la Entrega: El Organizador de Precios (Bono)Calificación Final: 50/50 Incentivo Académico: Se otorgan +0.5 unidades para el Primer Parcial del 25 de febrero.Comentarios del Profesor: Equipo,_x000a_ el ejercicio está técnicamente correcto y demuestra que han comprendido_x000a_ la manipulación de listas. La lógica del patrón acumulador (crear lista_x000a_ vacía -&amp;gt; iterar -&amp;gt; llenar) está perfectamente implementada.Puntos Destacados:Lógica de Mutabilidad: Entendieron perfectamente que .sort() modifica la lista original y no requiere una reasignación.Procesamiento: El ciclo for con el cálculo del IVA y el uso de .append() es impecable.Documentación: Los comentarios en el código explican claramente el &quot;porqué&quot; de cada paso, lo cual es excelente para su estudio personal.Observación de Autogestión (Atención al Detalle):Aunque la lógica es perfecta, noté que cambiaron los datos de entrada. La imagen del reto solicitaba usar la lista [100, 20, 50, 80, 10], y ustedes usaron valores en miles (12000, etc.).En este bono no afecta la nota porque el objetivo era practicar la lógica, pero tengan cuidado en el Parcial:_x000a_ si el enunciado les da datos específicos, deben usar esos datos _x000a_exactos. En la vida real, si un cliente les da una base de datos, no _x000a_podemos cambiar los valores arbitrariamente.Motivación: Tienen_x000a_ la técnica dominada. Si aplican esta misma estructura lógica y orden en_x000a_ el parcial (respetando los datos del enunciado), les irá muy bien. _x000a_¡Buen trabajo!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Impresión clara de la lista original y la procesada.10.010.0TOTAL50.050.0Diego Mauricio Zuluaga Rodríguez Profesor - Departamento de Economía Universidad de La Sabana"/>
    <n v="5"/>
    <n v="5"/>
    <n v="1"/>
  </r>
  <r>
    <x v="21"/>
    <s v="Juan David"/>
    <s v="Neuta Medina"/>
    <s v="juanneme@unisabana.edu.co"/>
    <x v="15"/>
    <d v="2026-02-25T00:00:00"/>
    <x v="5"/>
    <s v="Entregado"/>
    <s v="Retroalimentación de la Entrega: El Organizador de Precios (Bono)Calificación Final: 45/50 Incentivo Académico: Se otorgan +0.5 unidades para el Primer Parcial del 25 de febrero.Comentarios del Profesor: Equipo,_x000a_ la lógica técnica del ejercicio es impecable. Han utilizado los datos _x000a_exactos solicitados en el reto y el flujo de control (ordenamiento -&amp;gt;_x000a_ iteración -&amp;gt; acumulación) funciona perfectamente.Puntos Destacados:Precisión de Datos: A diferencia de otros grupos, ustedes mantuvieron los valores originales del enunciado, lo cual demuestra atención al detalle.Eficacia: El código es minimalista y cumple con la función de transformar los datos mediante el bucle for.Oportunidad de Mejora (Rigurosidad y Autogestión):Falta de Documentación: Las instrucciones de autogestión solicitaban explícitamente que el código estuviera &quot;debidamente documentado&quot;. Su entrega no contiene un solo comentario (#) ni celdas de Markdown explicando la lógica.En_x000a_ este curso, el &quot;qué&quot; (resultado) es tan importante como el &quot;cómo&quot; _x000a_(explicación). La falta de comentarios penaliza la nota de esta entrega,_x000a_ ya que no se evidencia el seguimiento completo de las instrucciones.Motivación: Tienen una excelente base lógica. Para el parcial del miércoles, recuerden que documentar es obligatorio._x000a_ Un código sin explicar es difícil de auditar en un entorno profesional._x000a_ Mantengan la precisión técnica y sumen la rigurosidad en la _x000a_documentación. ¡Van por buen camino!Rúbrica de CalificaciónCriterio de EvaluaciónRequisito TécnicoPuntaje MáximoPuntaje ObtenidoOrdenamientoUso correcto del método .sort().15.015.0Automatización (For)Implementación correcta del bucle para recorrer la lista.15.015.0Creación de ListasUso efectivo de .append() para generar la nueva lista.10.010.0DocumentaciónCódigo debidamente documentado con comentarios y Markdown.10.05.0TOTAL50.045.0Diego Mauricio Zuluaga Rodríguez Profesor - Departamento de Economía Universidad de La Sabana"/>
    <n v="4.5"/>
    <n v="5"/>
    <n v="0.9"/>
  </r>
  <r>
    <x v="22"/>
    <s v="Laura Fernanda"/>
    <s v="Lopez Parra"/>
    <s v="lauraloppa@unisabana.edu.co"/>
    <x v="15"/>
    <d v="2026-02-25T00:00:00"/>
    <x v="5"/>
    <s v="Entregado"/>
    <s v="Retroalimentación de la Entrega: El Organizador de Precios (Bono)Calificación Final: 45/50 Incentivo Académico: Se otorgan +0.5 unidades para el Primer Parcial del 25 de febrero.Comentarios del Profesor: Equipo,_x000a_ la lógica técnica del ejercicio es impecable. Han utilizado los datos _x000a_exactos solicitados en el reto y el flujo de control (ordenamiento -&amp;gt;_x000a_ iteración -&amp;gt; acumulación) funciona perfectamente.Puntos Destacados:Precisión de Datos: A diferencia de otros grupos, ustedes mantuvieron los valores originales del enunciado, lo cual demuestra atención al detalle.Eficacia: El código es minimalista y cumple con la función de transformar los datos mediante el bucle for.Oportunidad de Mejora (Rigurosidad y Autogestión):Falta de Documentación: Las instrucciones de autogestión solicitaban explícitamente que el código estuviera &quot;debidamente documentado&quot;. Su entrega no contiene un solo comentario (#) ni celdas de Markdown explicando la lógica.En_x000a_ este curso, el &quot;qué&quot; (resultado) es tan importante como el &quot;cómo&quot; _x000a_(explicación). La falta de comentarios penaliza la nota de esta entrega,_x000a_ ya que no se evidencia el seguimiento completo de las instrucciones.Motivación: Tienen una excelente base lógica. Para el parcial del miércoles, recuerden que documentar es obligatorio._x000a_ Un código sin explicar es difícil de auditar en un entorno profesional._x000a_ Mantengan la precisión técnica y sumen la rigurosidad en la _x000a_documentación. ¡Van por buen camino!Rúbrica de CalificaciónCriterio de EvaluaciónRequisito TécnicoPuntaje MáximoPuntaje ObtenidoOrdenamientoUso correcto del método .sort().15.015.0Automatización (For)Implementación correcta del bucle para recorrer la lista.15.015.0Creación de ListasUso efectivo de .append() para generar la nueva lista.10.010.0DocumentaciónCódigo debidamente documentado con comentarios y Markdown.10.05.0TOTAL50.045.0Diego Mauricio Zuluaga Rodríguez Profesor - Departamento de Economía Universidad de La Sabana"/>
    <n v="4.5"/>
    <n v="5"/>
    <n v="0.9"/>
  </r>
  <r>
    <x v="23"/>
    <s v="Lukas"/>
    <s v="Blanco Llanes"/>
    <s v="lukasblll@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_x000a_utilizando los datos exactos proporcionados en el reto. El código es _x000a_limpio, eficiente y demuestra una comprensión sólida de la manipulación _x000a_de listas.Puntos Destacados:Precisión de Datos: A diferencia de otros grupos, ustedes mantuvieron la lista original solicitada [100, 20, 50, 80, 10], lo cual demuestra una lectura rigurosa del enunciado.Atención al Detalle: El uso de la función round(precio_iva, 2)_x000a_ es un valor agregado excelente. En finanzas y economía, el manejo de _x000a_decimales es crítico y redondear a dos cifras es la práctica estándar.Lógica de Mutabilidad: Aplicaron correctamente el método .sort() de forma directa sobre la lista original.Sugerencia Técnica:_x000a_ La documentación es clara y numerada según los pasos del reto, lo cual _x000a_facilita la revisión. Sigan manteniendo este orden en sus entregas _x000a_futuras.Motivación: Están demostrando una excelente capacidad de autogestión._x000a_ Llegar al parcial con estos conceptos claros y con el bono de +0.5 les _x000a_da una ventaja competitiva importante. ¡Continúen con ese nivel de _x000a_detalle!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 y FormatoImpresión clara y uso de redondeo para precisión financiera.10.010.0TOTAL50.050.0Diego Mauricio Zuluaga Rodríguez Profesor - Departamento de Economía Universidad de La Sabana"/>
    <n v="5"/>
    <n v="5"/>
    <n v="1"/>
  </r>
  <r>
    <x v="24"/>
    <s v="Juan Sebastian"/>
    <s v="Salas Hinojosa"/>
    <s v="juansahi@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_x000a_utilizando los datos exactos proporcionados en el reto. El código es _x000a_limpio, eficiente y demuestra una comprensión sólida de la manipulación _x000a_de listas.Puntos Destacados:Precisión de Datos: A diferencia de otros grupos, ustedes mantuvieron la lista original solicitada [100, 20, 50, 80, 10], lo cual demuestra una lectura rigurosa del enunciado.Atención al Detalle: El uso de la función round(precio_iva, 2)_x000a_ es un valor agregado excelente. En finanzas y economía, el manejo de _x000a_decimales es crítico y redondear a dos cifras es la práctica estándar.Lógica de Mutabilidad: Aplicaron correctamente el método .sort() de forma directa sobre la lista original.Sugerencia Técnica:_x000a_ La documentación es clara y numerada según los pasos del reto, lo cual _x000a_facilita la revisión. Sigan manteniendo este orden en sus entregas _x000a_futuras.Motivación: Están demostrando una excelente capacidad de autogestión._x000a_ Llegar al parcial con estos conceptos claros y con el bono de +0.5 les _x000a_da una ventaja competitiva importante. ¡Continúen con ese nivel de _x000a_detalle!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Resultados y FormatoImpresión clara y uso de redondeo para precisión financiera.10.010.0TOTAL50.050.0Diego Mauricio Zuluaga Rodríguez Profesor - Departamento de Economía Universidad de La Sabana"/>
    <n v="5"/>
    <n v="5"/>
    <n v="1"/>
  </r>
  <r>
    <x v="25"/>
    <s v="Avril Avril"/>
    <s v="Ariza Quitian"/>
    <s v="avrilarqu@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Samantha y Avril. Han seguido las instrucciones con precisión _x000a_quirúrgica, utilizando exactamente los datos solicitados en el _x000a_enunciado.Puntos Destacados:Fidelidad a los Datos: A diferencia de otros grupos, ustedes utilizaron la lista exacta del reto [100, 20, 50, 80, 10]. Esto demuestra una lectura cuidadosa de los requerimientos.Dominio Técnico: El uso del método .sort() para ordenar la lista original y la implementación del bucle for con .append() para la nueva lista es impecable.Sanity Check: Los comentarios en el código son breves pero efectivos, facilitando la comprensión del flujo lógico.Observación Técnica (Para el futuro):En la salida de consola, notarán que Python muestra muchos decimales (ej. 11.899999999999999)._x000a_ Esto es normal por la forma en que los computadores procesan números _x000a_flotantes. Para un reporte financiero profesional, más adelante _x000a_aprenderemos a usar round() o f-strings (:.2f) para mostrar solo dos decimales.Motivación: Han_x000a_ demostrado que dominan las bases de las colecciones y los ciclos. Esta _x000a_estructura lógica es la que necesitan para resolver problemas complejos _x000a_en los próximos cortes. ¡Sigan con ese nivel de atención al detalle!Rúbrica de CalificaciónCriterio de EvaluaciónRequisito TécnicoPuntaje MáximoPuntaje ObtenidoOrdenamientoUso correcto del método .sort() sobre la lista original.15.015.0Automatización (For)Implementación correcta del bucle para procesar los datos.15.015.0Manejo de ListasCreación de lista vacía y uso de .append() para resultados.10.010.0Claridad y FormatoImpresión de resultados y uso de los datos del enunciado.10.010.0TOTAL50.050.0Diego Mauricio Zuluaga Rodríguez Profesor - Departamento de Economía Universidad de La Sabana"/>
    <n v="5"/>
    <n v="5"/>
    <n v="1"/>
  </r>
  <r>
    <x v="26"/>
    <s v="Samuel David"/>
    <s v="Simancas Contreras"/>
    <s v="samuelsico@unisabana.edu.co"/>
    <x v="15"/>
    <d v="2026-02-25T00:00:00"/>
    <x v="5"/>
    <s v="Entregado"/>
    <s v="No hay archivo adjunto."/>
    <n v="0"/>
    <n v="5"/>
    <n v="0"/>
  </r>
  <r>
    <x v="27"/>
    <s v="Maria Jose"/>
    <s v="Huertas Osorio"/>
    <s v="mariahueos@unisabana.edu.co"/>
    <x v="15"/>
    <d v="2026-02-25T00:00:00"/>
    <x v="5"/>
    <s v="Entregado"/>
    <s v="Retroalimentación de la Entrega: El Organizador de Precios (Bono)Calificación Final: 50/50 Incentivo Académico: Se otorgan +0.5 unidades para el Primer Parcial (Corte 1).Comentarios del Profesor: Excelente_x000a_ trabajo, equipo. Han seguido las instrucciones al pie de la letra y han_x000a_ demostrado un dominio sólido de las listas y los ciclos, que son temas _x000a_fundamentales para el examen de mañana.Puntos Destacados:Precisión Técnica: El uso del método .sort() fue correcto (modificación in-place) y el ciclo for para generar la nueva lista con IVA cumple con el patrón acumulador esperado.Documentación: El código está muy bien comentado, explicando cada paso del proceso, lo cual facilita la trazabilidad y el estudio.Uso de F-strings: La presentación de los resultados finales es clara y profesional.Observación de Autogestión:En el encabezado del Notebook, Alessandro mencionó que el punto es para el &quot;Parcial 2&quot;. Aclaro: Este bono corresponde al Parcial 1 (Corte 1)_x000a_ que se realiza este miércoles 25 de febrero. Es importante estar _x000a_atentos a los cortes académicos para una correcta autogestión de sus _x000a_notas.Motivación: Están_x000a_ listos para el parcial. Han demostrado que saben diferenciar entre _x000a_modificar una estructura existente y crear una nueva a partir de _x000a_cálculos. Sigan con este nivel de atención al detalle. ¡Muchos éxitos _x000a_mañana!Rúbrica de CalificaciónCriterio de EvaluaciónRequisito TécnicoPuntaje MáximoPuntaje ObtenidoOrdenamientoUso correcto del método .sort() con los datos exactos del reto.15.015.0Automatización (For)Implementación correcta del bucle para recorrer la lista de precios.15.015.0Creación de ListasUso efectivo de .append() para llenar la lista precios_con_iva.10.010.0Resultados y FormatoImpresión clara con f-strings y documentación del código.10.010.0TOTAL50.050.0Diego Mauricio Zuluaga Rodríguez Profesor - Departamento de Economía Universidad de La Sabana"/>
    <n v="5"/>
    <n v="5"/>
    <n v="1"/>
  </r>
  <r>
    <x v="28"/>
    <s v="Juan Camilo"/>
    <s v="Leyton Lancheros"/>
    <s v="juanleyla@unisabana.edu.co"/>
    <x v="15"/>
    <d v="2026-02-25T00:00:00"/>
    <x v="5"/>
    <s v="Entregado"/>
    <s v="Retroalimentación de la Entrega: El Organizador de PreciosCalificación Final: 42/50 Incentivo Académico: Se otorgan +0.4 unidades para el Primer Parcial (Penalización de 0.1 por omisión de instrucciones técnicas y de autogestión).Comentarios del Profesor: El código es funcional y demuestra un conocimiento avanzado de Python al utilizar List Comprehension._x000a_ Sin embargo, como analistas, deben seguir estrictamente los _x000a_requerimientos del cliente/docente para asegurar la estandarización de _x000a_los procesos.Observaciones Técnicas:Uso de List Comprehension: Aunque es una técnica eficiente, el enunciado solicitaba explícitamente el uso de un bucle for (tradicional) para practicar la estructura de acumulación (.append()).Precisión de Flotantes: El resultado muestra errores de precisión decimal (ej. 11.899999999999999). En finanzas, esto debe controlarse con la función round() o formato de f-strings para evitar confusiones en el usuario final.Falla en Autogestión:Documentación Ausente: El código no contiene ni una sola línea de comentario (#). La autogestión implica hacer visible su proceso de pensamiento y facilitar la auditoría del código por parte de terceros.Instrucciones: Se solicitó el uso de .sort() y lo aplicaron correctamente, pero omitieron la estructura de bucle solicitada.Motivación: Tienen un buen nivel técnico, pero en este curso la rigurosidad en el seguimiento de instrucciones y la documentación_x000a_ son tan importantes como el resultado. En el parcial, asegúrense de _x000a_usar las estructuras solicitadas y comentar su código para obtener el _x000a_puntaje completo.Rúbrica de CalificaciónCriterio de EvaluaciónRequisito TécnicoPuntaje MáximoPuntaje ObtenidoOrdenamientoUso correcto del método .sort().15.015.0AutomatizaciónImplementación de bucle for y .append() (Se usó List Comprehension).15.010.0Claridad de SalidaImpresión de ambas listas (Faltó formato de decimales).10.010.0AutogestiónCódigo debidamente documentado y comentado.10.07.0TOTAL50.042.0Diego Mauricio Zuluaga Rodríguez Profesor - Departamento de Economía Universidad de La Sabana"/>
    <n v="4.2"/>
    <n v="5"/>
    <n v="0.84000000000000008"/>
  </r>
  <r>
    <x v="29"/>
    <s v="Samuel Mathias"/>
    <s v="Gonzalez Bernal"/>
    <s v="samuelgonbe@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de la imagen con total _x000a_precisión, utilizando los datos exactos solicitados y aplicando la _x000a_lógica de programación de forma impecable.Puntos Destacados:Atención al Detalle: A diferencia de otros grupos, ustedes mantuvieron los datos originales del ejercicio ([100, 20, 50, 80, 10]), lo cual demuestra una lectura rigurosa de los requerimientos.Proactividad Técnica: El uso de la función round(precios_con_iva, 2)_x000a_ es un excelente aporte. En el mundo financiero y contable, el manejo de_x000a_ decimales es crítico, y redondear a dos cifras es la práctica estándar.Estructura Limpia: El código es minimalista, efectivo y está bien comentado.Observación de Mejora:En_x000a_ el último comentario del código escribieron &quot;Inspiramos&quot; en lugar de _x000a_&quot;Imprimimos&quot;. Es un detalle menor de redacción, pero en la documentación_x000a_ técnica la precisión en el lenguaje también suma profesionalismo.Motivación: Están_x000a_ listos para el parcial. Han demostrado que entienden cómo transformar _x000a_una lista y cómo generar una nueva sin destruir la información previa. _x000a_Mantengan esa rigurosidad con los datos el próximo miércoles. ¡Buen _x000a_trabajo!Rúbrica de CalificaciónCriterio de EvaluaciónRequisito TécnicoPuntaje MáximoPuntaje ObtenidoOrdenamientoUso correcto del método .sort() para organizar la lista original.15.015.0Automatización (For)Implementación correcta del bucle para procesar cada precio.15.015.0Creación de ListasUso efectivo de .append() y creación de lista independiente.10.010.0Resultados y FormatoImpresión clara y uso de round() para precisión financiera.10.010.0TOTAL50.050.0Diego Mauricio Zuluaga Rodríguez Profesor - Departamento de Economía Universidad de La Sabana"/>
    <n v="5"/>
    <n v="5"/>
    <n v="1"/>
  </r>
  <r>
    <x v="30"/>
    <s v="Valeria"/>
    <s v="Morales"/>
    <s v="valeriamor@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Han seguido las instrucciones al pie de la letra y han_x000a_ demostrado un dominio sólido de las estructuras de datos y ciclos.Puntos Destacados:Atención al Detalle: Utilizaron exactamente los datos solicitados en el enunciado, lo cual es vital para la precisión financiera.Presentación de Resultados: El uso de un segundo bucle for con f-strings (:.2f)_x000a_ para imprimir los precios finales con formato de moneda es un valor _x000a_agregado excelente. Esto mejora significativamente la legibilidad para _x000a_el usuario final.Estructura: El archivo está perfectamente organizado, separando la lógica de negocio de la presentación de los datos.Motivación: Están_x000a_ aplicando muy bien el concepto de &quot;Clean Code&quot;. Mantengan este nivel de_x000a_ orden y precisión en el parcial presencial. El manejo de listas y el _x000a_formato de salida son temas clave que ya tienen dominados. ¡Muchos _x000a_éxitos!Rúbrica de CalificaciónCriterio de EvaluaciónRequisito TécnicoPuntaje MáximoPuntaje ObtenidoOrdenamientoUso correcto del método .sort() para organizar la lista.15.015.0Automatización (For)Implementación correcta del bucle para recorrer la lista.15.015.0Creación de ListasUso efectivo de .append() para generar la nueva lista con IVA.10.010.0Resultados y FormatoImpresión clara y uso de formato numérico (:.2f).10.010.0TOTAL50.050.0Diego Mauricio Zuluaga Rodríguez Profesor - Departamento de Economía Universidad de La Sabana"/>
    <n v="5"/>
    <n v="5"/>
    <n v="1"/>
  </r>
  <r>
    <x v="31"/>
    <s v="Samantha"/>
    <s v="Vanegas Russi"/>
    <s v="samanthavaru@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Samantha y Avril. Han seguido las instrucciones con precisión _x000a_quirúrgica, utilizando exactamente los datos solicitados en el _x000a_enunciado.Puntos Destacados:Fidelidad a los Datos: A diferencia de otros grupos, ustedes utilizaron la lista exacta del reto [100, 20, 50, 80, 10]. Esto demuestra una lectura cuidadosa de los requerimientos.Dominio Técnico: El uso del método .sort() para ordenar la lista original y la implementación del bucle for con .append() para la nueva lista es impecable.Sanity Check: Los comentarios en el código son breves pero efectivos, facilitando la comprensión del flujo lógico.Observación Técnica (Para el futuro):En la salida de consola, notarán que Python muestra muchos decimales (ej. 11.899999999999999)._x000a_ Esto es normal por la forma en que los computadores procesan números _x000a_flotantes. Para un reporte financiero profesional, más adelante _x000a_aprenderemos a usar round() o f-strings (:.2f) para mostrar solo dos decimales.Motivación: Han_x000a_ demostrado que dominan las bases de las colecciones y los ciclos. Esta _x000a_estructura lógica es la que necesitan para resolver problemas complejos _x000a_en los próximos cortes. ¡Sigan con ese nivel de atención al detalle!Rúbrica de CalificaciónCriterio de EvaluaciónRequisito TécnicoPuntaje MáximoPuntaje ObtenidoOrdenamientoUso correcto del método .sort() sobre la lista original.15.015.0Automatización (For)Implementación correcta del bucle para procesar los datos.15.015.0Manejo de ListasCreación de lista vacía y uso de .append() para resultados.10.010.0Claridad y FormatoImpresión de resultados y uso de los datos del enunciado.10.010.0TOTAL50.050.0Diego Mauricio Zuluaga Rodríguez Profesor - Departamento de Economía Universidad de La Sabana"/>
    <n v="5"/>
    <n v="5"/>
    <n v="1"/>
  </r>
  <r>
    <x v="32"/>
    <s v="Juan Jose"/>
    <s v="Caballero Mantilla"/>
    <s v="juancabma@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El código es limpio, está muy bien estructurado y _x000a_cumple con todos los requisitos técnicos solicitados en el reto.Puntos Destacados:Documentación Profesional:_x000a_ El encabezado con autor y descripción, sumado a los comentarios _x000a_numerados, facilita enormemente la lectura y el mantenimiento del _x000a_código. Es una excelente práctica de &quot;Clean Code&quot;.Dominio de Listas: El uso de .sort() para ordenar y .append() para construir la nueva lista demuestra que tienen claros los conceptos de mutabilidad y persistencia de datos.Lógica de Negocio: El cálculo del IVA y la presentación de resultados son precisos.Observación de Autogestión (Importante para el Parcial):Al igual que otros grupos, noté que no utilizaron los datos exactos de la imagen ([100, 20, 50, 80, 10]), sino valores en miles.Advertencia:_x000a_ Para el parcial de este miércoles, la rigurosidad con los datos del _x000a_enunciado es obligatoria. Si el examen pide procesar una lista _x000a_específica, deben usar esa y no otra, ya que en un entorno financiero _x000a_real, cambiar los datos de entrada invalidaría el reporte.Motivación: Están_x000a_ demostrando una estructura mental muy organizada para programar. Sigan _x000a_así y aseguren esa misma atención al detalle en el parcial presencial. _x000a_¡Muchos éxitos!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Documentación y FormatoCódigo comentado y uso correcto de celdas en el Notebook.10.010.0TOTAL50.050.0Diego Mauricio Zuluaga Rodríguez Profesor - Departamento de Economía Universidad de La Sabana"/>
    <n v="5"/>
    <n v="5"/>
    <n v="1"/>
  </r>
  <r>
    <x v="33"/>
    <s v="Daniel Camilo"/>
    <s v="Lopez Piraquive"/>
    <s v="danielloppi@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El código es limpio, está muy bien estructurado y _x000a_cumple con todos los requisitos técnicos solicitados en el reto.Puntos Destacados:Documentación Profesional:_x000a_ El encabezado con autor y descripción, sumado a los comentarios _x000a_numerados, facilita enormemente la lectura y el mantenimiento del _x000a_código. Es una excelente práctica de &quot;Clean Code&quot;.Dominio de Listas: El uso de .sort() para ordenar y .append() para construir la nueva lista demuestra que tienen claros los conceptos de mutabilidad y persistencia de datos.Lógica de Negocio: El cálculo del IVA y la presentación de resultados son precisos.Observación de Autogestión (Importante para el Parcial):Al igual que otros grupos, noté que no utilizaron los datos exactos de la imagen ([100, 20, 50, 80, 10]), sino valores en miles.Advertencia:_x000a_ Para el parcial de este miércoles, la rigurosidad con los datos del _x000a_enunciado es obligatoria. Si el examen pide procesar una lista _x000a_específica, deben usar esa y no otra, ya que en un entorno financiero _x000a_real, cambiar los datos de entrada invalidaría el reporte.Motivación: Están_x000a_ demostrando una estructura mental muy organizada para programar. Sigan _x000a_así y aseguren esa misma atención al detalle en el parcial presencial. _x000a_¡Muchos éxitos!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Documentación y FormatoCódigo comentado y uso correcto de celdas en el Notebook.10.010.0TOTAL50.050.0Diego Mauricio Zuluaga Rodríguez Profesor - Departamento de Economía Universidad de La Sabana"/>
    <n v="5"/>
    <n v="5"/>
    <n v="1"/>
  </r>
  <r>
    <x v="34"/>
    <s v="Gabriela"/>
    <s v="Ruiz Perez"/>
    <s v="gabrielarupe@unisabana.edu.co"/>
    <x v="15"/>
    <d v="2026-02-25T00:00:00"/>
    <x v="5"/>
    <s v="Entregado"/>
    <s v="Retroalimentación de la Entrega: El Organizador de Precios (Bono)Calificación Final: 50/50 Incentivo Académico: Se otorgan +0.5 unidades para el Primer Parcial (Corte 1).Comentarios del Profesor: Excelente_x000a_ trabajo, equipo. Han seguido las instrucciones al pie de la letra y han_x000a_ demostrado un dominio sólido de las listas y los ciclos, que son temas _x000a_fundamentales para el examen de mañana.Puntos Destacados:Precisión Técnica: El uso del método .sort() fue correcto (modificación in-place) y el ciclo for para generar la nueva lista con IVA cumple con el patrón acumulador esperado.Documentación: El código está muy bien comentado, explicando cada paso del proceso, lo cual facilita la trazabilidad y el estudio.Uso de F-strings: La presentación de los resultados finales es clara y profesional.Observación de Autogestión:En el encabezado del Notebook, Alessandro mencionó que el punto es para el &quot;Parcial 2&quot;. Aclaro: Este bono corresponde al Parcial 1 (Corte 1)_x000a_ que se realiza este miércoles 25 de febrero. Es importante estar _x000a_atentos a los cortes académicos para una correcta autogestión de sus _x000a_notas.Motivación: Están_x000a_ listos para el parcial. Han demostrado que saben diferenciar entre _x000a_modificar una estructura existente y crear una nueva a partir de _x000a_cálculos. Sigan con este nivel de atención al detalle. ¡Muchos éxitos _x000a_mañana!Rúbrica de CalificaciónCriterio de EvaluaciónRequisito TécnicoPuntaje MáximoPuntaje ObtenidoOrdenamientoUso correcto del método .sort() con los datos exactos del reto.15.015.0Automatización (For)Implementación correcta del bucle para recorrer la lista de precios.15.015.0Creación de ListasUso efectivo de .append() para llenar la lista precios_con_iva.10.010.0Resultados y FormatoImpresión clara con f-strings y documentación del código.10.010.0TOTAL50.050.0Diego Mauricio Zuluaga Rodríguez Profesor - Departamento de Economía Universidad de La Sabana"/>
    <n v="5"/>
    <n v="5"/>
    <n v="1"/>
  </r>
  <r>
    <x v="35"/>
    <s v="Juan Sebastian"/>
    <s v="Perdomo Herrera"/>
    <s v="juanperhe@unisabana.edu.co"/>
    <x v="15"/>
    <d v="2026-02-25T00:00:00"/>
    <x v="5"/>
    <s v="Entregado"/>
    <s v="No hay archivo adjunto."/>
    <n v="0"/>
    <n v="5"/>
    <n v="0"/>
  </r>
  <r>
    <x v="36"/>
    <s v="Martin Martin"/>
    <s v="Trujillo Rodriguez"/>
    <s v="martintrro@unisabana.edu.co"/>
    <x v="15"/>
    <d v="2026-02-25T00:00:00"/>
    <x v="5"/>
    <s v="Entregado"/>
    <s v="Retroalimentación de la Entrega: El Organizador de Precios (Bono)Calificación Final: 50/50 Incentivo Académico: Se otorgan +0.5 unidades para el Primer Parcial del 25 de febrero.Comentarios del Profesor: Excelente_x000a_ trabajo, equipo. El código es limpio, está muy bien estructurado y _x000a_cumple con todos los requisitos técnicos solicitados en el reto.Puntos Destacados:Documentación Profesional:_x000a_ El encabezado con autor y descripción, sumado a los comentarios _x000a_numerados, facilita enormemente la lectura y el mantenimiento del _x000a_código. Es una excelente práctica de &quot;Clean Code&quot;.Dominio de Listas: El uso de .sort() para ordenar y .append() para construir la nueva lista demuestra que tienen claros los conceptos de mutabilidad y persistencia de datos.Lógica de Negocio: El cálculo del IVA y la presentación de resultados son precisos.Observación de Autogestión (Importante para el Parcial):Al igual que otros grupos, noté que no utilizaron los datos exactos de la imagen ([100, 20, 50, 80, 10]), sino valores en miles.Advertencia:_x000a_ Para el parcial de este miércoles, la rigurosidad con los datos del _x000a_enunciado es obligatoria. Si el examen pide procesar una lista _x000a_específica, deben usar esa y no otra, ya que en un entorno financiero _x000a_real, cambiar los datos de entrada invalidaría el reporte.Motivación: Están_x000a_ demostrando una estructura mental muy organizada para programar. Sigan _x000a_así y aseguren esa misma atención al detalle en el parcial presencial. _x000a_¡Muchos éxitos!Rúbrica de CalificaciónCriterio de EvaluaciónRequisito TécnicoPuntaje MáximoPuntaje ObtenidoOrdenamientoUso correcto del método .sort() (modificación in-place).15.015.0Automatización (For)Implementación correcta del bucle para recorrer la lista.15.015.0Creación de ListasUso efectivo de .append() para generar la nueva lista con IVA.10.010.0Documentación y FormatoCódigo comentado y uso correcto de celdas en el Notebook.10.010.0TOTAL50.050.0Diego Mauricio Zuluaga Rodríguez Profesor - Departamento de Economía Universidad de La Sabana"/>
    <n v="5"/>
    <n v="5"/>
    <n v="1"/>
  </r>
  <r>
    <x v="37"/>
    <s v="Alan David"/>
    <s v="Rossoff Vanegas"/>
    <s v="alanrova@unisabana.edu.co"/>
    <x v="15"/>
    <d v="2026-02-25T00:00:00"/>
    <x v="5"/>
    <s v="Entregado"/>
    <s v="No hay archivo adjunto."/>
    <n v="0"/>
    <n v="5"/>
    <n v="0"/>
  </r>
  <r>
    <x v="38"/>
    <s v="Diego Alejandro"/>
    <s v="Hermida Limas"/>
    <s v="diegoherli@unisabana.edu.co"/>
    <x v="15"/>
    <d v="2026-02-25T00:00:00"/>
    <x v="5"/>
    <s v="Entregado"/>
    <s v="Retroalimentación de la Entrega: El Organizador de Precios (Bono)Calificación Final: 50/50 Incentivo Académico: Se otorgan +0.5 unidades para el Primer Parcial del 25 de febrero.Comentarios del Profesor: Equipo,_x000a_ han ejecutado el ejercicio con total precisión técnica. A diferencia de_x000a_ otros grupos, ustedes mantuvieron los datos exactos solicitados en el _x000a_enunciado, lo cual demuestra una lectura rigurosa de los requerimientos.Puntos Destacados:Rigurosidad de Datos: El uso de la lista [100, 20, 50, 80, 10] es correcto.Uso de Métodos: Aplicaron .sort() de manera eficiente (in-place) y el método .append() dentro del ciclo para construir la nueva colección.Lógica Aritmética: El cálculo del IVA desglosado (precio * 0.19 y luego la suma) es claro y fácil de auditar.Observación de Vigilancia (Autogestión):Mateo Perez Daza y Simon Restrepo figuran en la lista oficial. Sin embargo, Diego Limas no aparece en el listado de 41 estudiantes inscritos_x000a_ en el curso &quot;Programación y Decisiones&quot;. Por favor, verifiquen si hay _x000a_un error en el nombre o si el estudiante debe regularizar su situación _x000a_académica.Motivación: El_x000a_ código es limpio y funcional. Están demostrando el dominio necesario _x000a_sobre las colecciones de datos para enfrentar el parcial de este _x000a_miércoles. Mantengan esa atención al detalle.Rúbrica de CalificaciónCriterio de EvaluaciónRequisito TécnicoPuntaje MáximoPuntaje ObtenidoOrdenamientoUso correcto del método .sort() sobre la lista original.15.015.0Automatización (For)Implementación correcta del bucle para procesar los datos.15.015.0Creación de ListasUso efectivo de .append() para la nueva lista precios_con_IVA.10.010.0ResultadosImpresión clara y correcta de ambas listas (original y final).10.010.0TOTAL50.050.0Diego Mauricio Zuluaga Rodríguez Profesor - Departamento de Economía Universidad de La Sabana"/>
    <n v="5"/>
    <n v="5"/>
    <n v="1"/>
  </r>
  <r>
    <x v="0"/>
    <s v="Paula Andrea"/>
    <s v="Arciniegas Cardenas"/>
    <s v="paulaarcca@unisabana.edu.co"/>
    <x v="16"/>
    <d v="2026-02-25T00:00:00"/>
    <x v="5"/>
    <s v="Entregado"/>
    <s v="Retroalimentación de la Entrega: Sistema de Login Seguro (Bono)Calificación Final: 50/50 Incentivo Académico: Se otorgan +0.5 unidades para el Primer Parcial del 25 de febrero.Comentarios del Profesor: Excelente_x000a_ trabajo, Valeria y Paula. Han presentado una solución limpia, bien _x000a_estructurada y que cumple rigurosamente con todos los parámetros _x000a_técnicos solicitados.Puntos Destacados:Documentación Profesional: La celda de Markdown inicial es ejemplar; describe el problema, los objetivos y los integrantes de forma impecable.Lógica de Control: El uso del ciclo while y la sentencia break es preciso. El programa se detiene exactamente cuando debe, optimizando el flujo de ejecución.Manejo de Estados: La validación de restantes &amp;gt; 0_x000a_ dentro del bloque de fallo permite una comunicación clara con el _x000a_usuario, diferenciando entre un error común y el bloqueo final de la _x000a_cuenta.Sugerencia Técnica: El código es sólido. Como buena práctica adicional, podrían explorar el uso de f-strings para los mensajes de salida, por ejemplo: print(f&quot;Intentos restantes: {restantes}&quot;), para mantener la consistencia con lo visto en las últimas sesiones.Motivación: Han_x000a_ demostrado que comprenden cómo aplicar la lógica de programación a un _x000a_caso de uso real de seguridad bancaria. Esta capacidad de estructurar el_x000a_ pensamiento antes de codificar es lo que evaluaré con mayor rigor en el_x000a_ parcial presencial. ¡Sigan 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
    <s v="Sofia"/>
    <s v="Giraldo Pico"/>
    <s v="sofiagipi@unisabana.edu.co"/>
    <x v="16"/>
    <d v="2026-02-25T00:00:00"/>
    <x v="5"/>
    <s v="Entregado"/>
    <s v="Retroalimentación de la Entrega: Sistema de Login Seguro (Bono)Estudiante: Sofia Giraldo Pico Calificación Final: 1.0 / 5.0 (10/50 puntos) Incentivo Académico: Se otorgan +0.1 unidades (proporcional a la nota) para el Primer Parcial.Comentarios del Profesor: Sofía, a nivel técnico tu código es impecable. La lógica del ciclo while, el uso del break_x000a_ y el cálculo de los intentos restantes están perfectamente _x000a_estructurados. Demuestras un dominio claro de las estructuras de _x000a_control.El motivo de la calificación:_x000a_ Como establecimos en nuestro contrato pedagógico (Reglas de Oro) y en _x000a_las metas del Departamento de Economía, la competencia de Autogestión y el cumplimiento estricto de los cronogramas son innegociables. Tu entrega se registró con 8 horas de retraso.Motivación: En_x000a_ el mundo de los negocios y las finanzas, entregar un modelo perfecto _x000a_fuera de tiempo puede significar perder una ventana de inversión. Tienes_x000a_ un talento evidente para la programación y la lógica; ahora el reto es _x000a_acompañar esa habilidad técnica con una gestión del tiempo impecable. _x000a_¡Ajusta tus cronogramas y sigue adelante, que el potencial lo tienes!Rúbrica de CalificaciónCriterio de EvaluaciónRequisito TécnicoPuntaje BaseSeguridadDefinición de variable contrasena_correcta.5.0Control de IntentosImplementación de while limitado a 3 intentos.10.0InteracciónUso correcto de input() para capturar la clave.5.0Lógica de ÉxitoUso de if, print(&quot;Bienvenido&quot;) y break.10.0Lógica de FalloCálculo y muestra de intentos restantes.10.0BloqueoMensaje &quot;Cuenta Bloqueada&quot; al agotar intentos.10.0Subtotal TécnicoEl código cumple con todos los requisitos.50.0PENALIDAD AUTOGESTIÓNRetraso de 8 horas en la entrega en plataforma.- 40.0TOTAL OBTENIDO10.0 / 50.0 (1.0)Diego Mauricio Zuluaga Rodríguez Profesor - Departamento de Economía Universidad de La Sabana"/>
    <n v="1"/>
    <n v="5"/>
    <n v="0.2"/>
  </r>
  <r>
    <x v="2"/>
    <s v="Valery"/>
    <s v="Linares Hernandez"/>
    <s v="valerylihe@unisabana.edu.co"/>
    <x v="16"/>
    <d v="2026-02-25T00:00:00"/>
    <x v="5"/>
    <s v="Entregado"/>
    <s v="Retroalimentación de la Entrega: Sistema de Login Seguro (Bono)Calificación Final: 50/50 Incentivo Académico: Se otorgan +0.5 unidades para el Primer Parcial del 25 de febrero.Comentarios del Profesor: Excelente_x000a_ trabajo, María José. El código cumple con rigor técnico cada uno de los_x000a_ requisitos solicitados en el reto. La lógica de control de intentos _x000a_está bien estructurada y el uso de herramientas de interrupción de flujo_x000a_ es el adecuado.Valery tiene 2 puntos menos por entregar 1 hora tarde.  Puntos Destacados:Estructura de Control: El uso del ciclo while con la condición de parada basada en el contador de intentos es correcto.Uso de break:_x000a_ Implementaste correctamente la salida anticipada del bucle al validar _x000a_la contraseña, lo cual es una práctica de eficiencia en programación.Cálculo de Intentos: La lógica para informar al usuario cuántas oportunidades le quedan es precisa y mejora la experiencia de usuario (UX).Presentación: El archivo .ipynb está bien organizado, con celdas de Markdown que identifican claramente a las autoras.Motivación: Han_x000a_ demostrado que dominan la lógica de condicionales anidados dentro de _x000a_bucles. Esta es la base para los retos más complejos que enfrentaremos _x000a_en el segundo corte. Sigan con este nivel de compromiso y preparación _x000a_para asegurar la excelencia en el parcial presencial.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3"/>
    <n v="5"/>
    <n v="0.6"/>
  </r>
  <r>
    <x v="3"/>
    <s v="Nicolas"/>
    <s v="Torres Calderon"/>
    <s v="nicolastorca@unisabana.edu.co"/>
    <x v="16"/>
    <d v="2026-02-25T00:00:00"/>
    <x v="5"/>
    <s v="Entregado"/>
    <s v="Retroalimentación de la Entrega: Sistema de Login Seguro (Bono)Calificación Final: 50/50 Incentivo Académico: Se otorgan +0.5 unidades para el Primer Parcial del 25 de febrero a cada integrante del grupo.Comentarios del Profesor: Excelente_x000a_ trabajo, equipo. Han implementado una solución robusta que cumple con _x000a_todos los requerimientos técnicos y de seguridad lógica solicitados.Puntos Destacados:Lógica de Control: El uso del bucle while junto con el contador de intentos es impecable.Eficiencia: La implementación del break garantiza que el programa no siga consumiendo recursos una vez que el usuario se ha autenticado correctamente.Experiencia de Usuario (UX): El mensaje dinámico que informa los intentos restantes es una excelente práctica en el desarrollo de aplicaciones financieras.Documentación: El código está bien comentado, lo que facilita la trazabilidad y el mantenimiento del script.Motivación: Han_x000a_ demostrado que dominan las estructuras de control básicas. Esta base _x000a_lógica es fundamental para el parcial presencial. Sigan trabajando con _x000a_esa rigurosidad técnica; los espero el miércoles listos para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4"/>
    <s v="Cristian"/>
    <s v="Bermudez"/>
    <s v="cristianbe@unisabana.edu.co"/>
    <x v="16"/>
    <d v="2026-02-25T00:00:00"/>
    <x v="5"/>
    <s v="Entregado"/>
    <s v="Retroalimentación de la Entrega: Sistema de Login Seguro (Bono)Calificación Final: 50/50 Incentivo Académico: Se otorgan +0.5 unidades para el Primer Parcial del 25 de febrero a cada integrante del grupo.Comentarios del Profesor: Excelente_x000a_ trabajo, equipo. Han implementado una solución robusta que cumple con _x000a_todos los requerimientos técnicos y de seguridad lógica solicitados.Puntos Destacados:Lógica de Control: El uso del bucle while junto con el contador de intentos es impecable.Eficiencia: La implementación del break garantiza que el programa no siga consumiendo recursos una vez que el usuario se ha autenticado correctamente.Experiencia de Usuario (UX): El mensaje dinámico que informa los intentos restantes es una excelente práctica en el desarrollo de aplicaciones financieras.Documentación: El código está bien comentado, lo que facilita la trazabilidad y el mantenimiento del script.Motivación: Han_x000a_ demostrado que dominan las estructuras de control básicas. Esta base _x000a_lógica es fundamental para el parcial presencial. Sigan trabajando con _x000a_esa rigurosidad técnica; los espero el miércoles listos para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5"/>
    <s v="Mariana"/>
    <s v="Carmona Romero"/>
    <s v="marianacarrom@unisabana.edu.co"/>
    <x v="16"/>
    <d v="2026-02-25T00:00:00"/>
    <x v="5"/>
    <s v="Entregado"/>
    <s v="No hay archivo adjunto."/>
    <n v="0"/>
    <n v="5"/>
    <n v="0"/>
  </r>
  <r>
    <x v="6"/>
    <s v="Mariana"/>
    <s v="Pena Rodriguez"/>
    <s v="marianapero@unisabana.edu.co"/>
    <x v="16"/>
    <d v="2026-02-25T00:00:00"/>
    <x v="5"/>
    <s v="Entregado"/>
    <s v="Retroalimentación de la Entrega: Sistema de Login Seguro (Bono)Calificación Final: 50/50 Incentivo Académico: Se otorgan +0.5 unidades para el Primer Parcial del 25 de febrero.Comentarios del Profesor: Excelente ejecución, Arianne. Has demostrado un dominio claro de la estructura de control while y el uso de condicionales anidados para gestionar la seguridad de una aplicación.Puntos Destacados:Control de Flujo: El uso del break es correcto y eficiente; permite que el programa finalice inmediatamente al acertar, sin desperdiciar ciclos de procesamiento.Lógica Matemática: Calculaste correctamente los intentos_restantes restando el acumulador del máximo permitido, lo cual es vital para la experiencia del usuario (UX).Autogestión: El archivo está bien estructurado, con una celda de Markdown clara y comentarios que explican cada requerimiento del script.Sugerencia Técnica: Has incrementado el contador intentos += 1_x000a_ al inicio del bloque. Esto es válido, pero recuerda que el orden de los_x000a_ factores altera el resultado de la resta si no se tiene cuidado. En tu _x000a_caso, la lógica es impecable.Motivación: Este_x000a_ ejercicio es un excelente simulacro para el parcial. Si mantienes esta _x000a_atención al detalle y esta capacidad para estructurar soluciones paso a _x000a_paso, obtendrás un gran resultado en la evaluación presencial. ¡Sigue _x000a_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7"/>
    <s v="Isabella"/>
    <s v="Carranza Tapiero"/>
    <s v="isabellacata@unisabana.edu.co"/>
    <x v="16"/>
    <d v="2026-02-25T00:00:00"/>
    <x v="5"/>
    <s v="Entregado"/>
    <s v="Retroalimentación de la Entrega: Sistema de Login Seguro (Bono)Grupo: Isabella Carranza Tapiero Calificación Final: 35/50 Incentivo Académico: Se otorgan +0.35 unidades (proporcional a la calificación) para el Primer Parcial.Comentarios del Profesor: Equipo,_x000a_ han demostrado tener clara la lógica de negocio para un sistema de _x000a_validación, pero han fallado en el seguimiento estricto de las _x000a_instrucciones técnicas (competencia de Autogestión).Puntos Fuertes:La lógica matemática para descontar los intentos (intentos -= 1) y las validaciones de éxito/fallo (if/else) son correctas.El uso del break está bien implementado para detener el proceso al encontrar la contraseña correcta.Oportunidades de Mejora (Por qué perdieron puntos):No usaron el ciclo while: La instrucción exigía explícitamente el uso de while. Ustedes utilizaron un ciclo for iterando sobre una lista predefinida.No usaron input(): El sistema debía ser interactivo. Al &quot;quemar&quot; (hardcodear) las respuestas en la lista entradas =[&quot;24ss3&quot;, &quot;3232&quot;, &quot;1234&quot;], eliminaron la interacción con el usuario. Entiendo que en algunos entornos de Jupyter el input()_x000a_ puede ser problemático si no se ejecuta bien, pero en el entorno de _x000a_clase es un requisito obligatorio para simular software real.Motivación: El_x000a_ pensamiento computacional está ahí y funciona. Para el parcial, _x000a_recuerden que leer y aplicar los requerimientos técnicos al pie de la _x000a_letra es tan importante como que el código corra sin errores. Ajusten _x000a_este detalle de atención a las instrucciones y les irá muy bien.Rúbrica de CalificaciónCriterio de EvaluaciónRequisito TécnicoPuntaje MáximoPuntaje ObtenidoSeguridadDefinición de variable contraseña_correcta.5.05.0Control de IntentosImplementación de while limitado a 3 intentos.10.00.0 (Usaron for)InteracciónUso correcto de input() para capturar la clave.5.00.0 (Usaron lista fija)Lógica de ÉxitoUso de if, print(&quot;Bienvenido&quot;) y break.10.010.0Lógica de FalloCálculo y muestra de intentos restantes.10.010.0BloqueoMensaje &quot;Cuenta Bloqueada&quot; al agotar intentos.10.010.0TOTAL50.035.0Diego Mauricio Zuluaga Rodríguez Profesor - Departamento de Economía Universidad de La Sabana"/>
    <n v="3.5"/>
    <n v="5"/>
    <n v="0.7"/>
  </r>
  <r>
    <x v="8"/>
    <s v="Samuel David"/>
    <s v="Lozano Holguin"/>
    <s v="samuelloho@unisabana.edu.co"/>
    <x v="16"/>
    <d v="2026-02-25T00:00:00"/>
    <x v="5"/>
    <s v="Entregado"/>
    <s v="Retroalimentación de la Entrega: Sistema de Login Seguro (Bono)Calificación Final: 50/50 Incentivo Académico: Se otorgan +0.5 unidades para el Primer Parcial del 25 de febrero a cada integrante.Comentarios del Profesor: Buen_x000a_ trabajo, equipo. Han implementado una lógica inversa interesante al _x000a_inicializar los intentos en 3 y restar en lugar de sumar, lo cual es muy_x000a_ eficiente para este tipo de algoritmos de seguridad.Puntos Destacados:Eficiencia: El uso de while intentos_restantes &amp;gt; 0 es una forma muy limpia de controlar el flujo.Claridad: El código está bien estructurado y los mensajes al usuario son informativos.Uso de f-strings: Correcta implementación para mostrar los intentos restantes de forma dinámica.Observaciones Técnicas (Oportunidades de Mejora):Compatibilidad: Han usado la letra &quot;ñ&quot; en la variable contraseña_correcta._x000a_ Aunque Python 3 lo permite, la buena práctica internacional en _x000a_programación sugiere usar solo caracteres del alfabeto inglés (ej. contrasena_correcta) para evitar errores en diferentes sistemas operativos o servidores.Ortografía: Tienen un pequeño error de digitación en el mensaje de entrada (&quot;inrese&quot; en lugar de &quot;ingrese&quot;). Recuerden que la interfaz es lo que ve el cliente final.Motivación: Han_x000a_ demostrado que comprenden cómo romper un ciclo y cómo gestionar _x000a_estados. Esta lógica de validación es la base de sistemas mucho más _x000a_complejos. Mantengan este nivel de atención para el parcial presencial. _x000a_¡Felicitaciones por el bono!Rúbrica de CalificaciónCriterio de EvaluaciónRequisito TécnicoPuntaje MáximoPuntaje ObtenidoSeguridadDefinición de variable contraseña_correcta.5.05.0Control de IntentosImplementación de while con lógica de decremento.10.010.0InteracciónUso de input() con información dinámica.5.05.0Lógica de ÉxitoUso de if, print(&quot;Bienvenido&quot;) y break.10.010.0Lógica de FalloResta de intentos y muestra de saldo restante.10.010.0BloqueoMensaje &quot;Cuenta Bloqueada&quot; al llegar a 0.10.010.0TOTAL50.050.0Diego Mauricio Zuluaga Rodríguez Profesor - Departamento de Economía Universidad de La Sabana"/>
    <n v="5"/>
    <n v="5"/>
    <n v="1"/>
  </r>
  <r>
    <x v="9"/>
    <s v="Sebastian"/>
    <s v="Vanoy Gutierrez"/>
    <s v="sebastianvagu@unisabana.edu.co"/>
    <x v="16"/>
    <d v="2026-02-25T00:00:00"/>
    <x v="5"/>
    <s v="Entregado"/>
    <s v="Retroalimentación de la Entrega: Sistema de Login Seguro (Bono)Calificación Final: 50/50 Incentivo Académico: Se otorgan +0.5 unidades para el Primer Parcial del 25 de febrero a cada integrante.Comentarios del Profesor: Buen_x000a_ trabajo, equipo. Han implementado una lógica inversa interesante al _x000a_inicializar los intentos en 3 y restar en lugar de sumar, lo cual es muy_x000a_ eficiente para este tipo de algoritmos de seguridad.Puntos Destacados:Eficiencia: El uso de while intentos_restantes &amp;gt; 0 es una forma muy limpia de controlar el flujo.Claridad: El código está bien estructurado y los mensajes al usuario son informativos.Uso de f-strings: Correcta implementación para mostrar los intentos restantes de forma dinámica.Observaciones Técnicas (Oportunidades de Mejora):Compatibilidad: Han usado la letra &quot;ñ&quot; en la variable contraseña_correcta._x000a_ Aunque Python 3 lo permite, la buena práctica internacional en _x000a_programación sugiere usar solo caracteres del alfabeto inglés (ej. contrasena_correcta) para evitar errores en diferentes sistemas operativos o servidores.Ortografía: Tienen un pequeño error de digitación en el mensaje de entrada (&quot;inrese&quot; en lugar de &quot;ingrese&quot;). Recuerden que la interfaz es lo que ve el cliente final.Motivación: Han_x000a_ demostrado que comprenden cómo romper un ciclo y cómo gestionar _x000a_estados. Esta lógica de validación es la base de sistemas mucho más _x000a_complejos. Mantengan este nivel de atención para el parcial presencial. _x000a_¡Felicitaciones por el bono!Rúbrica de CalificaciónCriterio de EvaluaciónRequisito TécnicoPuntaje MáximoPuntaje ObtenidoSeguridadDefinición de variable contraseña_correcta.5.05.0Control de IntentosImplementación de while con lógica de decremento.10.010.0InteracciónUso de input() con información dinámica.5.05.0Lógica de ÉxitoUso de if, print(&quot;Bienvenido&quot;) y break.10.010.0Lógica de FalloResta de intentos y muestra de saldo restante.10.010.0BloqueoMensaje &quot;Cuenta Bloqueada&quot; al llegar a 0.10.010.0TOTAL50.050.0Diego Mauricio Zuluaga Rodríguez Profesor - Departamento de Economía Universidad de La Sabana"/>
    <n v="5"/>
    <n v="5"/>
    <n v="1"/>
  </r>
  <r>
    <x v="10"/>
    <s v="Jose Daniel"/>
    <s v="Escobar Hurtado"/>
    <s v="joseeshu@unisabana.edu.co"/>
    <x v="16"/>
    <d v="2026-02-25T00:00:00"/>
    <x v="5"/>
    <s v="Entregado"/>
    <s v="Retroalimentación de la Entrega: Sistema de Login Seguro (Bono)Calificación Final: 50/50 Incentivo Académico: Se otorgan +0.5 unidades a cada integrante, las cuales se aplicarán a su nota del Primer Parcial presentado este 25 de febrero.Comentarios del Profesor: Buen_x000a_ trabajo, equipo. Han logrado implementar una solución funcional y _x000a_robusta que cumple con los requisitos de seguridad solicitados.Puntos Destacados:Buenas Prácticas (UX/Seguridad): El uso del método .strip() en el input es un excelente detalle de programación defensiva. Evita que un espacio en blanco accidental genere un error de contraseña.Control de Flujo: El uso del break para el caso de éxito está perfectamente implementado.Interacción con el Usuario: Los mensajes personalizados como &quot;¡Cuidado! Solo te queda un intento&quot; demuestran que pensaron en la experiencia del usuario final.Oportunidades de Mejora (Sanity Check):En la línea 14, utilizaron un continue después de comprobar que los intentos llegaron a 3. Aunque no genera un error, es redundante. Como la variable intentos ya vale 3, al volver al inicio del while (intentos &amp;lt; 3), el ciclo se romperá naturalmente.El requerimiento pedía imprimir exactamente &quot;Cuenta Bloqueada&quot;, y ustedes usaron &quot;Acceso denegado&quot;._x000a_ En el mundo laboral, si el cliente pide un texto específico para la _x000a_interfaz, debemos respetarlo al pie de la letra. Sin embargo, la lógica _x000a_es correcta y tienen la nota completa.Motivación: El_x000a_ código demuestra que entienden la lógica de los ciclos y las _x000a_condiciones. Esta es la base para construir sistemas más complejos en el_x000a_ segundo corte. ¡Sigan trabajando con este nivel de detalle en equipo!Rúbrica de CalificaciónCriterio de EvaluaciónRequisito TécnicoPuntaje MáximoPuntaje ObtenidoSeguridadDefinición de variable contraseña_correcta.5.05.0Control de IntentosImplementación de while limitado a 3 intentos.10.010.0InteracciónUso correcto de input() (con excelente adición de .strip()).5.05.0Lógica de ÉxitoUso de if, mensaje de bienvenida y break.10.010.0Lógica de FalloCálculo y muestra de intentos realizados/restantes.10.010.0BloqueoMensaje de denegación al agotar intentos.10.010.0TOTAL50.050.0Diego Mauricio Zuluaga Rodríguez Profesor - Departamento de Economía Universidad de La Sabana"/>
    <n v="5"/>
    <n v="5"/>
    <n v="1"/>
  </r>
  <r>
    <x v="11"/>
    <s v="Maria Jose"/>
    <s v="Botero Galviz"/>
    <s v="mariabotga@unisabana.edu.co"/>
    <x v="16"/>
    <d v="2026-02-25T00:00:00"/>
    <x v="5"/>
    <s v="Entregado"/>
    <s v="Retroalimentación de la Entrega: Sistema de Login Seguro (Bono)Calificación Final: 50/50 Incentivo Académico: Se otorgan +0.5 unidades para el Primer Parcial del 25 de febrero.Comentarios del Profesor: Excelente_x000a_ trabajo, María José. El código cumple con rigor técnico cada uno de los_x000a_ requisitos solicitados en el reto. La lógica de control de intentos _x000a_está bien estructurada y el uso de herramientas de interrupción de flujo_x000a_ es el adecuado.Puntos Destacados:Estructura de Control: El uso del ciclo while con la condición de parada basada en el contador de intentos es correcto.Uso de break:_x000a_ Implementaste correctamente la salida anticipada del bucle al validar _x000a_la contraseña, lo cual es una práctica de eficiencia en programación.Cálculo de Intentos: La lógica para informar al usuario cuántas oportunidades le quedan es precisa y mejora la experiencia de usuario (UX).Presentación: El archivo .ipynb está bien organizado, con celdas de Markdown que identifican claramente a las autoras.Motivación: Han_x000a_ demostrado que dominan la lógica de condicionales anidados dentro de _x000a_bucles. Esta es la base para los retos más complejos que enfrentaremos _x000a_en el segundo corte. Sigan con este nivel de compromiso y preparación _x000a_para asegurar la excelencia en el parcial presencial.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2"/>
    <s v="Maria Juliana"/>
    <s v="Mejia Quintero"/>
    <s v="mariamequ@unisabana.edu.co"/>
    <x v="16"/>
    <d v="2026-02-25T00:00:00"/>
    <x v="5"/>
    <s v="Entregado"/>
    <s v="Retroalimentación de la Entrega: Sistema de Login Seguro (Bono)Calificación Final: 50/50 Incentivo Académico: Se otorgan +0.5 unidades para el Primer Parcial a las tres integrantes del grupo.Comentarios del Profesor: El código cumple a cabalidad con todos los requerimientos técnicos solicitados. Han estructurado correctamente el ciclo while y la lógica de validación con if/else.Puntos Destacados:Funcionalidad: El sistema de bloqueo y el conteo de intentos restantes operan de manera exacta. El uso del break está correctamente posicionado.Autogestión: El código está bien comentado, lo que facilita la lectura de la lógica de negocio.⚠️ ADVERTENCIA DE CONTROL DE CALIDAD (Sanity Check): Como_x000a_ su profesor, es mi deber ser proactivo y vigilante. He notado que la _x000a_estructura lógica de su código, la ubicación exacta de los incrementos (intentos += 1) y los nombres específicos de las variables (intento_usuario, intentos_restantes) son idénticos a la entrega de otra compañera (Arianne Amorocho), cambiando únicamente el string de la contraseña.Al ser una tarea de bono y un algoritmo corto, la calificación se mantiene en 50/50. Sin embargo, les recuerdo enfáticamente la Regla de Oro para el Parcial: Cualquier similitud exacta en la estructura lógica o nombres de variables entre parciales será considerado fraude (0.0)._x000a_ Las invito a que en las evaluaciones construyan la lógica desde cero _x000a_para garantizar el desarrollo real de su pensamiento computacional.Motivación: Tienen_x000a_ la capacidad técnica para dominar Python. Confíen en su propio análisis_x000a_ y sigan practicando. Si aplican esta misma funcionalidad y atención al _x000a_detalle en sus propios desarrollos, les irá excelente en las próximas _x000a_evalu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3"/>
    <s v="Alejandra"/>
    <s v="Leon Vargas"/>
    <s v="alejandraleva@unisabana.edu.co"/>
    <x v="16"/>
    <d v="2026-02-25T00:00:00"/>
    <x v="5"/>
    <s v="Entregado"/>
    <s v="Retroalimentación de la Entrega: Sistema de Login Seguro (Bono)Calificación Final: 10/50 (1.0) Incentivo Académico: No se otorgan unidades extra para el parcial debido a entrega extemporánea.Comentarios del Profesor: Alejandra, el código desarrollado es funcional y cumple con la lógica técnica solicitada (uso de while, break y validación de intentos). No obstante, la calificación se ve afectada por los siguientes puntos de Autogestión:Puntualidad: La tarea fue entregada con 2 horas de retraso._x000a_ Según las reglas establecidas en el Syllabus y el contrato pedagógico, _x000a_la puntualidad es un requisito innegociable para la validez de los _x000a_entregables, especialmente en actividades que otorgan beneficios sobre _x000a_el parcial.Formato: No incluiste la celda de Markdown inicial con tus datos y la descripción del problema, lo cual es un estándar obligatorio de presentación en este curso.Motivación: Técnicamente_x000a_ vas por buen camino; el script demuestra que entiendes la lógica de _x000a_control. Te invito a mejorar tu organización del tiempo para futuras _x000a_entregas. La excelencia no solo está en el código, sino en el _x000a_cumplimiento de los compromisos profesional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Puntualidad y FormatoEntrega a tiempo y uso de Markdown.Penalización-40.0TOTAL50.010.0Diego Mauricio Zuluaga Rodríguez Profesor - Departamento de Economía Universidad de La Sabana"/>
    <n v="1"/>
    <n v="5"/>
    <n v="0.2"/>
  </r>
  <r>
    <x v="14"/>
    <s v="Alessandro Di Mauro"/>
    <s v="Bonilla Correa"/>
    <s v="alessandroboco@unisabana.edu.co"/>
    <x v="16"/>
    <d v="2026-02-25T00:00:00"/>
    <x v="5"/>
    <s v="Entregado"/>
    <s v="Retroalimentación de la Entrega: Sistema de Login Seguro (Bono)Calificación Final: 50/50 Incentivo Académico: Se otorgan +0.5 unidades para el Primer Parcial del 25 de febrero a los integrantes: Alessandro Bonilla, Gabriela Ruiz y Maria Jose Huertas.Comentarios del Profesor: Excelente_x000a_ trabajo de grupo. Han implementado una solución robusta que cumple con _x000a_todos los requisitos de seguridad y control de flujo solicitados.Puntos Destacados:Lógica de Control: El uso del bucle while con la condición intentos &amp;lt; max_intentos es la forma más limpia de gestionar este tipo de procesos.Uso del break: Es impecable. Al colocar el break_x000a_ inmediatamente después del acierto, garantizan que el programa no siga _x000a_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_x000a_ es fundamental para los retos que vienen en el segundo corte. Han _x000a_demostrado estar listos para aplicar lógica de programación en problemas_x000a_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5"/>
    <s v="Arianne Mariana"/>
    <s v="Amorocho Quiroga"/>
    <s v="arianneamqu@unisabana.edu.co"/>
    <x v="16"/>
    <d v="2026-02-25T00:00:00"/>
    <x v="5"/>
    <s v="Entregado"/>
    <s v="Retroalimentación de la Entrega: Sistema de Login Seguro (Bono)Calificación Final: 50/50 Incentivo Académico: Se otorgan +0.5 unidades para el Primer Parcial del 25 de febrero.Comentarios del Profesor: Excelente ejecución, Arianne. Has demostrado un dominio claro de la estructura de control while y el uso de condicionales anidados para gestionar la seguridad de una aplicación.Puntos Destacados:Control de Flujo: El uso del break es correcto y eficiente; permite que el programa finalice inmediatamente al acertar, sin desperdiciar ciclos de procesamiento.Lógica Matemática: Calculaste correctamente los intentos_restantes restando el acumulador del máximo permitido, lo cual es vital para la experiencia del usuario (UX).Autogestión: El archivo está bien estructurado, con una celda de Markdown clara y comentarios que explican cada requerimiento del script.Sugerencia Técnica: Has incrementado el contador intentos += 1_x000a_ al inicio del bloque. Esto es válido, pero recuerda que el orden de los_x000a_ factores altera el resultado de la resta si no se tiene cuidado. En tu _x000a_caso, la lógica es impecable.Motivación: Este_x000a_ ejercicio es un excelente simulacro para el parcial. Si mantienes esta _x000a_atención al detalle y esta capacidad para estructurar soluciones paso a _x000a_paso, obtendrás un gran resultado en la evaluación presencial. ¡Sigue _x000a_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6"/>
    <s v="Maria Juliana"/>
    <s v="Herrera Pulido"/>
    <s v="mariahepu@unisabana.edu.co"/>
    <x v="16"/>
    <d v="2026-02-25T00:00:00"/>
    <x v="5"/>
    <s v="Entregado"/>
    <s v="Retroalimentación de la Entrega: Sistema de Login Seguro (Bono)Calificación Final: 50/50 Incentivo Académico: Se otorgan +0.5 unidades para el Primer Parcial a las tres integrantes del grupo.Comentarios del Profesor: El código cumple a cabalidad con todos los requerimientos técnicos solicitados. Han estructurado correctamente el ciclo while y la lógica de validación con if/else.Puntos Destacados:Funcionalidad: El sistema de bloqueo y el conteo de intentos restantes operan de manera exacta. El uso del break está correctamente posicionado.Autogestión: El código está bien comentado, lo que facilita la lectura de la lógica de negocio.⚠️ ADVERTENCIA DE CONTROL DE CALIDAD (Sanity Check): Como_x000a_ su profesor, es mi deber ser proactivo y vigilante. He notado que la _x000a_estructura lógica de su código, la ubicación exacta de los incrementos (intentos += 1) y los nombres específicos de las variables (intento_usuario, intentos_restantes) son idénticos a la entrega de otra compañera (Arianne Amorocho), cambiando únicamente el string de la contraseña.Al ser una tarea de bono y un algoritmo corto, la calificación se mantiene en 50/50. Sin embargo, les recuerdo enfáticamente la Regla de Oro para el Parcial: Cualquier similitud exacta en la estructura lógica o nombres de variables entre parciales será considerado fraude (0.0)._x000a_ Las invito a que en las evaluaciones construyan la lógica desde cero _x000a_para garantizar el desarrollo real de su pensamiento computacional.Motivación: Tienen_x000a_ la capacidad técnica para dominar Python. Confíen en su propio análisis_x000a_ y sigan practicando. Si aplican esta misma funcionalidad y atención al _x000a_detalle en sus propios desarrollos, les irá excelente en las próximas _x000a_evalu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7"/>
    <s v="Simon Gustavo"/>
    <s v="Restrepo Alvarez"/>
    <s v="simonreal@unisabana.edu.co"/>
    <x v="16"/>
    <d v="2026-02-25T00:00:00"/>
    <x v="5"/>
    <s v="Entregado"/>
    <s v="Retroalimentación de la Entrega: Sistema de Login Seguro (Bono)Calificación Final: 50/50 Incentivo Académico: Se otorgan +0.5 unidades para el Primer Parcial del 25 de febrero a cada integrante.Comentarios del Profesor: Excelente trabajo grupal. El código es limpio, funcional y cumple rigurosamente con todos los requisitos técnicos solicitados.Puntos Destacados:Lógica de Control: El uso del ciclo while con la condición intentos &amp;lt; 3 es preciso.Manejo de Flujo: Implementaron correctamente el break para finalizar el proceso tras un acierto, evitando ejecuciones innecesarias.Documentación:_x000a_ Es notable el esfuerzo por comentar cada línea de código. Esto _x000a_demuestra que comprenden no solo qué hace el programa, sino por qué lo _x000a_hace (Autogestión).Experiencia de Usuario (UX): El uso de emojis y mensajes claros facilita la interacción con el sistema bancario simulado.Motivación: Han_x000a_ demostrado una base sólida en estructuras de control. Sigan practicando_x000a_ la lógica de condicionales anidados, ya que será un componente _x000a_fundamental en el parcial presencial. ¡Muy bien hech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18"/>
    <s v="Daniel Felipe"/>
    <s v="Camacho Pedraza"/>
    <s v="danielcampe@unisabana.edu.co"/>
    <x v="16"/>
    <d v="2026-02-25T00:00:00"/>
    <x v="5"/>
    <s v="Entregado"/>
    <s v="Retroalimentación de la Entrega: Sistema de Login Seguro (Bono)Calificación Final: 22/50 Incentivo Académico:_x000a_ No se otorgan las unidades extra (+0.5) debido a que el script no es _x000a_funcional en el escenario de fallo (crea un bucle infinito).Comentarios del Profesor: Equipo, su código tiene un error lógico crítico causado por la indentación (los espacios a la izquierda). En Python, la indentación define qué bloque de código pertenece a qué estructura.El Error (Bucle Infinito): Su bloque else: está alineado con el while, no con el if. Esto crea una estructura while-else (válida en Python, pero incorrecta para este caso).Consecuencia: Si el usuario ingresa una contraseña incorrecta, el programa vuelve al inicio del while. Como la variable intentos nunca se incrementó dentro del ciclo, la condición 0 &amp;lt; 3 siempre será Verdadera. El programa pedirá la contraseña infinitamente y nunca ejecutará la lógica de fallo ni el bloqueo de cuenta.Autogestión y Sanity Check:_x000a_ Este error demuestra que no probaron el &quot;camino de fallo&quot; antes de _x000a_entregar. Un programador y analista siempre debe probar qué pasa cuando _x000a_el usuario se equivoca.Motivación: El código para el caso de éxito (contraseña correcta) funciona perfectamente con su respectivo break._x000a_ El objetivo de estos ejercicios es precisamente cometer estos errores _x000a_ahora y no en un entorno laboral real. Revisen la indentación de su else:, córranlo en su VS Code ingresando claves erróneas y observen la diferencia. ¡Ajusten el detalle y sigan practicando!Rúbrica de CalificaciónCriterio de EvaluaciónRequisito TécnicoPuntaje MáximoPuntaje ObtenidoSeguridadDefinición de variable contraseña_correcta.5.05.0Control de IntentosImplementación de while limitado a 3 intentos.10.02.0 (Falla por bucle infinito al no actualizar el contador dentro del ciclo)InteracciónUso correcto de input() para capturar la clave.5.05.0Lógica de ÉxitoUso de if, print(&quot;Bienvenido&quot;) y break.10.010.0Lógica de FalloCálculo y muestra de intentos restantes.10.00.0 (Nunca se ejecuta durante los intentos fallidos por error de indentación)BloqueoMensaje &quot;Cuenta Bloqueada&quot; al agotar intentos.10.00.0 (Inalcanzable debido al bucle infinito)TOTAL50.022.0Diego Mauricio Zuluaga Rodríguez Profesor - Departamento de Economía Universidad de La Sabana"/>
    <n v="2"/>
    <n v="5"/>
    <n v="0.4"/>
  </r>
  <r>
    <x v="19"/>
    <s v="Mateo"/>
    <s v="Perez Daza"/>
    <s v="mateopeda@unisabana.edu.co"/>
    <x v="16"/>
    <d v="2026-02-25T00:00:00"/>
    <x v="5"/>
    <s v="Entregado"/>
    <s v="Retroalimentación de la Entrega: Sistema de Login Seguro (Bono)Calificación Final: 50/50 Incentivo Académico: Se otorgan +0.5 unidades para el Primer Parcial del 25 de febrero a cada integrante.Comentarios del Profesor: Excelente trabajo grupal. El código es limpio, funcional y cumple rigurosamente con todos los requisitos técnicos solicitados.Puntos Destacados:Lógica de Control: El uso del ciclo while con la condición intentos &amp;lt; 3 es preciso.Manejo de Flujo: Implementaron correctamente el break para finalizar el proceso tras un acierto, evitando ejecuciones innecesarias.Documentación:_x000a_ Es notable el esfuerzo por comentar cada línea de código. Esto _x000a_demuestra que comprenden no solo qué hace el programa, sino por qué lo _x000a_hace (Autogestión).Experiencia de Usuario (UX): El uso de emojis y mensajes claros facilita la interacción con el sistema bancario simulado.Motivación: Han_x000a_ demostrado una base sólida en estructuras de control. Sigan practicando_x000a_ la lógica de condicionales anidados, ya que será un componente _x000a_fundamental en el parcial presencial. ¡Muy bien hech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0"/>
    <s v="Matias"/>
    <s v="Mondragon Osorio"/>
    <s v="matiasmoos@unisabana.edu.co"/>
    <x v="16"/>
    <d v="2026-02-25T00:00:00"/>
    <x v="5"/>
    <s v="Entregado"/>
    <s v="Retroalimentación de la Entrega: Sistema de Login Seguro (Bono)Calificación Final: 50/50 Incentivo Académico: Se otorgan +0.5 unidades para el Primer Parcial del 25 de febrero.Comentarios del Profesor: Excelente ejecución, Arianne. Has demostrado un dominio claro de la estructura de control while y el uso de condicionales anidados para gestionar la seguridad de una aplicación.Puntos Destacados:Control de Flujo: El uso del break es correcto y eficiente; permite que el programa finalice inmediatamente al acertar, sin desperdiciar ciclos de procesamiento.Lógica Matemática: Calculaste correctamente los intentos_restantes restando el acumulador del máximo permitido, lo cual es vital para la experiencia del usuario (UX).Autogestión: El archivo está bien estructurado, con una celda de Markdown clara y comentarios que explican cada requerimiento del script.Sugerencia Técnica: Has incrementado el contador intentos += 1_x000a_ al inicio del bloque. Esto es válido, pero recuerda que el orden de los_x000a_ factores altera el resultado de la resta si no se tiene cuidado. En tu _x000a_caso, la lógica es impecable.Motivación: Este_x000a_ ejercicio es un excelente simulacro para el parcial. Si mantienes esta _x000a_atención al detalle y esta capacidad para estructurar soluciones paso a _x000a_paso, obtendrás un gran resultado en la evaluación presencial. ¡Sigue _x000a_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1"/>
    <s v="Juan David"/>
    <s v="Neuta Medina"/>
    <s v="juanneme@unisabana.edu.co"/>
    <x v="16"/>
    <d v="2026-02-25T00:00:00"/>
    <x v="5"/>
    <s v="Entregado"/>
    <s v="No hay archivo adjunto."/>
    <n v="0"/>
    <n v="5"/>
    <n v="0"/>
  </r>
  <r>
    <x v="22"/>
    <s v="Laura Fernanda"/>
    <s v="Lopez Parra"/>
    <s v="lauraloppa@unisabana.edu.co"/>
    <x v="16"/>
    <d v="2026-02-25T00:00:00"/>
    <x v="5"/>
    <s v="Entregado"/>
    <s v="No hay archivo adjunto."/>
    <n v="0"/>
    <n v="5"/>
    <n v="0"/>
  </r>
  <r>
    <x v="23"/>
    <s v="Lukas"/>
    <s v="Blanco Llanes"/>
    <s v="lukasblll@unisabana.edu.co"/>
    <x v="16"/>
    <d v="2026-02-25T00:00:00"/>
    <x v="5"/>
    <s v="Entregado"/>
    <s v="Retroalimentación de la Entrega: Sistema de Login Seguro (Bono)Calificación Final: 50/50 Incentivo Académico: Se otorgan +0.5 unidades para el Primer Parcial del 25 de febrero a cada integrante.Comentarios del Profesor: Excelente_x000a_ trabajo, equipo. Han cumplido con todos los requerimientos técnicos y _x000a_han ido un paso más allá en la calidad del código.Puntos Destacados:Limpieza de Datos (Data Cleaning): Es muy valioso que hayan implementado el método .replace(&quot;.&quot;, &quot;&quot;).replace(&quot;,&quot;, &quot;&quot;). Esto demuestra una mentalidad de analistas de datos, anticipándose a errores comunes del usuario al ingresar números.Lógica de Control: El uso del ciclo while y la estructura if/else anidada para diferenciar entre &quot;intentos restantes&quot; y &quot;bloqueo&quot; es impecable.Eficiencia: El uso de break asegura que el programa no siga consumiendo recursos una vez se alcanza el éxito.Observación de Autogestión: Para futuras entregas, asegúrense de incluir los nombres de los integrantes en una celda de Markdown dentro del mismo archivo .ipynb, tal como se solicita en los estándares del curso, para facilitar la trazabilidad del archivo.Motivación: La_x000a_ proactividad de limpiar la entrada del usuario es lo que separa a un _x000a_programador básico de un profesional. Están demostrando un gran nivel _x000a_para el parcial de este miércoles. ¡Mantengan ese estándar!Rúbrica de CalificaciónCriterio de EvaluaciónRequisito TécnicoPuntaje MáximoPuntaje ObtenidoSeguridadDefinición de variable contrasena_correcta.5.05.0Control de IntentosImplementación de while limitado a 3 intentos.10.010.0InteracciónUso de input() y limpieza de datos (replac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4"/>
    <s v="Juan Sebastian"/>
    <s v="Salas Hinojosa"/>
    <s v="juansahi@unisabana.edu.co"/>
    <x v="16"/>
    <d v="2026-02-25T00:00:00"/>
    <x v="5"/>
    <s v="Entregado"/>
    <s v="Retroalimentación de la Entrega: Sistema de Login Seguro (Bono)Calificación Final: 50/50 Incentivo Académico: Se otorgan +0.5 unidades para el Primer Parcial del 25 de febrero a cada integrante.Comentarios del Profesor: Excelente_x000a_ trabajo, equipo. Han cumplido con todos los requerimientos técnicos y _x000a_han ido un paso más allá en la calidad del código.Puntos Destacados:Limpieza de Datos (Data Cleaning): Es muy valioso que hayan implementado el método .replace(&quot;.&quot;, &quot;&quot;).replace(&quot;,&quot;, &quot;&quot;). Esto demuestra una mentalidad de analistas de datos, anticipándose a errores comunes del usuario al ingresar números.Lógica de Control: El uso del ciclo while y la estructura if/else anidada para diferenciar entre &quot;intentos restantes&quot; y &quot;bloqueo&quot; es impecable.Eficiencia: El uso de break asegura que el programa no siga consumiendo recursos una vez se alcanza el éxito.Observación de Autogestión: Para futuras entregas, asegúrense de incluir los nombres de los integrantes en una celda de Markdown dentro del mismo archivo .ipynb, tal como se solicita en los estándares del curso, para facilitar la trazabilidad del archivo.Motivación: La_x000a_ proactividad de limpiar la entrada del usuario es lo que separa a un _x000a_programador básico de un profesional. Están demostrando un gran nivel _x000a_para el parcial de este miércoles. ¡Mantengan ese estándar!Rúbrica de CalificaciónCriterio de EvaluaciónRequisito TécnicoPuntaje MáximoPuntaje ObtenidoSeguridadDefinición de variable contrasena_correcta.5.05.0Control de IntentosImplementación de while limitado a 3 intentos.10.010.0InteracciónUso de input() y limpieza de datos (replac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5"/>
    <s v="Avril Avril"/>
    <s v="Ariza Quitian"/>
    <s v="avrilarqu@unisabana.edu.co"/>
    <x v="16"/>
    <d v="2026-02-25T00:00:00"/>
    <x v="5"/>
    <s v="Entregado"/>
    <s v="Retroalimentación de la Entrega: Sistema de Login Seguro (Bono)Calificación Final: 50/50 Incentivo Académico: Se otorgan +0.5 unidades para el Primer Parcial del 25 de febrero a cada integrante del grupo.Comentarios del Profesor: Excelente_x000a_ trabajo, Samantha y Avril. Han desarrollado un script robusto que _x000a_cumple con todos los requerimientos técnicos y de seguridad solicitados.Avril tiene 1 punto menos por entregar 13 minutos tarde.  Puntos Destacados:Lógica de Control: El uso del bucle while con la condición de parada y el comando break es impecable. Esto asegura que el programa sea eficiente y no siga pidiendo datos una vez se ha validado el acceso.Gestión de Intentos: El cálculo de intentos_restantes es lógico y proporciona una retroalimentación clara al usuario, lo cual es una buena práctica de experiencia de usuario (UX).Documentación:_x000a_ El código está debidamente comentado, explicando la función de cada _x000a_bloque. Esto facilita la trazabilidad y el mantenimiento del software.Evidencia de Ejecución:_x000a_ Se aprecia en las celdas de salida que probaron tanto el escenario de _x000a_éxito como el de bloqueo, lo cual demuestra un proceso de pruebas _x000a_riguroso.Motivación: Han_x000a_ demostrado que dominan las estructuras de control básicas. Este nivel _x000a_de preparación es el que se requiere para afrontar con éxito el parcial _x000a_presencial. Sigan trabajando con esa atención al detalle. ¡Muchos éxitos_x000a_ en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4"/>
    <n v="5"/>
    <n v="0.8"/>
  </r>
  <r>
    <x v="26"/>
    <s v="Samuel David"/>
    <s v="Simancas Contreras"/>
    <s v="samuelsico@unisabana.edu.co"/>
    <x v="16"/>
    <d v="2026-02-25T00:00:00"/>
    <x v="5"/>
    <s v="Entregado"/>
    <s v="No hay archivo adjunto."/>
    <n v="0"/>
    <n v="5"/>
    <n v="0"/>
  </r>
  <r>
    <x v="27"/>
    <s v="Maria Jose"/>
    <s v="Huertas Osorio"/>
    <s v="mariahueos@unisabana.edu.co"/>
    <x v="16"/>
    <d v="2026-02-25T00:00:00"/>
    <x v="5"/>
    <s v="Entregado"/>
    <s v="Retroalimentación de la Entrega: Sistema de Login Seguro (Bono)Calificación Final: 50/50 Incentivo Académico: Se otorgan +0.5 unidades para el Primer Parcial del 25 de febrero a los integrantes: Alessandro Bonilla, Gabriela Ruiz y Maria Jose Huertas.Maria Jose Huertas tiene 1 punto menos por entregar 26 minutos tarde.  Comentarios del Profesor: Excelente_x000a_ trabajo de grupo. Han implementado una solución robusta que cumple con _x000a_todos los requisitos de seguridad y control de flujo solicitados.Puntos Destacados:Lógica de Control: El uso del bucle while con la condición intentos &amp;lt; max_intentos es la forma más limpia de gestionar este tipo de procesos.Uso del break: Es impecable. Al colocar el break_x000a_ inmediatamente después del acierto, garantizan que el programa no siga _x000a_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_x000a_ es fundamental para los retos que vienen en el segundo corte. Han _x000a_demostrado estar listos para aplicar lógica de programación en problemas_x000a_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4"/>
    <n v="5"/>
    <n v="0.8"/>
  </r>
  <r>
    <x v="28"/>
    <s v="Juan Camilo"/>
    <s v="Leyton Lancheros"/>
    <s v="juanleyla@unisabana.edu.co"/>
    <x v="16"/>
    <d v="2026-02-25T00:00:00"/>
    <x v="5"/>
    <s v="Entregado"/>
    <s v="Retroalimentación de la Entrega: Sistema de Login Seguro (Bono)Calificación Final: 50/50 Incentivo Académico: Se otorgan +0.5 unidades para el Primer Parcial del 25 de febrero a cada integrante del grupo.Comentarios del Profesor: Excelente_x000a_ trabajo, equipo. Han implementado una solución robusta que cumple con _x000a_todos los requerimientos técnicos y de seguridad lógica solicitados.Puntos Destacados:Lógica de Control: El uso del bucle while junto con el contador de intentos es impecable.Eficiencia: La implementación del break garantiza que el programa no siga consumiendo recursos una vez que el usuario se ha autenticado correctamente.Experiencia de Usuario (UX): El mensaje dinámico que informa los intentos restantes es una excelente práctica en el desarrollo de aplicaciones financieras.Documentación: El código está bien comentado, lo que facilita la trazabilidad y el mantenimiento del script.Motivación: Han_x000a_ demostrado que dominan las estructuras de control básicas. Esta base _x000a_lógica es fundamental para el parcial presencial. Sigan trabajando con _x000a_esa rigurosidad técnica; los espero el miércoles listos para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29"/>
    <s v="Samuel Mathias"/>
    <s v="Gonzalez Bernal"/>
    <s v="samuelgonbe@unisabana.edu.co"/>
    <x v="16"/>
    <d v="2026-02-25T00:00:00"/>
    <x v="5"/>
    <s v="Entregado"/>
    <s v="Retroalimentación de la Entrega: Sistema de Login Seguro (Bono)Calificación Final: 50/50 Incentivo Académico: Se otorgan +0.5 unidades para el Primer Parcial del 25 de febrero a cada integrante.Comentarios del Profesor: Buen_x000a_ trabajo, equipo. Han implementado una lógica inversa interesante al _x000a_inicializar los intentos en 3 y restar en lugar de sumar, lo cual es muy_x000a_ eficiente para este tipo de algoritmos de seguridad.Puntos Destacados:Eficiencia: El uso de while intentos_restantes &amp;gt; 0 es una forma muy limpia de controlar el flujo.Claridad: El código está bien estructurado y los mensajes al usuario son informativos.Uso de f-strings: Correcta implementación para mostrar los intentos restantes de forma dinámica.Observaciones Técnicas (Oportunidades de Mejora):Compatibilidad: Han usado la letra &quot;ñ&quot; en la variable contraseña_correcta._x000a_ Aunque Python 3 lo permite, la buena práctica internacional en _x000a_programación sugiere usar solo caracteres del alfabeto inglés (ej. contrasena_correcta) para evitar errores en diferentes sistemas operativos o servidores.Ortografía: Tienen un pequeño error de digitación en el mensaje de entrada (&quot;inrese&quot; en lugar de &quot;ingrese&quot;). Recuerden que la interfaz es lo que ve el cliente final.Motivación: Han_x000a_ demostrado que comprenden cómo romper un ciclo y cómo gestionar _x000a_estados. Esta lógica de validación es la base de sistemas mucho más _x000a_complejos. Mantengan este nivel de atención para el parcial presencial. _x000a_¡Felicitaciones por el bono!Rúbrica de CalificaciónCriterio de EvaluaciónRequisito TécnicoPuntaje MáximoPuntaje ObtenidoSeguridadDefinición de variable contraseña_correcta.5.05.0Control de IntentosImplementación de while con lógica de decremento.10.010.0InteracciónUso de input() con información dinámica.5.05.0Lógica de ÉxitoUso de if, print(&quot;Bienvenido&quot;) y break.10.010.0Lógica de FalloResta de intentos y muestra de saldo restante.10.010.0BloqueoMensaje &quot;Cuenta Bloqueada&quot; al llegar a 0.10.010.0TOTAL50.050.0Diego Mauricio Zuluaga Rodríguez Profesor - Departamento de Economía Universidad de La Sabana"/>
    <n v="5"/>
    <n v="5"/>
    <n v="1"/>
  </r>
  <r>
    <x v="30"/>
    <s v="Valeria"/>
    <s v="Morales"/>
    <s v="valeriamor@unisabana.edu.co"/>
    <x v="16"/>
    <d v="2026-02-25T00:00:00"/>
    <x v="5"/>
    <s v="Entregado"/>
    <s v="Retroalimentación de la Entrega: Sistema de Login Seguro (Bono)Calificación Final: 50/50 Incentivo Académico: Se otorgan +0.5 unidades para el Primer Parcial del 25 de febrero.Comentarios del Profesor: Excelente_x000a_ trabajo, Valeria y Paula. Han presentado una solución limpia, bien _x000a_estructurada y que cumple rigurosamente con todos los parámetros _x000a_técnicos solicitados.Puntos Destacados:Documentación Profesional: La celda de Markdown inicial es ejemplar; describe el problema, los objetivos y los integrantes de forma impecable.Lógica de Control: El uso del ciclo while y la sentencia break es preciso. El programa se detiene exactamente cuando debe, optimizando el flujo de ejecución.Manejo de Estados: La validación de restantes &amp;gt; 0_x000a_ dentro del bloque de fallo permite una comunicación clara con el _x000a_usuario, diferenciando entre un error común y el bloqueo final de la _x000a_cuenta.Sugerencia Técnica: El código es sólido. Como buena práctica adicional, podrían explorar el uso de f-strings para los mensajes de salida, por ejemplo: print(f&quot;Intentos restantes: {restantes}&quot;), para mantener la consistencia con lo visto en las últimas sesiones.Motivación: Han_x000a_ demostrado que comprenden cómo aplicar la lógica de programación a un _x000a_caso de uso real de seguridad bancaria. Esta capacidad de estructurar el_x000a_ pensamiento antes de codificar es lo que evaluaré con mayor rigor en el_x000a_ parcial presencial. ¡Sigan así!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1"/>
    <s v="Samantha"/>
    <s v="Vanegas Russi"/>
    <s v="samanthavaru@unisabana.edu.co"/>
    <x v="16"/>
    <d v="2026-02-25T00:00:00"/>
    <x v="5"/>
    <s v="Entregado"/>
    <s v="Retroalimentación de la Entrega: Sistema de Login Seguro (Bono)Calificación Final: 50/50 Incentivo Académico: Se otorgan +0.5 unidades para el Primer Parcial del 25 de febrero a cada integrante del grupo.Comentarios del Profesor: Excelente_x000a_ trabajo, Samantha y Avril. Han desarrollado un script robusto que _x000a_cumple con todos los requerimientos técnicos y de seguridad solicitados.Puntos Destacados:Lógica de Control: El uso del bucle while con la condición de parada y el comando break es impecable. Esto asegura que el programa sea eficiente y no siga pidiendo datos una vez se ha validado el acceso.Gestión de Intentos: El cálculo de intentos_restantes es lógico y proporciona una retroalimentación clara al usuario, lo cual es una buena práctica de experiencia de usuario (UX).Documentación:_x000a_ El código está debidamente comentado, explicando la función de cada _x000a_bloque. Esto facilita la trazabilidad y el mantenimiento del software.Evidencia de Ejecución:_x000a_ Se aprecia en las celdas de salida que probaron tanto el escenario de _x000a_éxito como el de bloqueo, lo cual demuestra un proceso de pruebas _x000a_riguroso.Motivación: Han_x000a_ demostrado que dominan las estructuras de control básicas. Este nivel _x000a_de preparación es el que se requiere para afrontar con éxito el parcial _x000a_presencial. Sigan trabajando con esa atención al detalle. ¡Muchos éxitos_x000a_ en el examen!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2"/>
    <s v="Juan Jose"/>
    <s v="Caballero Mantilla"/>
    <s v="juancabma@unisabana.edu.co"/>
    <x v="16"/>
    <d v="2026-02-25T00:00:00"/>
    <x v="5"/>
    <s v="Entregado"/>
    <s v="Retroalimentación de la Entrega: Sistema de Login Seguro (Bono)Calificación Final: 50/50 Incentivo Académico: Se otorgan +0.5 unidades para el Primer Parcial del 25 de febrero a cada integrante.Comentarios del Profesor: Excelente_x000a_ trabajo, equipo. El código es limpio, eficiente y cumple rigurosamente _x000a_con la lógica de seguridad solicitada. Han demostrado un buen manejo de _x000a_la estructura try-except implícita en la lógica de control y una excelente organización de los bloques.Puntos Destacados:Lógica de Control: El uso del contador intentos dentro del bloque else es la forma más precisa de programar este sistema, ya que solo penaliza al usuario cuando falla.Experiencia de Usuario (UX): El uso de f-strings para informar los intentos restantes es un detalle de calidad que aporta claridad al programa.Documentación: El uso de emojis y títulos para separar las secciones del código facilita la lectura y el mantenimiento del script.Observación de Autogestión: Aunque el código es perfecto, recuerden que para futuros entregables la identificación de los integrantes debe ir dentro_x000a_ de una celda de Markdown al inicio del Notebook, no al final del _x000a_archivo, para cumplir con los estándares de presentación profesional de _x000a_la EICEA.Motivación: Tienen_x000a_ una base sólida en estructuras de control. Mantengan este nivel de _x000a_atención al detalle para el parcial presencial. La capacidad de _x000a_anticipar el error del usuario y gestionarlo es lo que define a un _x000a_programador de alto nivel. ¡Felicit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3"/>
    <s v="Daniel Camilo"/>
    <s v="Lopez Piraquive"/>
    <s v="danielloppi@unisabana.edu.co"/>
    <x v="16"/>
    <d v="2026-02-25T00:00:00"/>
    <x v="5"/>
    <s v="Entregado"/>
    <s v="Retroalimentación de la Entrega: Sistema de Login Seguro (Bono)Calificación Final: 50/50 Incentivo Académico: Se otorgan +0.5 unidades para el Primer Parcial del 25 de febrero a cada integrante.Comentarios del Profesor: Excelente_x000a_ trabajo, equipo. El código es limpio, eficiente y cumple rigurosamente _x000a_con la lógica de seguridad solicitada. Han demostrado un buen manejo de _x000a_la estructura try-except implícita en la lógica de control y una excelente organización de los bloques.Puntos Destacados:Lógica de Control: El uso del contador intentos dentro del bloque else es la forma más precisa de programar este sistema, ya que solo penaliza al usuario cuando falla.Experiencia de Usuario (UX): El uso de f-strings para informar los intentos restantes es un detalle de calidad que aporta claridad al programa.Documentación: El uso de emojis y títulos para separar las secciones del código facilita la lectura y el mantenimiento del script.Observación de Autogestión: Aunque el código es perfecto, recuerden que para futuros entregables la identificación de los integrantes debe ir dentro_x000a_ de una celda de Markdown al inicio del Notebook, no al final del _x000a_archivo, para cumplir con los estándares de presentación profesional de _x000a_la EICEA.Motivación: Tienen_x000a_ una base sólida en estructuras de control. Mantengan este nivel de _x000a_atención al detalle para el parcial presencial. La capacidad de _x000a_anticipar el error del usuario y gestionarlo es lo que define a un _x000a_programador de alto nivel. ¡Felicit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4"/>
    <s v="Gabriela"/>
    <s v="Ruiz Perez"/>
    <s v="gabrielarupe@unisabana.edu.co"/>
    <x v="16"/>
    <d v="2026-02-25T00:00:00"/>
    <x v="5"/>
    <s v="Entregado"/>
    <s v="Retroalimentación de la Entrega: Sistema de Login Seguro (Bono)Calificación Final: 50/50 Incentivo Académico: Se otorgan +0.5 unidades para el Primer Parcial del 25 de febrero a los integrantes: Alessandro Bonilla, Gabriela Ruiz y Maria Jose Huertas. Gabriela Ruiz tiene 1 punto menos por entregar 20 minutos tarde.  Comentarios del Profesor: Excelente_x000a_ trabajo de grupo. Han implementado una solución robusta que cumple con _x000a_todos los requisitos de seguridad y control de flujo solicitados.Puntos Destacados:Lógica de Control: El uso del bucle while con la condición intentos &amp;lt; max_intentos es la forma más limpia de gestionar este tipo de procesos.Uso del break: Es impecable. Al colocar el break_x000a_ inmediatamente después del acierto, garantizan que el programa no siga _x000a_pidiendo datos innecesariamente, optimizando el uso de recursos.Gestión de Intentos: El cálculo de intentos_restantes y la validación del bloqueo (if intentos_restantes == 0) demuestran una buena capacidad para estructurar condicionales anidados.Autogestión: El archivo .ipynb está correctamente identificado y documentado, lo cual facilita la trazabilidad y el estudio posterior.Motivación: Dominar el ciclo while y las interrupciones de flujo (break)_x000a_ es fundamental para los retos que vienen en el segundo corte. Han _x000a_demostrado estar listos para aplicar lógica de programación en problemas_x000a_ de seguridad y administración. ¡Sigan con este nivel de compromis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4"/>
    <n v="5"/>
    <n v="0.8"/>
  </r>
  <r>
    <x v="35"/>
    <s v="Juan Sebastian"/>
    <s v="Perdomo Herrera"/>
    <s v="juanperhe@unisabana.edu.co"/>
    <x v="16"/>
    <d v="2026-02-25T00:00:00"/>
    <x v="5"/>
    <s v="Entregado"/>
    <s v="No hay archivo adjunto."/>
    <n v="0"/>
    <n v="5"/>
    <n v="0"/>
  </r>
  <r>
    <x v="36"/>
    <s v="Martin Martin"/>
    <s v="Trujillo Rodriguez"/>
    <s v="martintrro@unisabana.edu.co"/>
    <x v="16"/>
    <d v="2026-02-25T00:00:00"/>
    <x v="5"/>
    <s v="Entregado"/>
    <s v="Retroalimentación de la Entrega: Sistema de Login Seguro (Bono)Calificación Final: 50/50 Incentivo Académico: Se otorgan +0.5 unidades para el Primer Parcial del 25 de febrero a cada integrante.Comentarios del Profesor: Excelente_x000a_ trabajo, equipo. El código es limpio, eficiente y cumple rigurosamente _x000a_con la lógica de seguridad solicitada. Han demostrado un buen manejo de _x000a_la estructura try-except implícita en la lógica de control y una excelente organización de los bloques.Puntos Destacados:Lógica de Control: El uso del contador intentos dentro del bloque else es la forma más precisa de programar este sistema, ya que solo penaliza al usuario cuando falla.Experiencia de Usuario (UX): El uso de f-strings para informar los intentos restantes es un detalle de calidad que aporta claridad al programa.Documentación: El uso de emojis y títulos para separar las secciones del código facilita la lectura y el mantenimiento del script.Observación de Autogestión: Aunque el código es perfecto, recuerden que para futuros entregables la identificación de los integrantes debe ir dentro_x000a_ de una celda de Markdown al inicio del Notebook, no al final del _x000a_archivo, para cumplir con los estándares de presentación profesional de _x000a_la EICEA.Motivación: Tienen_x000a_ una base sólida en estructuras de control. Mantengan este nivel de _x000a_atención al detalle para el parcial presencial. La capacidad de _x000a_anticipar el error del usuario y gestionarlo es lo que define a un _x000a_programador de alto nivel. ¡Felicitaciones!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37"/>
    <s v="Alan David"/>
    <s v="Rossoff Vanegas"/>
    <s v="alanrova@unisabana.edu.co"/>
    <x v="16"/>
    <d v="2026-02-25T00:00:00"/>
    <x v="5"/>
    <s v="Entregado"/>
    <s v="No hay archivo adjunto."/>
    <n v="0"/>
    <n v="5"/>
    <n v="0"/>
  </r>
  <r>
    <x v="38"/>
    <s v="Diego Alejandro"/>
    <s v="Hermida Limas"/>
    <s v="diegoherli@unisabana.edu.co"/>
    <x v="16"/>
    <d v="2026-02-25T00:00:00"/>
    <x v="5"/>
    <s v="Entregado"/>
    <s v="Retroalimentación de la Entrega: Sistema de Login Seguro (Bono)Calificación Final: 50/50 Incentivo Académico: Se otorgan +0.5 unidades para el Primer Parcial del 25 de febrero a cada integrante.Comentarios del Profesor: Excelente trabajo grupal. El código es limpio, funcional y cumple rigurosamente con todos los requisitos técnicos solicitados.Puntos Destacados:Lógica de Control: El uso del ciclo while con la condición intentos &amp;lt; 3 es preciso.Manejo de Flujo: Implementaron correctamente el break para finalizar el proceso tras un acierto, evitando ejecuciones innecesarias.Documentación:_x000a_ Es notable el esfuerzo por comentar cada línea de código. Esto _x000a_demuestra que comprenden no solo qué hace el programa, sino por qué lo _x000a_hace (Autogestión).Experiencia de Usuario (UX): El uso de emojis y mensajes claros facilita la interacción con el sistema bancario simulado.Motivación: Han_x000a_ demostrado una base sólida en estructuras de control. Sigan practicando_x000a_ la lógica de condicionales anidados, ya que será un componente _x000a_fundamental en el parcial presencial. ¡Muy bien hecho!Rúbrica de CalificaciónCriterio de EvaluaciónRequisito TécnicoPuntaje MáximoPuntaje ObtenidoSeguridadDefinición de variable contrasena_correcta.5.05.0Control de IntentosImplementación de while limitado a 3 intentos.10.010.0InteracciónUso correcto de input() para capturar la clave.5.05.0Lógica de ÉxitoUso de if, print(&quot;Bienvenido&quot;) y break.10.010.0Lógica de FalloCálculo y muestra de intentos restantes.10.010.0BloqueoMensaje &quot;Cuenta Bloqueada&quot; al agotar intentos.10.010.0TOTAL50.050.0Diego Mauricio Zuluaga Rodríguez Profesor - Departamento de Economía Universidad de La Sabana"/>
    <n v="5"/>
    <n v="5"/>
    <n v="1"/>
  </r>
  <r>
    <x v="0"/>
    <s v="Paula Andrea"/>
    <s v="Arciniegas Cardenas"/>
    <s v="paulaarcca@unisabana.edu.co"/>
    <x v="17"/>
    <d v="2026-02-18T00:00:00"/>
    <x v="6"/>
    <s v="Entregado"/>
    <m/>
    <n v="50"/>
    <n v="50"/>
    <n v="1"/>
  </r>
  <r>
    <x v="1"/>
    <s v="Sofia"/>
    <s v="Giraldo Pico"/>
    <s v="sofiagipi@unisabana.edu.co"/>
    <x v="17"/>
    <d v="2026-02-18T00:00:00"/>
    <x v="6"/>
    <s v="Entregado"/>
    <m/>
    <n v="0"/>
    <n v="50"/>
    <n v="0"/>
  </r>
  <r>
    <x v="2"/>
    <s v="Valery"/>
    <s v="Linares Hernandez"/>
    <s v="valerylihe@unisabana.edu.co"/>
    <x v="17"/>
    <d v="2026-02-18T00:00:00"/>
    <x v="6"/>
    <s v="Entregado"/>
    <m/>
    <n v="50"/>
    <n v="50"/>
    <n v="1"/>
  </r>
  <r>
    <x v="3"/>
    <s v="Nicolas"/>
    <s v="Torres Calderon"/>
    <s v="nicolastorca@unisabana.edu.co"/>
    <x v="17"/>
    <d v="2026-02-18T00:00:00"/>
    <x v="6"/>
    <s v="Entregado"/>
    <m/>
    <n v="50"/>
    <n v="50"/>
    <n v="1"/>
  </r>
  <r>
    <x v="4"/>
    <s v="Cristian"/>
    <s v="Bermudez"/>
    <s v="cristianbe@unisabana.edu.co"/>
    <x v="17"/>
    <d v="2026-02-18T00:00:00"/>
    <x v="6"/>
    <s v="Entregado"/>
    <m/>
    <n v="50"/>
    <n v="50"/>
    <n v="1"/>
  </r>
  <r>
    <x v="5"/>
    <s v="Mariana"/>
    <s v="Carmona Romero"/>
    <s v="marianacarrom@unisabana.edu.co"/>
    <x v="17"/>
    <d v="2026-02-18T00:00:00"/>
    <x v="6"/>
    <s v="Entregado"/>
    <m/>
    <n v="50"/>
    <n v="50"/>
    <n v="1"/>
  </r>
  <r>
    <x v="6"/>
    <s v="Mariana"/>
    <s v="Pena Rodriguez"/>
    <s v="marianapero@unisabana.edu.co"/>
    <x v="17"/>
    <d v="2026-02-18T00:00:00"/>
    <x v="6"/>
    <s v="Entregado"/>
    <m/>
    <n v="50"/>
    <n v="50"/>
    <n v="1"/>
  </r>
  <r>
    <x v="7"/>
    <s v="Isabella"/>
    <s v="Carranza Tapiero"/>
    <s v="isabellacata@unisabana.edu.co"/>
    <x v="17"/>
    <d v="2026-02-18T00:00:00"/>
    <x v="6"/>
    <s v="Entregado"/>
    <m/>
    <n v="50"/>
    <n v="50"/>
    <n v="1"/>
  </r>
  <r>
    <x v="8"/>
    <s v="Samuel David"/>
    <s v="Lozano Holguin"/>
    <s v="samuelloho@unisabana.edu.co"/>
    <x v="17"/>
    <d v="2026-02-18T00:00:00"/>
    <x v="6"/>
    <s v="Entregado"/>
    <m/>
    <n v="50"/>
    <n v="50"/>
    <n v="1"/>
  </r>
  <r>
    <x v="9"/>
    <s v="Sebastian"/>
    <s v="Vanoy Gutierrez"/>
    <s v="sebastianvagu@unisabana.edu.co"/>
    <x v="17"/>
    <d v="2026-02-18T00:00:00"/>
    <x v="6"/>
    <s v="Entregado"/>
    <m/>
    <n v="50"/>
    <n v="50"/>
    <n v="1"/>
  </r>
  <r>
    <x v="10"/>
    <s v="Jose Daniel"/>
    <s v="Escobar Hurtado"/>
    <s v="joseeshu@unisabana.edu.co"/>
    <x v="17"/>
    <d v="2026-02-18T00:00:00"/>
    <x v="6"/>
    <s v="Entregado"/>
    <m/>
    <n v="50"/>
    <n v="50"/>
    <n v="1"/>
  </r>
  <r>
    <x v="11"/>
    <s v="Maria Jose"/>
    <s v="Botero Galviz"/>
    <s v="mariabotga@unisabana.edu.co"/>
    <x v="17"/>
    <d v="2026-02-18T00:00:00"/>
    <x v="6"/>
    <s v="Entregado"/>
    <m/>
    <n v="0"/>
    <n v="50"/>
    <n v="0"/>
  </r>
  <r>
    <x v="12"/>
    <s v="Maria Juliana"/>
    <s v="Mejia Quintero"/>
    <s v="mariamequ@unisabana.edu.co"/>
    <x v="17"/>
    <d v="2026-02-18T00:00:00"/>
    <x v="6"/>
    <s v="Entregado"/>
    <m/>
    <n v="0"/>
    <n v="50"/>
    <n v="0"/>
  </r>
  <r>
    <x v="13"/>
    <s v="Alejandra"/>
    <s v="Leon Vargas"/>
    <s v="alejandraleva@unisabana.edu.co"/>
    <x v="17"/>
    <d v="2026-02-18T00:00:00"/>
    <x v="6"/>
    <s v="Entregado"/>
    <m/>
    <n v="40"/>
    <n v="50"/>
    <n v="0.8"/>
  </r>
  <r>
    <x v="14"/>
    <s v="Alessandro Di Mauro"/>
    <s v="Bonilla Correa"/>
    <s v="alessandroboco@unisabana.edu.co"/>
    <x v="17"/>
    <d v="2026-02-18T00:00:00"/>
    <x v="6"/>
    <s v="Entregado"/>
    <m/>
    <n v="50"/>
    <n v="50"/>
    <n v="1"/>
  </r>
  <r>
    <x v="15"/>
    <s v="Arianne Mariana"/>
    <s v="Amorocho Quiroga"/>
    <s v="arianneamqu@unisabana.edu.co"/>
    <x v="17"/>
    <d v="2026-02-18T00:00:00"/>
    <x v="6"/>
    <s v="Entregado"/>
    <m/>
    <n v="50"/>
    <n v="50"/>
    <n v="1"/>
  </r>
  <r>
    <x v="16"/>
    <s v="Maria Juliana"/>
    <s v="Herrera Pulido"/>
    <s v="mariahepu@unisabana.edu.co"/>
    <x v="17"/>
    <d v="2026-02-18T00:00:00"/>
    <x v="6"/>
    <s v="Entregado"/>
    <m/>
    <n v="50"/>
    <n v="50"/>
    <n v="1"/>
  </r>
  <r>
    <x v="17"/>
    <s v="Simon Gustavo"/>
    <s v="Restrepo Alvarez"/>
    <s v="simonreal@unisabana.edu.co"/>
    <x v="17"/>
    <d v="2026-02-18T00:00:00"/>
    <x v="6"/>
    <s v="Entregado"/>
    <m/>
    <n v="50"/>
    <n v="50"/>
    <n v="1"/>
  </r>
  <r>
    <x v="18"/>
    <s v="Daniel Felipe"/>
    <s v="Camacho Pedraza"/>
    <s v="danielcampe@unisabana.edu.co"/>
    <x v="17"/>
    <d v="2026-02-18T00:00:00"/>
    <x v="6"/>
    <s v="Entregado"/>
    <m/>
    <n v="50"/>
    <n v="50"/>
    <n v="1"/>
  </r>
  <r>
    <x v="19"/>
    <s v="Mateo"/>
    <s v="Perez Daza"/>
    <s v="mateopeda@unisabana.edu.co"/>
    <x v="17"/>
    <d v="2026-02-18T00:00:00"/>
    <x v="6"/>
    <s v="Entregado"/>
    <m/>
    <n v="50"/>
    <n v="50"/>
    <n v="1"/>
  </r>
  <r>
    <x v="20"/>
    <s v="Matias"/>
    <s v="Mondragon Osorio"/>
    <s v="matiasmoos@unisabana.edu.co"/>
    <x v="17"/>
    <d v="2026-02-18T00:00:00"/>
    <x v="6"/>
    <s v="Entregado"/>
    <m/>
    <n v="50"/>
    <n v="50"/>
    <n v="1"/>
  </r>
  <r>
    <x v="21"/>
    <s v="Juan David"/>
    <s v="Neuta Medina"/>
    <s v="juanneme@unisabana.edu.co"/>
    <x v="17"/>
    <d v="2026-02-18T00:00:00"/>
    <x v="6"/>
    <s v="Entregado"/>
    <m/>
    <n v="50"/>
    <n v="50"/>
    <n v="1"/>
  </r>
  <r>
    <x v="22"/>
    <s v="Laura Fernanda"/>
    <s v="Lopez Parra"/>
    <s v="lauraloppa@unisabana.edu.co"/>
    <x v="17"/>
    <d v="2026-02-18T00:00:00"/>
    <x v="6"/>
    <s v="Entregado"/>
    <m/>
    <n v="50"/>
    <n v="50"/>
    <n v="1"/>
  </r>
  <r>
    <x v="23"/>
    <s v="Lukas"/>
    <s v="Blanco Llanes"/>
    <s v="lukasblll@unisabana.edu.co"/>
    <x v="17"/>
    <d v="2026-02-18T00:00:00"/>
    <x v="6"/>
    <s v="Entregado"/>
    <m/>
    <n v="50"/>
    <n v="50"/>
    <n v="1"/>
  </r>
  <r>
    <x v="24"/>
    <s v="Juan Sebastian"/>
    <s v="Salas Hinojosa"/>
    <s v="juansahi@unisabana.edu.co"/>
    <x v="17"/>
    <d v="2026-02-18T00:00:00"/>
    <x v="6"/>
    <s v="Entregado"/>
    <m/>
    <n v="50"/>
    <n v="50"/>
    <n v="1"/>
  </r>
  <r>
    <x v="25"/>
    <s v="Avril Avril"/>
    <s v="Ariza Quitian"/>
    <s v="avrilarqu@unisabana.edu.co"/>
    <x v="17"/>
    <d v="2026-02-18T00:00:00"/>
    <x v="6"/>
    <s v="Entregado"/>
    <m/>
    <n v="50"/>
    <n v="50"/>
    <n v="1"/>
  </r>
  <r>
    <x v="26"/>
    <s v="Samuel David"/>
    <s v="Simancas Contreras"/>
    <s v="samuelsico@unisabana.edu.co"/>
    <x v="17"/>
    <d v="2026-02-18T00:00:00"/>
    <x v="6"/>
    <s v="Entregado"/>
    <m/>
    <n v="50"/>
    <n v="50"/>
    <n v="1"/>
  </r>
  <r>
    <x v="27"/>
    <s v="Maria Jose"/>
    <s v="Huertas Osorio"/>
    <s v="mariahueos@unisabana.edu.co"/>
    <x v="17"/>
    <d v="2026-02-18T00:00:00"/>
    <x v="6"/>
    <s v="Entregado"/>
    <m/>
    <n v="50"/>
    <n v="50"/>
    <n v="1"/>
  </r>
  <r>
    <x v="28"/>
    <s v="Juan Camilo"/>
    <s v="Leyton Lancheros"/>
    <s v="juanleyla@unisabana.edu.co"/>
    <x v="17"/>
    <d v="2026-02-18T00:00:00"/>
    <x v="6"/>
    <s v="Entregado"/>
    <m/>
    <n v="50"/>
    <n v="50"/>
    <n v="1"/>
  </r>
  <r>
    <x v="29"/>
    <s v="Samuel Mathias"/>
    <s v="Gonzalez Bernal"/>
    <s v="samuelgonbe@unisabana.edu.co"/>
    <x v="17"/>
    <d v="2026-02-18T00:00:00"/>
    <x v="6"/>
    <s v="Entregado"/>
    <m/>
    <n v="50"/>
    <n v="50"/>
    <n v="1"/>
  </r>
  <r>
    <x v="30"/>
    <s v="Valeria"/>
    <s v="Morales"/>
    <s v="valeriamor@unisabana.edu.co"/>
    <x v="17"/>
    <d v="2026-02-18T00:00:00"/>
    <x v="6"/>
    <s v="Entregado"/>
    <m/>
    <n v="50"/>
    <n v="50"/>
    <n v="1"/>
  </r>
  <r>
    <x v="31"/>
    <s v="Samantha"/>
    <s v="Vanegas Russi"/>
    <s v="samanthavaru@unisabana.edu.co"/>
    <x v="17"/>
    <d v="2026-02-18T00:00:00"/>
    <x v="6"/>
    <s v="Entregado"/>
    <m/>
    <n v="50"/>
    <n v="50"/>
    <n v="1"/>
  </r>
  <r>
    <x v="32"/>
    <s v="Juan Jose"/>
    <s v="Caballero Mantilla"/>
    <s v="juancabma@unisabana.edu.co"/>
    <x v="17"/>
    <d v="2026-02-18T00:00:00"/>
    <x v="6"/>
    <s v="Entregado"/>
    <m/>
    <n v="50"/>
    <n v="50"/>
    <n v="1"/>
  </r>
  <r>
    <x v="33"/>
    <s v="Daniel Camilo"/>
    <s v="Lopez Piraquive"/>
    <s v="danielloppi@unisabana.edu.co"/>
    <x v="17"/>
    <d v="2026-02-18T00:00:00"/>
    <x v="6"/>
    <s v="Entregado"/>
    <m/>
    <n v="50"/>
    <n v="50"/>
    <n v="1"/>
  </r>
  <r>
    <x v="34"/>
    <s v="Gabriela"/>
    <s v="Ruiz Perez"/>
    <s v="gabrielarupe@unisabana.edu.co"/>
    <x v="17"/>
    <d v="2026-02-18T00:00:00"/>
    <x v="6"/>
    <s v="Entregado"/>
    <m/>
    <n v="50"/>
    <n v="50"/>
    <n v="1"/>
  </r>
  <r>
    <x v="35"/>
    <s v="Juan Sebastian"/>
    <s v="Perdomo Herrera"/>
    <s v="juanperhe@unisabana.edu.co"/>
    <x v="17"/>
    <d v="2026-02-18T00:00:00"/>
    <x v="6"/>
    <s v="Entregado"/>
    <m/>
    <n v="0"/>
    <n v="50"/>
    <n v="0"/>
  </r>
  <r>
    <x v="36"/>
    <s v="Martin Martin"/>
    <s v="Trujillo Rodriguez"/>
    <s v="martintrro@unisabana.edu.co"/>
    <x v="17"/>
    <d v="2026-02-18T00:00:00"/>
    <x v="6"/>
    <s v="Entregado"/>
    <m/>
    <n v="50"/>
    <n v="50"/>
    <n v="1"/>
  </r>
  <r>
    <x v="37"/>
    <s v="Alan David"/>
    <s v="Rossoff Vanegas"/>
    <s v="alanrova@unisabana.edu.co"/>
    <x v="17"/>
    <d v="2026-02-18T00:00:00"/>
    <x v="6"/>
    <s v="Entregado"/>
    <m/>
    <n v="50"/>
    <n v="50"/>
    <n v="1"/>
  </r>
  <r>
    <x v="38"/>
    <s v="Diego Alejandro"/>
    <s v="Hermida Limas"/>
    <s v="diegoherli@unisabana.edu.co"/>
    <x v="17"/>
    <d v="2026-02-18T00:00:00"/>
    <x v="6"/>
    <s v="Entregado"/>
    <m/>
    <n v="50"/>
    <n v="50"/>
    <n v="1"/>
  </r>
  <r>
    <x v="0"/>
    <s v="Paula Andrea"/>
    <s v="Arciniegas Cardenas"/>
    <s v="paulaarcca@unisabana.edu.co"/>
    <x v="18"/>
    <d v="2026-02-25T00:00:00"/>
    <x v="7"/>
    <s v="Entregado"/>
    <s v="Retroalimentación de la Entrega: Taller Corte 1 - MVP del_x000a_Emprendedor  Grupo: Paula Andrea Arciniegas Cárdenas, Valeria_x000a_Morales. Startup: LogicFlow  Calificación Final: 50/50 (Equivalente a 5.0) (Nota: El puntaje base obtenido fue de 46/50. Se aplicó el bono de +5 puntos_x000a_por la implementación exitosa de Git/GitHub, alcanzando el tope máximo de_x000a_50/50).  Comentarios del Profesor: Equipo LogicFlow, han presentado un proyecto muy sólido. Han_x000a_demostrado una excelente capacidad para resolver problemas lógicos y_x000a_estructurar un portafolio profesional que resalta sus perfiles como analistas y_x000a_desarrolladoras.  Puntos a destacar (Lo excelente): _x000a_ Portafolio_x000a_     Profesional (GitHub): El archivo README.md es impecable. Definir el_x000a_     contexto de la Startup y explicar cómo cada reto aporta a la toma de_x000a_     decisiones en Colombia demuestra una gran visión de negocio. Además,_x000a_     lograron implementar Git y GitHub, obteniendo el bono de +5 puntos. _x000a_ Nivel_x000a_     Avanzado en Reto 1: El uso de una lista de diccionarios (paquetes.append({&quot;peso&quot;:_x000a_     peso...})) y la función lambda para ordenar con .sort(key=lambda x:_x000a_     x[&quot;peso&quot;]) es código de nivel intermedio-avanzado. ¡Excelente_x000a_     investigación autónoma! _x000a_ Manejo_x000a_     de Errores (UX): En el Reto 1, la implementación de try/except para_x000a_     evitar que el programa colapse si el usuario ingresa letras en lugar de_x000a_     números es una práctica de programación defensiva muy profesional.  Oportunidades de Mejora (Sanity Check y Autogestión): _x000a_ Estructura_x000a_     General (Reto 3): La rúbrica exigía que todos los retos_x000a_     tuvieran un Menú Interactivo (while). El Reto 1 lo tiene perfecto, pero el_x000a_     Reto 3 se ejecuta de forma lineal y termina. En el mundo real, un usuario_x000a_     necesita poder realizar varios análisis sin tener que reiniciar la_x000a_     aplicación. _x000a_ &quot;Pythonic_x000a_     Way&quot; (Reto 3): En el Reto 3 inicializaron la lista con ceros trm_x000a_     =[0,0,0,0,0,0,0] y luego reemplazaron los valores por índice trm[i] =_x000a_     trm_dia. Aunque funciona (lógica de lenguajes como C o Java), en Python la_x000a_     mejor práctica es iniciar una lista vacía trm =[] y usar el método .append(trm_dia). _x000a_ Declaración_x000a_     de Tipos: En el Reto 3 escribieron valor_maximo = float. En Python,_x000a_     esto asigna el objeto tipo float a la variable, lo cual es_x000a_     innecesario porque en la siguiente línea lo sobrescriben con trm[0]._x000a_     Python es de tipado dinámico, no necesitan declarar el tipo de la variable_x000a_     antes de usarla.  Motivación: _x000a_Tienen un pensamiento analítico muy fuerte y una excelente presentación de_x000a_resultados. Ajustando esos pequeños detalles de estructura y aprovechando al_x000a_máximo las herramientas nativas de Python, estarán listas para construir_x000a_modelos financieros y logísticos muy potentes. ¡Excelente preparación para el_x000a_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presentes y coherentes_x000a_  con la lógica implementada. _x000a_  _x000a_  _x000a_  10.0 _x000a_  _x000a_  _x000a_  10.0 _x000a_  _x000a_ _x000a_ _x000a_  _x000a_  Funcionalidad Python _x000a_  _x000a_  _x000a_  Reto 1 impecable. Penalización leve: El Reto 3_x000a_  carece del menú interactivo (while) exigido en la rúbrica general. _x000a_  _x000a_  _x000a_  15.0 _x000a_  _x000a_  _x000a_  13.0 _x000a_  _x000a_ _x000a_ _x000a_  _x000a_  Manejo de Datos _x000a_  _x000a_  _x000a_  Excelente uso de diccionarios y .sort() en Reto 1. Penalización_x000a_  leve: Uso poco convencional de listas en Reto 3 y ausencia de .sort(). _x000a_  _x000a_  _x000a_  15.0 _x000a_  _x000a_  _x000a_  13.0 _x000a_  _x000a_ _x000a_ _x000a_  _x000a_  Git &amp;amp; GitHub _x000a_  _x000a_  _x000a_  Repositorio público excelente y README.md con contexto de_x000a_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TOTAL _x000a_  _x000a_  _x000a_  (Tope máximo de 50 puntos) _x000a_  _x000a_  _x000a_  50.0 _x000a_  _x000a_  _x000a_  50.0 _x000a_  _x000a_ Diego Mauricio Zuluaga Rodríguez _x000a_Profesor - Departamento de Economía _x000a_Universidad de La Sabana"/>
    <n v="50"/>
    <n v="50"/>
    <n v="1"/>
  </r>
  <r>
    <x v="1"/>
    <s v="Sofia"/>
    <s v="Giraldo Pico"/>
    <s v="sofiagipi@unisabana.edu.co"/>
    <x v="18"/>
    <d v="2026-02-25T00:00:00"/>
    <x v="7"/>
    <s v="Entregado"/>
    <s v="Retroalimentación de la Entrega: Taller Corte 1 - MVP del_x000a_Emprendedor  Estudiante: Sofia Giraldo Pico Proyectos Desarrollados: Reto 1 (Logística) y Reto 2 (Gastronomía)  Calificación Final: 35/50 (Equivalente a 3.5)  Comentarios del Profesor: Sofia, he revisado tu entrega técnica. Presentas un nivel de_x000a_programación superior al promedio, demostrando una comprensión profunda de_x000a_estructuras de datos avanzadas y manejo de errores. Sin embargo, la nota final_x000a_se ve afectada por el incumplimiento de los protocolos administrativos y_x000a_pedagógicos del curso.  Puntos a destacar (Excelencia Técnica): _x000a_ Robustez_x000a_     del Código: Es el primer grupo/estudiante que implementa de forma_x000a_     autónoma bloques try-except para validar entradas. Esto evita que el_x000a_     programa colapse si el usuario digita texto en lugar de números. Es una_x000a_     práctica profesional excelente. _x000a_ Estructuras_x000a_     de Datos: El uso de Listas de Diccionarios (paquetes.append({&quot;destino&quot;:_x000a_     destino...})) es una forma muy eficiente de organizar información_x000a_     compleja. Superaste el requerimiento básico de listas simples. _x000a_ Uso_x000a_     de Lambdas: Utilizar key=lambda p: p[&quot;peso&quot;] para ordenar_x000a_     diccionarios demuestra que has profundizado en la documentación de Python.  Oportunidades de Mejora (Autogestión y Reglas): _x000a_ Fase_x000a_     de Diseño (Crítico): No adjuntaste el Diagrama de Flujo ni el Pseudocódigo._x000a_     En este curso, la planeación es tan importante como la ejecución. La_x000a_     rúbrica asigna 10 puntos a este ítem para fomentar que el estudiante_x000a_     piense la lógica antes de codificar. Al no entregarlo, pierdes este_x000a_     puntaje por completo. _x000a_ Trabajo_x000a_     en Equipo: El taller estaba diseñado para ser realizado en grupos de 3_x000a_     para fomentar habilidades colaborativas (competencia clave en EICEA). Al_x000a_     trabajar de forma individual sin una autorización previa por fuerza mayor,_x000a_     se aplica la penalización de -5 puntos establecida. _x000a_ Faltó_x000a_     el Menú Principal: Aunque los dos retos funcionan perfectamente por_x000a_     separado, el enunciado solicitaba un Menú Interactivo único (Ciclo while)_x000a_     que permitiera navegar entre ambos retos sin cerrar el programa.  Motivación: _x000a_Sofia, técnicamente eres muy fuerte. Tienes una capacidad analítica envidiable_x000a_y tu código es limpio y profesional. Si logras alinear ese talento técnico con_x000a_el cumplimiento estricto de las instrucciones administrativas y de diseño_x000a_(planeación), tus resultados serán excepcionales. Te invito a no descuidar la_x000a_&quot;forma&quot; por enfocarte solo en el &quot;fondo&quot;. ¡Cuentas con una_x000a_base técnica muy sólida para el resto del semestre!  RÚBRICA DE EVALUACIÓN - TALLER CORTE 1 (50 PUNTOS) _x000a_ _x000a_  _x000a_  Criterio _x000a_  _x000a_  _x000a_  Descripción Técnica _x000a_  _x000a_  _x000a_  Puntaje Máximo _x000a_  _x000a_  _x000a_  Puntaje Obtenido _x000a_  _x000a_ _x000a_ _x000a_  _x000a_  Lógica y Diseño _x000a_  _x000a_  _x000a_  No se entregó Diagrama de Flujo ni Pseudocódigo en carpeta_x000a_  design/. _x000a_  _x000a_  _x000a_  10.0 _x000a_  _x000a_  _x000a_  0.0 _x000a_  _x000a_ _x000a_ _x000a_  _x000a_  Funcionalidad Python _x000a_  _x000a_  _x000a_  Código excelente, incluye validación de errores (try-except)._x000a_  Faltó el menú while integrador. _x000a_  _x000a_  _x000a_  15.0 _x000a_  _x000a_  _x000a_  12.0 _x000a_  _x000a_ _x000a_ _x000a_  _x000a_  Manejo de Datos _x000a_  _x000a_  _x000a_  Uso avanzado de diccionarios, ciclos for, sum() y_x000a_  ordenamiento por lambda. _x000a_  _x000a_  _x000a_  15.0 _x000a_  _x000a_  _x000a_  15.0 _x000a_  _x000a_ _x000a_ _x000a_  _x000a_  Git &amp;amp; GitHub _x000a_  _x000a_  _x000a_  Se otorga el puntaje base según protocolo (No se baja por_x000a_  no usarlo). _x000a_  _x000a_  _x000a_  10.0 _x000a_  _x000a_  _x000a_  10.0 _x000a_  _x000a_ _x000a_ _x000a_  _x000a_  Penalización _x000a_  _x000a_  _x000a_  Trabajo Individual (Incumplimiento de conformación_x000a_  de grupos). _x000a_  _x000a_  _x000a_  - 5.0 _x000a_  _x000a_  _x000a_  - 5.0 _x000a_  _x000a_ _x000a_ _x000a_  _x000a_  TOTAL _x000a_  _x000a_  _x000a_  _x000a_  50.0 _x000a_  _x000a_  _x000a_  35.0 _x000a_  _x000a_ Diego Mauricio Zuluaga Rodríguez _x000a_Profesor - Departamento de Economía _x000a_Universidad de La Sabana"/>
    <n v="35"/>
    <n v="50"/>
    <n v="0.7"/>
  </r>
  <r>
    <x v="2"/>
    <s v="Valery"/>
    <s v="Linares Hernandez"/>
    <s v="valerylihe@unisabana.edu.co"/>
    <x v="18"/>
    <d v="2026-02-25T00:00:00"/>
    <x v="7"/>
    <s v="Entregado"/>
    <s v="Retroalimentación de la Entrega: Taller Corte 1 - MVP del_x000a_Emprendedor  Estudiante: María José Botero Galviz, Valery Linares_x000a_Hernandez.  Proyecto: Reto 1 (Logística) y Reto 2 (Gastronomía)  Calificación Final: 40/50 (Equivalente a 4.0 / 5.0) (Nota: Se aplicó un bono de +5 puntos por el uso de GitHub, pero hubo_x000a_penalizaciones por omisión de entregables críticos de autogestión).  Comentarios del Profesor: María José, he revisado tu código y técnicamente está en un_x000a_nivel muy avanzado. Demuestras un dominio de Python que va más allá de lo visto_x000a_en estas primeras clases, lo cual es excelente. Sin embargo, en el mundo de los_x000a_negocios y la tecnología, la excelencia técnica debe ir de la mano con el_x000a_cumplimiento estricto de los requerimientos del cliente (en este caso, la_x000a_rúbrica del taller).  Puntos a destacar (Lo excelente): _x000a_ Nivel_x000a_     Técnico Avanzado: El uso de diccionarios dentro de listas, funciones lambda_x000a_     para el método .sort(), comprensiones de listas (sum(p[&quot;peso&quot;]_x000a_     for p in paquetes)) y operadores ternarios demuestra una lógica de_x000a_     programación muy sólida. _x000a_ Manejo_x000a_     de Errores (UX): Implementaste bloques try-except con ciclos while_x000a_     True para validar que el usuario ingrese números válidos y mayores a cero._x000a_     Esto es una práctica profesional de alto nivel que blinda tu programa_x000a_     contra errores humanos. _x000a_ Iniciativa:_x000a_     Subiste el proyecto a GitHub y compartiste el enlace, lo cual te otorga el_x000a_     bono de +5 puntos, demostrando proactividad.  Oportunidades de Mejora (Autogestión y Seguimiento de_x000a_Instrucciones): _x000a_ Ausencia_x000a_     de Planeación (Diseño): No entregaste el diagrama de flujo ni el_x000a_     pseudocódigo (carpeta design/). Como CTO de tu emprendimiento, la_x000a_     planeación es tan importante como la ejecución. Programar sin documentar_x000a_     la lógica previa penaliza fuertemente el rubro de diseño. _x000a_ Omisión_x000a_     del Menú Principal: La rúbrica exigía explícitamente un Menú_x000a_     Interactivo (Ciclo while) que integrara las opciones del sistema y no_x000a_     se cerrara hasta que el usuario lo decidiera. Tu código ejecuta el Reto 1_x000a_     y luego el Reto 2 de forma secuencial, omitiendo esta estructura central. _x000a_ Falta_x000a_     de Portafolio (README.md): Aunque usaste GitHub, omitiste el archivo README.md._x000a_     En el mercado laboral, un repositorio sin README es un proyecto_x000a_     &quot;invisible&quot; para los reclutadores, ya que no explica qué hace el_x000a_     código ni quién lo hizo.  Motivación: _x000a_Tienes un talento técnico innegable y una lógica matemática muy bien_x000a_estructurada. El reto para ti en este curso será la Autogestión: leer_x000a_detenidamente los requerimientos y asegurar que tu producto cumpla exactamente_x000a_con lo que se pide, además de documentar tu proceso. Si logras alinear tu_x000a_excelente nivel de código con el rigor administrativo, serás una profesional_x000a_imparabl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la carpeta design/ con el_x000a_  pseudocódigo ni el diagrama de flujo. _x000a_  _x000a_  _x000a_  10.0 _x000a_  _x000a_  _x000a_  0.0 _x000a_  _x000a_ _x000a_ _x000a_  _x000a_  Funcionalidad Python _x000a_  _x000a_  _x000a_  10.0: Código robusto y sin errores (uso de try-except)._x000a_  Se descuentan 5 puntos por la ausencia del Menú Interactivo (while) exigido_x000a_  en la rúbrica. _x000a_  _x000a_  _x000a_  15.0 _x000a_  _x000a_  _x000a_  10.0 _x000a_  _x000a_ _x000a_ _x000a_  _x000a_  Manejo de Datos _x000a_  _x000a_  _x000a_  15.0: Uso perfecto y avanzado de listas de_x000a_  diccionarios, ciclos for y .sort(key=lambda). _x000a_  _x000a_  _x000a_  15.0 _x000a_  _x000a_  _x000a_  15.0 _x000a_  _x000a_ _x000a_ _x000a_  _x000a_  Git &amp;amp; GitHub _x000a_  _x000a_  _x000a_  5.0: Se otorgan los puntos base por la exención de_x000a_  clase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3"/>
    <s v="Nicolas"/>
    <s v="Torres Calderon"/>
    <s v="nicolastorca@unisabana.edu.co"/>
    <x v="18"/>
    <d v="2026-02-25T00:00:00"/>
    <x v="7"/>
    <s v="Entregado"/>
    <s v="Retroalimentación de la Entrega: Taller Corte 1 - MVP del_x000a_Emprendedor  Grupo: Cristian Bermúdez, Juan Camilo Leyton_x000a_Lancheros, Nicolás Torres Calderón. Proyectos: Ruta-Óptima (Reto 1) y Chef-Costos (Reto 2).  Calificación Final: 19/50 (Equivalente a 1.9)  Comentarios del Profesor: Equipo, he revisado su entrega. A nivel de lógica matemática_x000a_y sintaxis de Python, el código que escribieron funciona correctamente. Sin_x000a_embargo, esta entrega presenta fallas críticas en el seguimiento de_x000a_instrucciones y en la competencia de Autogestión, lo cual ha impactado_x000a_severamente su calificación.  Puntos a destacar (Lo técnico): _x000a_ Lógica_x000a_     de Negocio: Las fórmulas matemáticas para calcular el costo de envío y_x000a_     el aumento porcentual de los ingredientes son correctas. _x000a_ Estructuras_x000a_     Avanzadas: Noté que utilizaron diccionarios y la función sorted() con_x000a_     funciones lambda. Aunque esto demuestra que investigaron o tienen_x000a_     conocimientos previos, en este curso evaluamos el dominio de las_x000a_     herramientas vistas en clase (Listas y el método .sort()).  Oportunidades de Mejora Críticas (Autogestión y Sanity_x000a_Check): _x000a_ Incumplimiento_x000a_     del Formato de Entrega (Git/GitHub): La instrucción era clara: debían_x000a_     crear un repositorio público en GitHub con un archivo README.md y subir el_x000a_     enlace a Teams. Ustedes adjuntaron únicamente el archivo .ipynb. En el_x000a_     mundo profesional, no usar el control de versiones solicitado por el_x000a_     cliente o el líder técnico es inaceptable. Esto les costó todos los puntos_x000a_     de esa sección. _x000a_ Ausencia_x000a_     de Planeación (Diseño): No entregaron la carpeta design/ con el_x000a_     pseudocódigo ni el diagrama de flujo. Recuerden la regla de la clase: Primero_x000a_     pensamos, luego codificamos. La falta de esta evidencia penaliza_x000a_     fuertemente la nota. _x000a_ Omisión_x000a_     de Requerimientos Obligatorios: La rúbrica exigía explícitamente un Menú_x000a_     Interactivo utilizando un ciclo while para que el programa no se_x000a_     cerrara solo y permitiera navegar entre los retos. Su código se ejecuta de_x000a_     forma lineal y termina, omitiendo por completo esta estructura de control_x000a_     fundamental.  Motivación: _x000a_Ustedes tienen la capacidad técnica para escribir buen código, eso quedó_x000a_demostrado en la lógica de sus retos. Sin embargo, el éxito de un profesional_x000a_(y de un CTO en una startup) radica en seguir los requerimientos del cliente al_x000a_pie de la letra y gestionar sus entregables de forma organizada. Los invito a_x000a_ajustar su nivel de atención al detalle y autogestión para los próximos cortes._x000a_Tienen el potencial para recuperars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pseudocódigo ni diagrama de_x000a_  flujo (Carpeta design/ ausente). _x000a_  _x000a_  _x000a_  10.0 _x000a_  _x000a_  _x000a_  0.0 _x000a_  _x000a_ _x000a_ _x000a_  _x000a_  Funcionalidad Python _x000a_  _x000a_  _x000a_  7.0: El código corre y usa if/else correctamente,_x000a_  pero omite por completo el ciclo while (Menú interactivo obligatorio). _x000a_  _x000a_  _x000a_  15.0 _x000a_  _x000a_  _x000a_  8.0 _x000a_  _x000a_ _x000a_ _x000a_  _x000a_  Manejo de Datos _x000a_  _x000a_  _x000a_  12.0: Uso correcto de ciclos for. Penalización:_x000a_  Se usó sorted() con lambda en lugar del método .sort() sobre listas anidadas,_x000a_  como se solicitó en la rúbrica. _x000a_  _x000a_  _x000a_  15.0 _x000a_  _x000a_  _x000a_  12.0 _x000a_  _x000a_ _x000a_ _x000a_  _x000a_  Git &amp;amp; GitHub _x000a_  _x000a_  _x000a_  0.0: NA. _x000a_  _x000a_  _x000a_  10.0 _x000a_  _x000a_  _x000a_  10.0 _x000a_  _x000a_ _x000a_ _x000a_  _x000a_  TOTAL _x000a_  _x000a_  _x000a_  _x000a_  50.0 _x000a_  _x000a_  _x000a_  30.0 _x000a_  _x000a_ Diego Mauricio Zuluaga Rodríguez _x000a_Profesor - Departamento de Economía _x000a_Universidad de La Sabana"/>
    <n v="30"/>
    <n v="50"/>
    <n v="0.6"/>
  </r>
  <r>
    <x v="4"/>
    <s v="Cristian"/>
    <s v="Bermudez"/>
    <s v="cristianbe@unisabana.edu.co"/>
    <x v="18"/>
    <d v="2026-02-25T00:00:00"/>
    <x v="7"/>
    <s v="Entregado"/>
    <s v="Retroalimentación de la Entrega: Taller Corte 1 - MVP del_x000a_Emprendedor  Grupo: Cristian Bermúdez, Juan Camilo Leyton_x000a_Lancheros, Nicolás Torres Calderón. Proyectos: Ruta-Óptima (Reto 1) y Chef-Costos (Reto 2).  Calificación Final: 19/50 (Equivalente a 1.9)  Comentarios del Profesor: Equipo, he revisado su entrega. A nivel de lógica matemática_x000a_y sintaxis de Python, el código que escribieron funciona correctamente. Sin_x000a_embargo, esta entrega presenta fallas críticas en el seguimiento de_x000a_instrucciones y en la competencia de Autogestión, lo cual ha impactado_x000a_severamente su calificación.  Puntos a destacar (Lo técnico): _x000a_ Lógica_x000a_     de Negocio: Las fórmulas matemáticas para calcular el costo de envío y_x000a_     el aumento porcentual de los ingredientes son correctas. _x000a_ Estructuras_x000a_     Avanzadas: Noté que utilizaron diccionarios y la función sorted() con_x000a_     funciones lambda. Aunque esto demuestra que investigaron o tienen_x000a_     conocimientos previos, en este curso evaluamos el dominio de las_x000a_     herramientas vistas en clase (Listas y el método .sort()).  Oportunidades de Mejora Críticas (Autogestión y Sanity_x000a_Check): _x000a_ Incumplimiento_x000a_     del Formato de Entrega (Git/GitHub): La instrucción era clara: debían_x000a_     crear un repositorio público en GitHub con un archivo README.md y subir el_x000a_     enlace a Teams. Ustedes adjuntaron únicamente el archivo .ipynb. En el_x000a_     mundo profesional, no usar el control de versiones solicitado por el_x000a_     cliente o el líder técnico es inaceptable. Esto les costó todos los puntos_x000a_     de esa sección. _x000a_ Ausencia_x000a_     de Planeación (Diseño): No entregaron la carpeta design/ con el_x000a_     pseudocódigo ni el diagrama de flujo. Recuerden la regla de la clase: Primero_x000a_     pensamos, luego codificamos. La falta de esta evidencia penaliza_x000a_     fuertemente la nota. _x000a_ Omisión_x000a_     de Requerimientos Obligatorios: La rúbrica exigía explícitamente un Menú_x000a_     Interactivo utilizando un ciclo while para que el programa no se_x000a_     cerrara solo y permitiera navegar entre los retos. Su código se ejecuta de_x000a_     forma lineal y termina, omitiendo por completo esta estructura de control_x000a_     fundamental.  Motivación: _x000a_Ustedes tienen la capacidad técnica para escribir buen código, eso quedó_x000a_demostrado en la lógica de sus retos. Sin embargo, el éxito de un profesional_x000a_(y de un CTO en una startup) radica en seguir los requerimientos del cliente al_x000a_pie de la letra y gestionar sus entregables de forma organizada. Los invito a_x000a_ajustar su nivel de atención al detalle y autogestión para los próximos cortes._x000a_Tienen el potencial para recuperars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pseudocódigo ni diagrama de_x000a_  flujo (Carpeta design/ ausente). _x000a_  _x000a_  _x000a_  10.0 _x000a_  _x000a_  _x000a_  0.0 _x000a_  _x000a_ _x000a_ _x000a_  _x000a_  Funcionalidad Python _x000a_  _x000a_  _x000a_  7.0: El código corre y usa if/else correctamente,_x000a_  pero omite por completo el ciclo while (Menú interactivo obligatorio). _x000a_  _x000a_  _x000a_  15.0 _x000a_  _x000a_  _x000a_  8.0 _x000a_  _x000a_ _x000a_ _x000a_  _x000a_  Manejo de Datos _x000a_  _x000a_  _x000a_  12.0: Uso correcto de ciclos for. Penalización:_x000a_  Se usó sorted() con lambda en lugar del método .sort() sobre listas anidadas,_x000a_  como se solicitó en la rúbrica. _x000a_  _x000a_  _x000a_  15.0 _x000a_  _x000a_  _x000a_  12.0 _x000a_  _x000a_ _x000a_ _x000a_  _x000a_  Git &amp;amp; GitHub _x000a_  _x000a_  _x000a_  0.0: NA. _x000a_  _x000a_  _x000a_  10.0 _x000a_  _x000a_  _x000a_  10.0 _x000a_  _x000a_ _x000a_ _x000a_  _x000a_  TOTAL _x000a_  _x000a_  _x000a_  _x000a_  50.0 _x000a_  _x000a_  _x000a_  30.0 _x000a_  _x000a_ Diego Mauricio Zuluaga Rodríguez _x000a_Profesor - Departamento de Economía _x000a_Universidad de La Sabana"/>
    <n v="30"/>
    <n v="50"/>
    <n v="0.6"/>
  </r>
  <r>
    <x v="5"/>
    <s v="Mariana"/>
    <s v="Carmona Romero"/>
    <s v="marianacarrom@unisabana.edu.co"/>
    <x v="18"/>
    <d v="2026-02-25T00:00:00"/>
    <x v="7"/>
    <s v="Entregado"/>
    <s v="Retroalimentación de la Entrega: Taller Corte 1 - MVP del_x000a_Emprendedor  Calificación: 0.0 / 50  Retroalimentación: _x000a_No se encontró registro de entrega en la plataforma Microsoft Teams ni el_x000a_vínculo al repositorio de GitHub solicitado. Según el cronograma oficial y las_x000a_instrucciones dadas, el plazo máximo de entrega venció el miércoles 25 de_x000a_febrero a las 16:00, previo al inicio del primer parcial. Al no existir_x000a_evidencia del trabajo, no es posible aplicar la rúbrica de evaluación.  Motivación: _x000a_Este resultado impacta el 30% de tu nota del primer corte; sin embargo, el_x000a_semestre apenas comienza. Te invito a reflexionar sobre tu proceso de autogestión_x000a_y organización del tiempo. Quedan por delante el Corte 2 y el Corte 3 (70%_x000a_restante del semestre), donde tienes la oportunidad de demostrar tu compromiso_x000a_y habilidades técnicas. Asegúrate de cumplir con las fechas establecidas en el_x000a_Syllabus para evitar futuras penalizaciones. Diego Mauricio Zuluaga Rodríguez _x000a_Profesor - Departamento de Economía _x000a_Universidad de La Sabana"/>
    <n v="0"/>
    <n v="50"/>
    <n v="0"/>
  </r>
  <r>
    <x v="6"/>
    <s v="Mariana"/>
    <s v="Pena Rodriguez"/>
    <s v="marianapero@unisabana.edu.co"/>
    <x v="18"/>
    <d v="2026-02-25T00:00:00"/>
    <x v="7"/>
    <s v="Entregado"/>
    <s v="Retroalimentación de la Entrega: Taller Corte 1 - MVP del_x000a_Emprendedor Grupo: Mariana Peña Rodríguez, Matías Mondragón_x000a_Osorio, Arianne Mariana Amorocho Quiroga. Proyecto: Ketoz - Sistema Central MVP Comentarios del Profesor: Equipo, han entregado un proyecto sobresaliente. Han logrado_x000a_conectar la teoría de la programación con un caso de negocio real y tangible_x000a_(Ketoz), lo cual es exactamente el objetivo del aprendizaje experiencial en la_x000a_EICEA. Puntos a destacar (Lo excelente): _x000a_ Portafolio_x000a_     Profesional (GitHub): El archivo README.md es de nivel_x000a_     profesional. Explicar el contexto de la empresa (importación de repuestos)_x000a_     y el rol de cada uno le da un valor inmenso a su portafolio. Además,_x000a_     lograron implementar Git y GitHub por su cuenta, lo cual demuestra una_x000a_     excelente capacidad de investigación y les otorga el bono de +5 puntos. _x000a_ Lógica_x000a_     y Diseño: El diagrama de flujo adjunto en la carpeta design/ es_x000a_     claro, estructurado y, lo más importante, coincide exactamente con la_x000a_     lógica del código final. Hicieron el trabajo de pensar antes de programar. _x000a_ Estructuras_x000a_     Modernas: La implementación de match/case para el menú_x000a_     principal demuestra que están explorando características modernas de_x000a_     Python (3.10+), yendo más allá de lo básico. _x000a_ Manejo_x000a_     de Datos: El uso de .sort() fue impecable. Entendieron_x000a_     perfectamente que al guardar los datos en las sublistas ([nombre, compra] y [peso,_x000a_     destino]), Python ordenaría automáticamente por el primer elemento_x000a_     (alfabético para mercadeo, numérico para logística). Oportunidad de Mejora (Sanity Check y Autogestión): _x000a_ Manejo_x000a_     de Errores (UX): En la ejecución de su Notebook quedó registrado_x000a_     un error ValueError: could not convert string to float: ''. Esto_x000a_     ocurre cuando el usuario presiona &quot;Enter&quot; sin escribir un_x000a_     número. Para futuros proyectos, recuerden lo que vimos sobre el_x000a_     bloque try-except para blindar el programa y evitar que colapse_x000a_     por un error de digitación del usuario. _x000a_ Puntualidad: El_x000a_     proyecto fue entregado 1 hora tarde. En el mundo de los negocios y la_x000a_     tecnología, los tiempos de despliegue son críticos. Por las reglas de_x000a_     autogestión del curso, esto genera una penalización de -5 puntos (0.5_x000a_     décimas). Afortunadamente, su proactividad con GitHub compensó esta_x000a_     pérdida, pero tengan mucho cuidado con los tiempos en el futuro. Motivación: _x000a_Tienen madera para liderar proyectos tecnológicos en sus respectivas áreas_x000a_(Mercadeo, Logística y Gastronomía). Han demostrado que no solo saben escribir_x000a_código, sino que entienden para qué sirve ese código en el_x000a_mundo real. ¡Sigan con este nivel de excelenci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excelente. Refleja la planeación exacta_x000a_  del código (Menú, Ciclos y Decisiones). _x000a_  _x000a_  _x000a_  10.0 _x000a_  _x000a_  _x000a_  10.0 _x000a_  _x000a_ _x000a_ _x000a_  _x000a_  Funcionalidad Python _x000a_  _x000a_  _x000a_  Uso correcto de while True, match/case y_x000a_  condicionales lógicos para ambos retos. _x000a_  _x000a_  _x000a_  15.0 _x000a_  _x000a_  _x000a_  15.0 _x000a_  _x000a_ _x000a_ _x000a_  _x000a_  Manejo de Datos _x000a_  _x000a_  _x000a_  Implementación perfecta de listas anidadas, ciclos for y_x000a_  el método .sort(). _x000a_  _x000a_  _x000a_  15.0 _x000a_  _x000a_  _x000a_  15.0 _x000a_  _x000a_ _x000a_ _x000a_  _x000a_  Git &amp;amp; GitHub _x000a_  _x000a_  _x000a_  Repositorio público impecable y README.md con_x000a_  contexto de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Penalización _x000a_  _x000a_  _x000a_  Entrega extemporánea (1 hora tarde). Reglas de_x000a_  Autogestión. _x000a_  _x000a_  _x000a_  - 5.0 _x000a_  _x000a_  _x000a_  - 5.0 _x000a_  _x000a_ _x000a_ _x000a_  _x000a_  TOTAL _x000a_  _x000a_  _x000a_  _x000a_  50.0 _x000a_  _x000a_  _x000a_  50.0 _x000a_  _x000a_ Diego Mauricio Zuluaga Rodríguez _x000a_Profesor - Departamento de Economía _x000a_Universidad de La Sabana"/>
    <n v="50"/>
    <n v="50"/>
    <n v="1"/>
  </r>
  <r>
    <x v="7"/>
    <s v="Isabella"/>
    <s v="Carranza Tapiero"/>
    <s v="isabellacata@unisabana.edu.co"/>
    <x v="18"/>
    <d v="2026-02-25T00:00:00"/>
    <x v="7"/>
    <s v="Entregado"/>
    <s v="Retroalimentación de la Entrega: Taller Corte 1 - MVP del_x000a_Emprendedor  Estudiante: Carranza Tapiero, Isabella. Estado: Trabajo Individual (Penalización aplicada).  Calificación Final: 10/50 (Equivalente a 1.0)  Comentarios del Profesor: Isabella, he revisado tu entrega y debo ser muy directo_x000a_contigo: el resultado es insuficiente para aprobar este corte.  Análisis de la Entrega: _x000a_ Ausencia_x000a_     de Código (Falta Grave): No entregaste el archivo .ipynb ni el script .py._x000a_     Esta asignatura es &quot;Programación y Decisiones&quot;; sin el código_x000a_     funcional en Python, no hay evidencia de que hayas adquirido las_x000a_     competencias técnicas del corte (Listas, Ciclos, Condicionales). El_x000a_     pseudocódigo por sí solo no es ejecutable. _x000a_ Lógica_x000a_     Genérica: El pseudocódigo y el diagrama que subiste (&quot;Sistema de_x000a_     Gestión de Datos&quot;) son estructuras genéricas. El taller solicitaba_x000a_     explícitamente resolver retos de negocio concretos (Logística,_x000a_     Gastronomía, Economía, etc.) con reglas de negocio específicas (cálculo de_x000a_     fletes, inflación, bonos). Tu algoritmo no resuelve ninguno de estos_x000a_     problemas; solo describe una lista genérica sin lógica de negocio. _x000a_ Trabajo_x000a_     Individual: El taller exigía trabajo en grupos de 3 para fomentar la_x000a_     competencia de trabajo en equipo. Al trabajar sola, se aplica la_x000a_     penalización estipulada de -5 puntos.  Sobre el Parcial: _x000a_Dado que ya realizamos el parcial, espero que hayas podido demostrar allí las_x000a_habilidades de codificación que no se evidenciaron en este taller.  Motivación: _x000a_Una nota de 1.0 golpea fuerte el promedio, pero estamos iniciando el semestre._x000a_Para el Corte 2 (Programación Orientada a Objetos), necesito ver un cambio_x000a_radical en tu autogestión. Debes entregar código funcional y cumplir con los_x000a_requerimientos específicos del cliente (el enunciado). No te desanimes, pero_x000a_toma esto como una alerta roja para ajustar el rumbo inmediatamen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Se entrega diagrama y pseudocódigo, pero son genéricos y_x000a_  no resuelven los retos planteados en el enunciado (No hay lógica de negocio). _x000a_  _x000a_  _x000a_  10.0 _x000a_  _x000a_  _x000a_  5.0 _x000a_  _x000a_ _x000a_ _x000a_  _x000a_  Funcionalidad Python _x000a_  _x000a_  _x000a_  No se entregó código. No hay evidencia de menús,_x000a_  ciclos o condicionales en Python. _x000a_  _x000a_  _x000a_  15.0 _x000a_  _x000a_  _x000a_  0.0 _x000a_  _x000a_ _x000a_ _x000a_  _x000a_  Manejo de Datos _x000a_  _x000a_  _x000a_  No se entregó código. No hay evidencia de_x000a_  manipulación de listas o métodos de ordenamiento. _x000a_  _x000a_  _x000a_  15.0 _x000a_  _x000a_  _x000a_  0.0 _x000a_  _x000a_ _x000a_ _x000a_  _x000a_  Git &amp;amp; GitHub _x000a_  _x000a_  _x000a_  Ajuste por Temario: Se otorgan los puntos base ya_x000a_  que el tema no se alcanzó a cubrir en clase presencial. _x000a_  _x000a_  _x000a_  10.0 _x000a_  _x000a_  _x000a_  10.0 _x000a_  _x000a_ _x000a_ _x000a_  _x000a_  Penalización _x000a_  _x000a_  _x000a_  Trabajo Individual (Debía ser grupal). _x000a_  _x000a_  _x000a_  - 5.0 _x000a_  _x000a_  _x000a_  - 5.0 _x000a_  _x000a_ _x000a_ _x000a_  _x000a_  TOTAL _x000a_  _x000a_  _x000a_  _x000a_  50.0 _x000a_  _x000a_  _x000a_  10.0 _x000a_  _x000a_ Diego Mauricio Zuluaga Rodríguez _x000a_Profesor - Departamento de Economía _x000a_Universidad de La Sabana"/>
    <n v="10"/>
    <n v="50"/>
    <n v="0.2"/>
  </r>
  <r>
    <x v="8"/>
    <s v="Samuel David"/>
    <s v="Lozano Holguin"/>
    <s v="samuelloho@unisabana.edu.co"/>
    <x v="18"/>
    <d v="2026-02-25T00:00:00"/>
    <x v="7"/>
    <s v="Entregado"/>
    <s v="Retroalimentación de la Entrega: Taller Corte 1 - MVP del_x000a_Emprendedor  Grupo: Samuel Gonzales, Samuel Lozano, Sebastián_x000a_Vanoy. Retos Seleccionados: Logística (&quot;Ruta-Óptima&quot;) y Economía_x000a_(&quot;Dolar-Track&quot;).  Calificación Final: 50/50 (Equivalente a 5.0)  Comentarios del Profesor: Equipo, han realizado un trabajo sólido y funcional._x000a_Lograron implementar la lógica requerida para ambos retos, demostrando un buen_x000a_entendimiento de las estructuras de control (while, if/elif/else) y el manejo_x000a_de listas.  Puntos a destacar (Lo bueno): _x000a_ Lógica_x000a_     de Logística (Reto 1): La implementación de zip() para unir las listas_x000a_     (pesos, destinos, tipos, costos) antes de ordenar es una solución técnica_x000a_     muy inteligente y eficiente. Esto garantiza que al ordenar por peso, la_x000a_     información del destino y el costo no se &quot;descuadre&quot;. ¡Excelente_x000a_     recurso! _x000a_ Validaciones_x000a_     de Seguridad (Sanity Checks): Me gustó ver que incluyeron validaciones_x000a_     como if len(pesos) &amp;lt; 5: o if len(TRM_dias_anteriores) == 0:. Esto evita_x000a_     que el programa colapse si el usuario intenta calcular sin haber ingresado_x000a_     datos, lo cual demuestra madurez en su lógica de programación. _x000a_ Diagramas_x000a_     de Flujo: Los diagramas adjuntos en PDF son claros y coinciden con la_x000a_     lógica implementada en el código, cumpliendo con el requisito de diseño_x000a_     previo.  Oportunidades de Mejora (Para el futuro): _x000a_ Redundancia_x000a_     en el Reto 3 (Economía): Noté que en las opciones '2' y '3' repiten el_x000a_     bloque de código para calcular el promedio (sum / len). En programación,_x000a_     cuando vean que están copiando y pegando el mismo código varias veces, es_x000a_     una señal para optimizar (quizás calculando el promedio una sola vez al_x000a_     inicio o usando una función). _x000a_ Experiencia_x000a_     de Usuario (UX): En el Reto 3, al seleccionar la opción 1, el programa_x000a_     pide los 7 datos y automáticamente los imprime ordenados. Sería_x000a_     mejor separar el &quot;Ingreso&quot; del &quot;Reporte&quot;, tal como lo_x000a_     hicieron en el Reto 1, para darle más control al usuario.  Motivación: _x000a_Tienen una base técnica muy fuerte. El uso de zip() demuestra que están_x000a_investigando y yendo más allá de lo básico. Sigan cultivando esa curiosidad_x000a_técnica, porque es lo que diferencia a un programador promedio de uno_x000a_excelente. ¡Buen trabajo!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claros y coherentes con el código_x000a_  entregado. _x000a_  _x000a_  _x000a_  10.0 _x000a_  _x000a_  _x000a_  10.0 _x000a_  _x000a_ _x000a_ _x000a_  _x000a_  Funcionalidad Python _x000a_  _x000a_  _x000a_  Código funcional, sin errores de sintaxis y con menús_x000a_  interactivos robustos. _x000a_  _x000a_  _x000a_  15.0 _x000a_  _x000a_  _x000a_  15.0 _x000a_  _x000a_ _x000a_ _x000a_  _x000a_  Manejo de Datos _x000a_  _x000a_  _x000a_  Uso avanzado de listas (incluyendo zip y clear) y ciclos for_x000a_  correctos. _x000a_  _x000a_  _x000a_  15.0 _x000a_  _x000a_  _x000a_  15.0 _x000a_  _x000a_ _x000a_ _x000a_  _x000a_  Git &amp;amp; GitHub _x000a_  _x000a_  _x000a_  (No evaluado por tiempos de clase - Se otorga el_x000a_  puntaje base). _x000a_  _x000a_  _x000a_  10.0 _x000a_  _x000a_  _x000a_  10.0 _x000a_  _x000a_ _x000a_ _x000a_  _x000a_  TOTAL _x000a_  _x000a_  _x000a_  _x000a_  50.0 _x000a_  _x000a_  _x000a_  50.0 _x000a_  _x000a_ Diego Mauricio Zuluaga Rodríguez _x000a_Profesor - Departamento de Economía _x000a_Universidad de La Sabana"/>
    <n v="50"/>
    <n v="50"/>
    <n v="1"/>
  </r>
  <r>
    <x v="9"/>
    <s v="Sebastian"/>
    <s v="Vanoy Gutierrez"/>
    <s v="sebastianvagu@unisabana.edu.co"/>
    <x v="18"/>
    <d v="2026-02-25T00:00:00"/>
    <x v="7"/>
    <s v="Entregado"/>
    <s v="Retroalimentación de la Entrega: Taller Corte 1 - MVP del_x000a_Emprendedor  Grupo: Samuel Gonzales, Samuel Lozano, Sebastián_x000a_Vanoy. Retos Seleccionados: Logística (&quot;Ruta-Óptima&quot;) y Economía_x000a_(&quot;Dolar-Track&quot;).  Calificación Final: 50/50 (Equivalente a 5.0)  Comentarios del Profesor: Equipo, han realizado un trabajo sólido y funcional._x000a_Lograron implementar la lógica requerida para ambos retos, demostrando un buen_x000a_entendimiento de las estructuras de control (while, if/elif/else) y el manejo_x000a_de listas.  Puntos a destacar (Lo bueno): _x000a_ Lógica_x000a_     de Logística (Reto 1): La implementación de zip() para unir las listas_x000a_     (pesos, destinos, tipos, costos) antes de ordenar es una solución técnica_x000a_     muy inteligente y eficiente. Esto garantiza que al ordenar por peso, la_x000a_     información del destino y el costo no se &quot;descuadre&quot;. ¡Excelente_x000a_     recurso! _x000a_ Validaciones_x000a_     de Seguridad (Sanity Checks): Me gustó ver que incluyeron validaciones_x000a_     como if len(pesos) &amp;lt; 5: o if len(TRM_dias_anteriores) == 0:. Esto evita_x000a_     que el programa colapse si el usuario intenta calcular sin haber ingresado_x000a_     datos, lo cual demuestra madurez en su lógica de programación. _x000a_ Diagramas_x000a_     de Flujo: Los diagramas adjuntos en PDF son claros y coinciden con la_x000a_     lógica implementada en el código, cumpliendo con el requisito de diseño_x000a_     previo.  Oportunidades de Mejora (Para el futuro): _x000a_ Redundancia_x000a_     en el Reto 3 (Economía): Noté que en las opciones '2' y '3' repiten el_x000a_     bloque de código para calcular el promedio (sum / len). En programación,_x000a_     cuando vean que están copiando y pegando el mismo código varias veces, es_x000a_     una señal para optimizar (quizás calculando el promedio una sola vez al_x000a_     inicio o usando una función). _x000a_ Experiencia_x000a_     de Usuario (UX): En el Reto 3, al seleccionar la opción 1, el programa_x000a_     pide los 7 datos y automáticamente los imprime ordenados. Sería_x000a_     mejor separar el &quot;Ingreso&quot; del &quot;Reporte&quot;, tal como lo_x000a_     hicieron en el Reto 1, para darle más control al usuario.  Motivación: _x000a_Tienen una base técnica muy fuerte. El uso de zip() demuestra que están_x000a_investigando y yendo más allá de lo básico. Sigan cultivando esa curiosidad_x000a_técnica, porque es lo que diferencia a un programador promedio de uno_x000a_excelente. ¡Buen trabajo!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claros y coherentes con el código_x000a_  entregado. _x000a_  _x000a_  _x000a_  10.0 _x000a_  _x000a_  _x000a_  10.0 _x000a_  _x000a_ _x000a_ _x000a_  _x000a_  Funcionalidad Python _x000a_  _x000a_  _x000a_  Código funcional, sin errores de sintaxis y con menús_x000a_  interactivos robustos. _x000a_  _x000a_  _x000a_  15.0 _x000a_  _x000a_  _x000a_  15.0 _x000a_  _x000a_ _x000a_ _x000a_  _x000a_  Manejo de Datos _x000a_  _x000a_  _x000a_  Uso avanzado de listas (incluyendo zip y clear) y ciclos for_x000a_  correctos. _x000a_  _x000a_  _x000a_  15.0 _x000a_  _x000a_  _x000a_  15.0 _x000a_  _x000a_ _x000a_ _x000a_  _x000a_  Git &amp;amp; GitHub _x000a_  _x000a_  _x000a_  (No evaluado por tiempos de clase - Se otorga el_x000a_  puntaje base). _x000a_  _x000a_  _x000a_  10.0 _x000a_  _x000a_  _x000a_  10.0 _x000a_  _x000a_ _x000a_ _x000a_  _x000a_  TOTAL _x000a_  _x000a_  _x000a_  _x000a_  50.0 _x000a_  _x000a_  _x000a_  50.0 _x000a_  _x000a_ Diego Mauricio Zuluaga Rodríguez _x000a_Profesor - Departamento de Economía _x000a_Universidad de La Sabana"/>
    <n v="50"/>
    <n v="50"/>
    <n v="1"/>
  </r>
  <r>
    <x v="10"/>
    <s v="Jose Daniel"/>
    <s v="Escobar Hurtado"/>
    <s v="joseeshu@unisabana.edu.co"/>
    <x v="18"/>
    <d v="2026-02-25T00:00:00"/>
    <x v="7"/>
    <s v="Entregado"/>
    <s v="Retroalimentación de la Entrega: Taller Corte 1 - MVP del_x000a_Emprendedor  Grupo: José Daniel Escobar, Laura Fernanda López,_x000a_Juan David Neuta. Startup: FinData Analytics / Game Zone (Nota sobre consistencia abajo).  Calificación Final: 50/50 (Equivalente a 5.0) (Nota: Se aplicó un bono de +5 puntos por el uso de Git/GitHub).  Comentarios del Profesor: Equipo, han realizado un trabajo técnicamente sólido y muy_x000a_completo. Han demostrado dominio en la lógica de programación y en la_x000a_estructuración de soluciones.  Puntos a destacar (Lo excelente): _x000a_ Doble_x000a_     Implementación: Me sorprendió gratamente ver que desarrollaron dos_x000a_     soluciones completas en el mismo repositorio: &quot;Dolar-Track&quot;_x000a_     (Finanzas) y &quot;Game Zone&quot; (Videojuegos). Ambos códigos son_x000a_     funcionales, robustos y cumplen con la rúbrica. Esto demuestra un esfuerzo_x000a_     superior al requerido. _x000a_ Manejo_x000a_     de Errores (Try-Except): En el código de &quot;Game Zone&quot;,_x000a_     implementaron bloques try-except para validar las entradas del usuario._x000a_     Esto es vital para la experiencia de usuario (UX) y evita que el programa_x000a_     colapse si alguien escribe letras en lugar de números. ¡Excelente_x000a_     iniciativa! _x000a_ Portafolio_x000a_     Profesional (GitHub): Su repositorio está bien estructurado, con_x000a_     carpetas separadas para diseño y código. El README.md es claro y_x000a_     profesional. Además, ganaron el bono de +5 puntos por investigar e_x000a_     implementar Git por su cuenta. _x000a_ Lógica_x000a_     de Negocio: En &quot;Dolar-Track&quot;, la lógica para calcular la_x000a_     volatilidad (max - min) y las alertas de compra/venta es correcta y útil_x000a_     para el perfil financiero.  Oportunidad de Mejora (Coherencia del Proyecto): _x000a_ Identidad_x000a_     de la Startup: En el README.md se presentan como &quot;FinData_x000a_     Analytics&quot; (Fintech), pero en el código incluyen un sistema para una_x000a_     tienda de videojuegos (&quot;Game Zone&quot;). Aunque ambos códigos son_x000a_     excelentes, para futuras entregas asegúrense de que todo el repositorio_x000a_     gire en torno a una sola idea de negocio coherente. Si son una_x000a_     Fintech, el segundo reto podría haber sido el de_x000a_     &quot;Nomina-Express&quot; o &quot;Chef-Costos&quot; adaptado a costos_x000a_     financieros, para mantener la narrativa.  Motivación: _x000a_Tienen un nivel técnico muy alto. La capacidad de implementar validaciones de_x000a_errores y manejar múltiples lógicas de negocio los pone en una posición de_x000a_ventaja. Sigan cultivando esa curiosidad técnica; es lo que diferencia a un_x000a_buen profesional de uno excelen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y pseudocódigos claros para ambos retos en la_x000a_  carpeta design/. Coinciden con el código. _x000a_  _x000a_  _x000a_  10.0 _x000a_  _x000a_  _x000a_  10.0 _x000a_  _x000a_ _x000a_ _x000a_  _x000a_  Funcionalidad Python _x000a_  _x000a_  _x000a_  Código funcional, menús interactivos robustos y validación_x000a_  de errores (try-except). _x000a_  _x000a_  _x000a_  15.0 _x000a_  _x000a_  _x000a_  15.0 _x000a_  _x000a_ _x000a_ _x000a_  _x000a_  Manejo de Datos _x000a_  _x000a_  _x000a_  Uso correcto de listas, tuplas, ciclos for y métodos de_x000a_  ordenamiento (sorted y .sort). _x000a_  _x000a_  _x000a_  15.0 _x000a_  _x000a_  _x000a_  15.0 _x000a_  _x000a_ _x000a_ _x000a_  _x000a_  Git &amp;amp; GitHub _x000a_  _x000a_  _x000a_  Repositorio público bien configurado con README.md_x000a_  profesional.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11"/>
    <s v="Maria Jose"/>
    <s v="Botero Galviz"/>
    <s v="mariabotga@unisabana.edu.co"/>
    <x v="18"/>
    <d v="2026-02-25T00:00:00"/>
    <x v="7"/>
    <s v="Entregado"/>
    <s v="Retroalimentación de la Entrega: Taller Corte 1 - MVP del_x000a_Emprendedor  Estudiante: María José Botero Galviz, Valery Linares_x000a_Hernandez.  Proyecto: Reto 1 (Logística) y Reto 2 (Gastronomía)  Calificación Final: 40/50 (Equivalente a 4.0 / 5.0) (Nota: Se aplicó un bono de +5 puntos por el uso de GitHub, pero hubo_x000a_penalizaciones por omisión de entregables críticos de autogestión).  Comentarios del Profesor: María José, he revisado tu código y técnicamente está en un_x000a_nivel muy avanzado. Demuestras un dominio de Python que va más allá de lo visto_x000a_en estas primeras clases, lo cual es excelente. Sin embargo, en el mundo de los_x000a_negocios y la tecnología, la excelencia técnica debe ir de la mano con el_x000a_cumplimiento estricto de los requerimientos del cliente (en este caso, la_x000a_rúbrica del taller).  Puntos a destacar (Lo excelente): _x000a_ Nivel_x000a_     Técnico Avanzado: El uso de diccionarios dentro de listas, funciones lambda_x000a_     para el método .sort(), comprensiones de listas (sum(p[&quot;peso&quot;]_x000a_     for p in paquetes)) y operadores ternarios demuestra una lógica de_x000a_     programación muy sólida. _x000a_ Manejo_x000a_     de Errores (UX): Implementaste bloques try-except con ciclos while_x000a_     True para validar que el usuario ingrese números válidos y mayores a cero._x000a_     Esto es una práctica profesional de alto nivel que blinda tu programa_x000a_     contra errores humanos. _x000a_ Iniciativa:_x000a_     Subiste el proyecto a GitHub y compartiste el enlace, lo cual te otorga el_x000a_     bono de +5 puntos, demostrando proactividad.  Oportunidades de Mejora (Autogestión y Seguimiento de_x000a_Instrucciones): _x000a_ Ausencia_x000a_     de Planeación (Diseño): No entregaste el diagrama de flujo ni el_x000a_     pseudocódigo (carpeta design/). Como CTO de tu emprendimiento, la_x000a_     planeación es tan importante como la ejecución. Programar sin documentar_x000a_     la lógica previa penaliza fuertemente el rubro de diseño. _x000a_ Omisión_x000a_     del Menú Principal: La rúbrica exigía explícitamente un Menú_x000a_     Interactivo (Ciclo while) que integrara las opciones del sistema y no_x000a_     se cerrara hasta que el usuario lo decidiera. Tu código ejecuta el Reto 1_x000a_     y luego el Reto 2 de forma secuencial, omitiendo esta estructura central. _x000a_ Falta_x000a_     de Portafolio (README.md): Aunque usaste GitHub, omitiste el archivo README.md._x000a_     En el mercado laboral, un repositorio sin README es un proyecto_x000a_     &quot;invisible&quot; para los reclutadores, ya que no explica qué hace el_x000a_     código ni quién lo hizo.  Motivación: _x000a_Tienes un talento técnico innegable y una lógica matemática muy bien_x000a_estructurada. El reto para ti en este curso será la Autogestión: leer_x000a_detenidamente los requerimientos y asegurar que tu producto cumpla exactamente_x000a_con lo que se pide, además de documentar tu proceso. Si logras alinear tu_x000a_excelente nivel de código con el rigor administrativo, serás una profesional_x000a_imparabl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la carpeta design/ con el_x000a_  pseudocódigo ni el diagrama de flujo. _x000a_  _x000a_  _x000a_  10.0 _x000a_  _x000a_  _x000a_  0.0 _x000a_  _x000a_ _x000a_ _x000a_  _x000a_  Funcionalidad Python _x000a_  _x000a_  _x000a_  10.0: Código robusto y sin errores (uso de try-except)._x000a_  Se descuentan 5 puntos por la ausencia del Menú Interactivo (while) exigido_x000a_  en la rúbrica. _x000a_  _x000a_  _x000a_  15.0 _x000a_  _x000a_  _x000a_  10.0 _x000a_  _x000a_ _x000a_ _x000a_  _x000a_  Manejo de Datos _x000a_  _x000a_  _x000a_  15.0: Uso perfecto y avanzado de listas de_x000a_  diccionarios, ciclos for y .sort(key=lambda). _x000a_  _x000a_  _x000a_  15.0 _x000a_  _x000a_  _x000a_  15.0 _x000a_  _x000a_ _x000a_ _x000a_  _x000a_  Git &amp;amp; GitHub _x000a_  _x000a_  _x000a_  5.0: Se otorgan los puntos base por la exención de_x000a_  clase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12"/>
    <s v="Maria Juliana"/>
    <s v="Mejia Quintero"/>
    <s v="mariamequ@unisabana.edu.co"/>
    <x v="18"/>
    <d v="2026-02-25T00:00:00"/>
    <x v="7"/>
    <s v="Entregado"/>
    <s v="Retroalimentación de la Entrega: Taller Corte 1 -_x000a_SmartChef MVP  Grupo:  CARMONA ROMERO, MARIANA _x000a_HERRERA PULIDO, MARIA JULIANA _x000a_MEJIA QUINTERO, MARIA JULIANA.  Proyecto: SmartChef MVP (Reto Gastronomía)  Calificación Final: 50/50 (Equivalente a 5.0) (Nota: Se aplicó un bono de +5 puntos por el uso proactivo de Git/GitHub, lo_x000a_que asegura la nota máxima).  Comentarios del Profesor: Equipo, han realizado un trabajo sólido y funcional. Han_x000a_logrado traducir la lógica de un problema de negocio (control de costos en_x000a_gastronomía) a una solución técnica en Python.  Puntos a destacar (Lo excelente): _x000a_ Lógica_x000a_     de Negocio Clara: El cálculo del aumento porcentual ((actual - base) /_x000a_     base) * 100 y la proyección del precio de venta con margen del 35% (total_x000a_     * 1.35) demuestran que entendieron perfectamente el requerimiento_x000a_     financiero del reto. _x000a_ Uso_x000a_     Avanzado de Ordenamiento: Me impresionó gratamente el uso de sorted(zip(...),_x000a_     key=lambda...). Esta es una técnica avanzada para ordenar dos listas_x000a_     paralelas (nombres y precios) manteniéndolas sincronizadas. Aunque en_x000a_     clase vimos el método de &quot;listas de listas&quot; (ej: [[precio,_x000a_     nombre]]), su solución es válida, elegante y demuestra investigación_x000a_     autónoma. _x000a_ Diagrama_x000a_     de Flujo Coherente: El diagrama en draw.io refleja fielmente la_x000a_     estructura del código, con las decisiones claras para cada opción del_x000a_     menú. Esto valida el proceso de diseño previo. _x000a_ Bono_x000a_     de Autogestión (GitHub): Aunque no era obligatorio por tiempos de_x000a_     clase, el hecho de que hayan creado el repositorio, subido el código y el_x000a_     diagrama les otorga el bono de +5 puntos. Esto habla muy bien de su_x000a_     compromiso profesional.  Oportunidad de Mejora (Para el futuro): _x000a_ Estructura_x000a_     de Datos: Si bien zip funciona, para proyectos más grandes es mejor_x000a_     usar una sola lista que contenga sub-listas (ej: ingredientes = [[nombre,_x000a_     precio_base, precio_actual]]). Esto evita tener que manejar 3 listas_x000a_     separadas (ingredientes, precios_base, precios_actuales) que podrían_x000a_     desincronizarse si el código crece. _x000a_ Validación_x000a_     de Errores: Al igual que en la retroalimentación general, recuerden_x000a_     que el input() puede fallar si el usuario escribe letras en vez de_x000a_     números. Implementar try-except será el siguiente paso para blindar su_x000a_     aplicación.  Motivación: _x000a_Han demostrado una gran capacidad técnica. El uso de funciones lambda para el_x000a_ordenamiento es un indicio de que pueden llegar muy lejos en programación si_x000a_siguen curiosas. ¡Excelente trabajo, futuras líderes!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en draw.io que coincide con la_x000a_  lógica del menú y procesos. _x000a_  _x000a_  _x000a_  10.0 _x000a_  _x000a_  _x000a_  10.0 _x000a_  _x000a_ _x000a_ _x000a_  _x000a_  Funcionalidad Python _x000a_  _x000a_  _x000a_  Código funcional. Menú while, cálculos financieros_x000a_  correctos y alertas de inflación. _x000a_  _x000a_  _x000a_  15.0 _x000a_  _x000a_  _x000a_  15.0 _x000a_  _x000a_ _x000a_ _x000a_  _x000a_  Manejo de Datos _x000a_  _x000a_  _x000a_  Uso correcto de listas y ciclos. Implementación avanzada_x000a_  de ordenamiento con lambda. _x000a_  _x000a_  _x000a_  15.0 _x000a_  _x000a_  _x000a_  15.0 _x000a_  _x000a_ _x000a_ _x000a_  _x000a_  Git &amp;amp; GitHub _x000a_  _x000a_  _x000a_  Repositorio creado correctamente (Bono aplicado por_x000a_  autogestión). _x000a_  _x000a_  _x000a_  10.0 _x000a_  _x000a_  _x000a_  10.0 _x000a_  _x000a_ _x000a_ _x000a_  _x000a_  Bono Extra _x000a_  _x000a_  _x000a_  Investigación autónoma (Uso de zip y lambda + GitHub).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13"/>
    <s v="Alejandra"/>
    <s v="Leon Vargas"/>
    <s v="alejandraleva@unisabana.edu.co"/>
    <x v="18"/>
    <d v="2026-02-25T00:00:00"/>
    <x v="7"/>
    <s v="Entregado"/>
    <s v="Retroalimentación de la Entrega: Taller Corte 1 - MVP del_x000a_Emprendedor  Calificación: 0.0 / 50  Retroalimentación: _x000a_No se encontró registro de entrega en la plataforma Microsoft Teams ni el_x000a_vínculo al repositorio de GitHub solicitado. Según el cronograma oficial y las_x000a_instrucciones dadas, el plazo máximo de entrega venció el miércoles 25 de_x000a_febrero a las 16:00, previo al inicio del primer parcial. Al no existir_x000a_evidencia del trabajo, no es posible aplicar la rúbrica de evaluación.  Motivación: _x000a_Este resultado impacta el 30% de tu nota del primer corte; sin embargo, el_x000a_semestre apenas comienza. Te invito a reflexionar sobre tu proceso de autogestión_x000a_y organización del tiempo. Quedan por delante el Corte 2 y el Corte 3 (70%_x000a_restante del semestre), donde tienes la oportunidad de demostrar tu compromiso_x000a_y habilidades técnicas. Asegúrate de cumplir con las fechas establecidas en el_x000a_Syllabus para evitar futuras penalizaciones. Diego Mauricio Zuluaga Rodríguez _x000a_Profesor - Departamento de Economía _x000a_Universidad de La Sabana"/>
    <n v="0"/>
    <n v="50"/>
    <n v="0"/>
  </r>
  <r>
    <x v="14"/>
    <s v="Alessandro Di Mauro"/>
    <s v="Bonilla Correa"/>
    <s v="alessandroboco@unisabana.edu.co"/>
    <x v="18"/>
    <d v="2026-02-25T00:00:00"/>
    <x v="7"/>
    <s v="Entregado"/>
    <s v="Retroalimentación de la Entrega: Taller Corte 1 - MVP del_x000a_Emprendedor  Grupo: Alessandro Di Mauro Bonilla Correa, Maria Jose_x000a_Huertas Osorio, Gabriela Ruiz Perez. Proyecto: No registrado.  Calificación Final: 0.0 / 50 (Equivalente a 0.0)  Comentarios del Profesor: Lamento informar que, al cierre del buzón el pasado miércoles_x000a_25 de febrero a las 16:00, no se encontró registro de su entrega en la_x000a_plataforma Microsoft Teams ni se recibió el vínculo de su repositorio en_x000a_GitHub.  Análisis de Autogestión: _x000a_Uno de los pilares fundamentales de este curso y del Departamento de Economía_x000a_es la Autogestión. Esto implica la organización del tiempo y el_x000a_cumplimiento estricto de los cronogramas establecidos en el Syllabus. En un_x000a_entorno profesional y de emprendimiento, el incumplimiento de un deadline_x000a_para la entrega de un MVP (Producto Mínimo Viable) conlleva la pérdida de_x000a_credibilidad y de oportunidades de inversión.  Impacto Académico: _x000a_Esta nota corresponde al 30% de la calificación del primer corte. La_x000a_ausencia de este entregable afecta significativamente su promedio actual.  Motivación y Próximos Pasos: _x000a_El semestre apenas comienza. Los invito a reflexionar sobre los métodos de_x000a_estudio y organización que están utilizando como grupo. Tienen el Parcial_x000a_(50%) y las próximas actividades para demostrar su compromiso y nivel_x000a_técnico. No permitan que este resultado defina su desempeño en el resto del_x000a_semestre; utilícenlo como un motor para mejorar su planeación y asegurar que_x000a_todas las entregas futuras se realicen con antelación.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No se entregó evidencia de planeación. _x000a_  _x000a_  _x000a_  10.0 _x000a_  _x000a_  _x000a_  0.0 _x000a_  _x000a_ _x000a_ _x000a_  _x000a_  Funcionalidad Python _x000a_  _x000a_  _x000a_  No se entregó código funcional. _x000a_  _x000a_  _x000a_  15.0 _x000a_  _x000a_  _x000a_  0.0 _x000a_  _x000a_ _x000a_ _x000a_  _x000a_  Manejo de Datos _x000a_  _x000a_  _x000a_  No se entregó evidencia de manejo de listas/ciclos. _x000a_  _x000a_  _x000a_  15.0 _x000a_  _x000a_  _x000a_  0.0 _x000a_  _x000a_ _x000a_ _x000a_  _x000a_  Git &amp;amp; GitHub _x000a_  _x000a_  _x000a_  No se registró repositorio profesional. _x000a_  _x000a_  _x000a_  10.0 _x000a_  _x000a_  _x000a_  0.0 _x000a_  _x000a_ _x000a_ _x000a_  _x000a_  TOTAL _x000a_  _x000a_  _x000a_  _x000a_  50.0 _x000a_  _x000a_  _x000a_  0.0 _x000a_  _x000a_ Diego Mauricio Zuluaga Rodríguez _x000a_Profesor - Departamento de Economía _x000a_Universidad de La Sabana"/>
    <n v="0"/>
    <n v="50"/>
    <n v="0"/>
  </r>
  <r>
    <x v="15"/>
    <s v="Arianne Mariana"/>
    <s v="Amorocho Quiroga"/>
    <s v="arianneamqu@unisabana.edu.co"/>
    <x v="18"/>
    <d v="2026-02-25T00:00:00"/>
    <x v="7"/>
    <s v="Entregado"/>
    <s v="Retroalimentación de la Entrega: Taller Corte 1 - MVP del_x000a_Emprendedor Grupo: Mariana Peña Rodríguez, Matías Mondragón_x000a_Osorio, Arianne Mariana Amorocho Quiroga. Proyecto: Ketoz - Sistema Central MVP Comentarios del Profesor: Equipo, han entregado un proyecto sobresaliente. Han logrado_x000a_conectar la teoría de la programación con un caso de negocio real y tangible_x000a_(Ketoz), lo cual es exactamente el objetivo del aprendizaje experiencial en la_x000a_EICEA. Puntos a destacar (Lo excelente): _x000a_ Portafolio_x000a_     Profesional (GitHub): El archivo README.md es de nivel_x000a_     profesional. Explicar el contexto de la empresa (importación de repuestos)_x000a_     y el rol de cada uno le da un valor inmenso a su portafolio. Además,_x000a_     lograron implementar Git y GitHub por su cuenta, lo cual demuestra una_x000a_     excelente capacidad de investigación y les otorga el bono de +5 puntos. _x000a_ Lógica_x000a_     y Diseño: El diagrama de flujo adjunto en la carpeta design/ es_x000a_     claro, estructurado y, lo más importante, coincide exactamente con la_x000a_     lógica del código final. Hicieron el trabajo de pensar antes de programar. _x000a_ Estructuras_x000a_     Modernas: La implementación de match/case para el menú_x000a_     principal demuestra que están explorando características modernas de_x000a_     Python (3.10+), yendo más allá de lo básico. _x000a_ Manejo_x000a_     de Datos: El uso de .sort() fue impecable. Entendieron_x000a_     perfectamente que al guardar los datos en las sublistas ([nombre, compra] y [peso,_x000a_     destino]), Python ordenaría automáticamente por el primer elemento_x000a_     (alfabético para mercadeo, numérico para logística). Oportunidad de Mejora (Sanity Check y Autogestión): _x000a_ Manejo_x000a_     de Errores (UX): En la ejecución de su Notebook quedó registrado_x000a_     un error ValueError: could not convert string to float: ''. Esto_x000a_     ocurre cuando el usuario presiona &quot;Enter&quot; sin escribir un_x000a_     número. Para futuros proyectos, recuerden lo que vimos sobre el_x000a_     bloque try-except para blindar el programa y evitar que colapse_x000a_     por un error de digitación del usuario. _x000a_ Puntualidad: El_x000a_     proyecto fue entregado 1 hora tarde. En el mundo de los negocios y la_x000a_     tecnología, los tiempos de despliegue son críticos. Por las reglas de_x000a_     autogestión del curso, esto genera una penalización de -5 puntos (0.5_x000a_     décimas). Afortunadamente, su proactividad con GitHub compensó esta_x000a_     pérdida, pero tengan mucho cuidado con los tiempos en el futuro. Motivación: _x000a_Tienen madera para liderar proyectos tecnológicos en sus respectivas áreas_x000a_(Mercadeo, Logística y Gastronomía). Han demostrado que no solo saben escribir_x000a_código, sino que entienden para qué sirve ese código en el_x000a_mundo real. ¡Sigan con este nivel de excelenci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excelente. Refleja la planeación exacta_x000a_  del código (Menú, Ciclos y Decisiones). _x000a_  _x000a_  _x000a_  10.0 _x000a_  _x000a_  _x000a_  10.0 _x000a_  _x000a_ _x000a_ _x000a_  _x000a_  Funcionalidad Python _x000a_  _x000a_  _x000a_  Uso correcto de while True, match/case y_x000a_  condicionales lógicos para ambos retos. _x000a_  _x000a_  _x000a_  15.0 _x000a_  _x000a_  _x000a_  15.0 _x000a_  _x000a_ _x000a_ _x000a_  _x000a_  Manejo de Datos _x000a_  _x000a_  _x000a_  Implementación perfecta de listas anidadas, ciclos for y_x000a_  el método .sort(). _x000a_  _x000a_  _x000a_  15.0 _x000a_  _x000a_  _x000a_  15.0 _x000a_  _x000a_ _x000a_ _x000a_  _x000a_  Git &amp;amp; GitHub _x000a_  _x000a_  _x000a_  Repositorio público impecable y README.md con_x000a_  contexto de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Penalización _x000a_  _x000a_  _x000a_  Entrega extemporánea (1 hora tarde). Reglas de_x000a_  Autogestión. _x000a_  _x000a_  _x000a_  - 5.0 _x000a_  _x000a_  _x000a_  - 5.0 _x000a_  _x000a_ _x000a_ _x000a_  _x000a_  TOTAL _x000a_  _x000a_  _x000a_  _x000a_  50.0 _x000a_  _x000a_  _x000a_  50.0 _x000a_  _x000a_ Diego Mauricio Zuluaga Rodríguez _x000a_Profesor - Departamento de Economía _x000a_Universidad de La Sabana"/>
    <n v="50"/>
    <n v="50"/>
    <n v="1"/>
  </r>
  <r>
    <x v="16"/>
    <s v="Maria Juliana"/>
    <s v="Herrera Pulido"/>
    <s v="mariahepu@unisabana.edu.co"/>
    <x v="18"/>
    <d v="2026-02-25T00:00:00"/>
    <x v="7"/>
    <s v="Entregado"/>
    <s v="Retroalimentación de la Entrega: Taller Corte 1 -_x000a_SmartChef MVP  Grupo:  CARMONA ROMERO, MARIANA _x000a_HERRERA PULIDO, MARIA JULIANA _x000a_MEJIA QUINTERO, MARIA JULIANA.  Proyecto: SmartChef MVP (Reto Gastronomía)  Calificación Final: 50/50 (Equivalente a 5.0) (Nota: Se aplicó un bono de +5 puntos por el uso proactivo de Git/GitHub, lo_x000a_que asegura la nota máxima).  Comentarios del Profesor: Equipo, han realizado un trabajo sólido y funcional. Han_x000a_logrado traducir la lógica de un problema de negocio (control de costos en_x000a_gastronomía) a una solución técnica en Python.  Puntos a destacar (Lo excelente): _x000a_ Lógica_x000a_     de Negocio Clara: El cálculo del aumento porcentual ((actual - base) /_x000a_     base) * 100 y la proyección del precio de venta con margen del 35% (total_x000a_     * 1.35) demuestran que entendieron perfectamente el requerimiento_x000a_     financiero del reto. _x000a_ Uso_x000a_     Avanzado de Ordenamiento: Me impresionó gratamente el uso de sorted(zip(...),_x000a_     key=lambda...). Esta es una técnica avanzada para ordenar dos listas_x000a_     paralelas (nombres y precios) manteniéndolas sincronizadas. Aunque en_x000a_     clase vimos el método de &quot;listas de listas&quot; (ej: [[precio,_x000a_     nombre]]), su solución es válida, elegante y demuestra investigación_x000a_     autónoma. _x000a_ Diagrama_x000a_     de Flujo Coherente: El diagrama en draw.io refleja fielmente la_x000a_     estructura del código, con las decisiones claras para cada opción del_x000a_     menú. Esto valida el proceso de diseño previo. _x000a_ Bono_x000a_     de Autogestión (GitHub): Aunque no era obligatorio por tiempos de_x000a_     clase, el hecho de que hayan creado el repositorio, subido el código y el_x000a_     diagrama les otorga el bono de +5 puntos. Esto habla muy bien de su_x000a_     compromiso profesional.  Oportunidad de Mejora (Para el futuro): _x000a_ Estructura_x000a_     de Datos: Si bien zip funciona, para proyectos más grandes es mejor_x000a_     usar una sola lista que contenga sub-listas (ej: ingredientes = [[nombre,_x000a_     precio_base, precio_actual]]). Esto evita tener que manejar 3 listas_x000a_     separadas (ingredientes, precios_base, precios_actuales) que podrían_x000a_     desincronizarse si el código crece. _x000a_ Validación_x000a_     de Errores: Al igual que en la retroalimentación general, recuerden_x000a_     que el input() puede fallar si el usuario escribe letras en vez de_x000a_     números. Implementar try-except será el siguiente paso para blindar su_x000a_     aplicación.  Motivación: _x000a_Han demostrado una gran capacidad técnica. El uso de funciones lambda para el_x000a_ordenamiento es un indicio de que pueden llegar muy lejos en programación si_x000a_siguen curiosas. ¡Excelente trabajo, futuras líderes!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en draw.io que coincide con la_x000a_  lógica del menú y procesos. _x000a_  _x000a_  _x000a_  10.0 _x000a_  _x000a_  _x000a_  10.0 _x000a_  _x000a_ _x000a_ _x000a_  _x000a_  Funcionalidad Python _x000a_  _x000a_  _x000a_  Código funcional. Menú while, cálculos financieros_x000a_  correctos y alertas de inflación. _x000a_  _x000a_  _x000a_  15.0 _x000a_  _x000a_  _x000a_  15.0 _x000a_  _x000a_ _x000a_ _x000a_  _x000a_  Manejo de Datos _x000a_  _x000a_  _x000a_  Uso correcto de listas y ciclos. Implementación avanzada_x000a_  de ordenamiento con lambda. _x000a_  _x000a_  _x000a_  15.0 _x000a_  _x000a_  _x000a_  15.0 _x000a_  _x000a_ _x000a_ _x000a_  _x000a_  Git &amp;amp; GitHub _x000a_  _x000a_  _x000a_  Repositorio creado correctamente (Bono aplicado por_x000a_  autogestión). _x000a_  _x000a_  _x000a_  10.0 _x000a_  _x000a_  _x000a_  10.0 _x000a_  _x000a_ _x000a_ _x000a_  _x000a_  Bono Extra _x000a_  _x000a_  _x000a_  Investigación autónoma (Uso de zip y lambda + GitHub).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17"/>
    <s v="Simon Gustavo"/>
    <s v="Restrepo Alvarez"/>
    <s v="simonreal@unisabana.edu.co"/>
    <x v="18"/>
    <d v="2026-02-25T00:00:00"/>
    <x v="7"/>
    <s v="Entregado"/>
    <s v="Retroalimentación de la Entrega: Taller Corte 1 -_x000a_SmartFlow Solutions S.A.S.  Grupo: Mateo Pérez Daza, Simón Gustavo Restrepo_x000a_Álvarez, Diego Alejandro Hermida Limas. Proyecto: SmartFlow Solutions - Sistema de Logística y Fidelización  Calificación Final: 50/50 (Equivalente a 5.0) (Nota: Se otorga el bono de +5 puntos por la implementación proactiva de_x000a_Git/GitHub).  Comentarios del Profesor: Equipo, han presentado un trabajo de altísima calidad_x000a_técnica. Su enfoque en la estructura modular (usando funciones def dentro del_x000a_Notebook) demuestra un nivel de abstracción superior al promedio del curso.  Puntos a destacar (Lo excelente): _x000a_ Estructura_x000a_     Modular: A diferencia de la mayoría que programó todo en un bloque_x000a_     lineal, ustedes encapsularon la lógica en funciones (ingresar_datos, ver_reporte)._x000a_     Esto hace que el código sea mantenible y escalable. ¡Excelente práctica de_x000a_     ingeniería de software! _x000a_ Uso_x000a_     Avanzado de .sort(): La implementación de key=lambda x:_x000a_     x[&quot;peso&quot;] demuestra que investigaron cómo ordenar diccionarios_x000a_     complejos. Esto es mucho más robusto que depender solo de la posición en_x000a_     una lista. _x000a_ Manejo_x000a_     de Errores (try-except): Incluyeron bloques try-except para validar_x000a_     que el usuario ingrese números. Esto blinda su aplicación contra errores_x000a_     humanos (User Experience - UX), algo vital en un entorno empresarial real. _x000a_ Portafolio_x000a_     Profesional: El README.md de SmartFlow Solutions es impecable. Venden_x000a_     la idea de la startup antes de mostrar el código, lo cual es clave para un_x000a_     perfil de negocios.  Oportunidad de Mejora (Sanity Check): _x000a_ Lógica_x000a_     de Negocio (Reto 1): En la clasificación logística, su código dice: if peso &amp;lt; 1: tipo = &quot;Documento&quot; elif peso &amp;lt; 10: tipo = &quot;Paquetería&quot; else: tipo = &quot;Carga&quot; Pero luego calculan el costo fuera de esta estructura_x000a_(costo = peso * TARIFA_BASE). En la vida real, la &quot;Carga&quot; suele tener_x000a_una tarifa distinta a un &quot;Documento&quot;. Aunque el enunciado pedía Tarifa_x000a_base x Kg, para un futuro MVP consideren tarifas diferenciadas.  Motivación: _x000a_Ustedes ya están programando con mentalidad de desarrolladores (funciones,_x000a_lambdas, manejo de excepciones). Este nivel técnico les dará una ventaja_x000a_competitiva enorme en el mercado laboral. Sigan cultivando esa curiosidad_x000a_técnic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y coherente con la estructura_x000a_  modular del código. _x000a_  _x000a_  _x000a_  10.0 _x000a_  _x000a_  _x000a_  10.0 _x000a_  _x000a_ _x000a_ _x000a_  _x000a_  Funcionalidad Python _x000a_  _x000a_  _x000a_  Código robusto con funciones, try-except y menús_x000a_  interactivos funcionales. _x000a_  _x000a_  _x000a_  15.0 _x000a_  _x000a_  _x000a_  15.0 _x000a_  _x000a_ _x000a_ _x000a_  _x000a_  Manejo de Datos _x000a_  _x000a_  _x000a_  Uso avanzado de diccionarios y ordenamiento con lambda. _x000a_  _x000a_  _x000a_  15.0 _x000a_  _x000a_  _x000a_  15.0 _x000a_  _x000a_ _x000a_ _x000a_  _x000a_  Git &amp;amp; GitHub _x000a_  _x000a_  _x000a_  Repositorio profesional con README.md de alta calidad_x000a_  (SmartFlow Solutions).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18"/>
    <s v="Daniel Felipe"/>
    <s v="Camacho Pedraza"/>
    <s v="danielcampe@unisabana.edu.co"/>
    <x v="18"/>
    <d v="2026-02-25T00:00:00"/>
    <x v="7"/>
    <s v="Entregado"/>
    <s v="Retroalimentación de la Entrega: Taller Corte 1 - MVP del_x000a_Emprendedor  Grupo: Daniel Felipe Camacho Pedraza, Juan Sebastian_x000a_Perdomo Herrera, Samuel David Simancas Contreras. Proyecto: MVP - Retos de Logística y Gastronomía.  Calificación Final: 38/50 (Equivalente a 3.8 / 5.0)  Comentarios del Profesor: Equipo, han entregado un código con destellos técnicos muy_x000a_avanzados, pero han descuidado una de las reglas de oro del curso y del_x000a_Departamento de Economía: la planeación y la autogestión.  Puntos a destacar (Lo excelente): _x000a_ Investigación_x000a_     Autónoma: El uso de diccionarios dentro de listas y la implementación_x000a_     de funciones lambda para el ordenamiento (paquetes.sort(key=lambda x:_x000a_     x['peso'], reverse=True)) es de un nivel técnico superior al exigido._x000a_     Demuestra que investigaron por su cuenta y buscaron la forma más eficiente_x000a_     de estructurar los datos. ¡Excelente trabajo en este aspecto! _x000a_ Estructura_x000a_     de Menús: La implementación de los ciclos while True y el manejo de_x000a_     las opciones es limpio y funcional. _x000a_ Cálculos_x000a_     Financieros: El cálculo del margen de ganancia (1.35) y el uso de_x000a_     f-strings con separadores de miles (:,) demuestran atención a la_x000a_     presentación de los datos.  Oportunidades de Mejora (Sanity Check y Reglas de_x000a_Negocio): _x000a_ Ausencia_x000a_     de Planeación (Penalización Crítica): No adjuntaron el diagrama de_x000a_     flujo ni el pseudocódigo (Carpeta design/). Como se indicó en las_x000a_     instrucciones, programar sin planear es un riesgo inaceptable en el mundo_x000a_     real. Por esta razón, la nota en el criterio de &quot;Lógica y_x000a_     Diseño&quot; es 0.0. _x000a_ Lógica_x000a_     de Negocio (Reto 2): En el reto de Gastronomía, definieron un PRECIO_BASE_REFERENCIA_x000a_     = 10000 global para todos los ingredientes. En la vida real, la sal no_x000a_     tiene el mismo precio base que el salmón. El sistema debió pedir el precio_x000a_     base individual de cada ingrediente ingresado para calcular su inflación_x000a_     real. _x000a_ Detalle_x000a_     Técnico (Ejecución): En su archivo de Jupyter, encapsularon todo el_x000a_     código dentro de las funciones def reto_logistica(): y def_x000a_     reto_gastronomia():, pero nunca llamaron a las funciones al final_x000a_     de la celda. Si alguien ejecuta su código, no pasa absolutamente nada._x000a_     Tengan cuidado con estos detalles de despliegue.  Motivación: _x000a_Tienen una capacidad técnica innegable y un dominio de Python que destaca._x000a_Sabiendo que el Primer Parcial ya se realizó, estoy seguro de que si_x000a_aplicaron este mismo nivel de código (y recordaron hacer el pseudocódigo_x000a_exigido en el examen), habrán obtenido un gran resultado. Para el próximo_x000a_corte, no olviden que un buen CTO no solo escribe código complejo, sino que_x000a_planea, documenta y audita la lógica de su negocio antes de teclear.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el diagrama de flujo ni el_x000a_  pseudocódigo exigido en las instrucciones. _x000a_  _x000a_  _x000a_  10.0 _x000a_  _x000a_  _x000a_  0.0 _x000a_  _x000a_ _x000a_ _x000a_  _x000a_  Funcionalidad Python _x000a_  _x000a_  _x000a_  (13.0) Uso correcto de while e if/elif/else. Se_x000a_  descuentan 2 puntos porque las funciones fueron definidas pero no invocadas,_x000a_  y por la lógica del precio base global en el Reto 2. _x000a_  _x000a_  _x000a_  15.0 _x000a_  _x000a_  _x000a_  13.0 _x000a_  _x000a_ _x000a_ _x000a_  _x000a_  Manejo de Datos _x000a_  _x000a_  _x000a_  (15.0) Nivel avanzado. Excelente uso de_x000a_  diccionarios, listas, ciclos for y ordenamiento con lambda. _x000a_  _x000a_  _x000a_  15.0 _x000a_  _x000a_  _x000a_  15.0 _x000a_  _x000a_ _x000a_ _x000a_  _x000a_  Git &amp;amp; GitHub _x000a_  _x000a_  _x000a_  (10.0) Se otorga el puntaje completo por directriz_x000a_  de la clase (tema no evaluado en este corte). _x000a_  _x000a_  _x000a_  10.0 _x000a_  _x000a_  _x000a_  10.0 _x000a_  _x000a_ _x000a_ _x000a_  _x000a_  TOTAL _x000a_  _x000a_  _x000a_  _x000a_  50.0 _x000a_  _x000a_  _x000a_  38.0 _x000a_  _x000a_ Diego Mauricio Zuluaga Rodríguez _x000a_Profesor - Departamento de Economía _x000a_Universidad de La Sabana"/>
    <n v="38"/>
    <n v="50"/>
    <n v="0.76"/>
  </r>
  <r>
    <x v="19"/>
    <s v="Mateo"/>
    <s v="Perez Daza"/>
    <s v="mateopeda@unisabana.edu.co"/>
    <x v="18"/>
    <d v="2026-02-25T00:00:00"/>
    <x v="7"/>
    <s v="Entregado"/>
    <s v="Retroalimentación de la Entrega: Taller Corte 1 -_x000a_SmartFlow Solutions S.A.S.  Grupo: Mateo Pérez Daza, Simón Gustavo Restrepo_x000a_Álvarez, Diego Alejandro Hermida Limas. Proyecto: SmartFlow Solutions - Sistema de Logística y Fidelización  Calificación Final: 50/50 (Equivalente a 5.0) (Nota: Se otorga el bono de +5 puntos por la implementación proactiva de_x000a_Git/GitHub).  Comentarios del Profesor: Equipo, han presentado un trabajo de altísima calidad_x000a_técnica. Su enfoque en la estructura modular (usando funciones def dentro del_x000a_Notebook) demuestra un nivel de abstracción superior al promedio del curso.  Puntos a destacar (Lo excelente): _x000a_ Estructura_x000a_     Modular: A diferencia de la mayoría que programó todo en un bloque_x000a_     lineal, ustedes encapsularon la lógica en funciones (ingresar_datos, ver_reporte)._x000a_     Esto hace que el código sea mantenible y escalable. ¡Excelente práctica de_x000a_     ingeniería de software! _x000a_ Uso_x000a_     Avanzado de .sort(): La implementación de key=lambda x:_x000a_     x[&quot;peso&quot;] demuestra que investigaron cómo ordenar diccionarios_x000a_     complejos. Esto es mucho más robusto que depender solo de la posición en_x000a_     una lista. _x000a_ Manejo_x000a_     de Errores (try-except): Incluyeron bloques try-except para validar_x000a_     que el usuario ingrese números. Esto blinda su aplicación contra errores_x000a_     humanos (User Experience - UX), algo vital en un entorno empresarial real. _x000a_ Portafolio_x000a_     Profesional: El README.md de SmartFlow Solutions es impecable. Venden_x000a_     la idea de la startup antes de mostrar el código, lo cual es clave para un_x000a_     perfil de negocios.  Oportunidad de Mejora (Sanity Check): _x000a_ Lógica_x000a_     de Negocio (Reto 1): En la clasificación logística, su código dice: if peso &amp;lt; 1: tipo = &quot;Documento&quot; elif peso &amp;lt; 10: tipo = &quot;Paquetería&quot; else: tipo = &quot;Carga&quot; Pero luego calculan el costo fuera de esta estructura_x000a_(costo = peso * TARIFA_BASE). En la vida real, la &quot;Carga&quot; suele tener_x000a_una tarifa distinta a un &quot;Documento&quot;. Aunque el enunciado pedía Tarifa_x000a_base x Kg, para un futuro MVP consideren tarifas diferenciadas.  Motivación: _x000a_Ustedes ya están programando con mentalidad de desarrolladores (funciones,_x000a_lambdas, manejo de excepciones). Este nivel técnico les dará una ventaja_x000a_competitiva enorme en el mercado laboral. Sigan cultivando esa curiosidad_x000a_técnic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y coherente con la estructura_x000a_  modular del código. _x000a_  _x000a_  _x000a_  10.0 _x000a_  _x000a_  _x000a_  10.0 _x000a_  _x000a_ _x000a_ _x000a_  _x000a_  Funcionalidad Python _x000a_  _x000a_  _x000a_  Código robusto con funciones, try-except y menús_x000a_  interactivos funcionales. _x000a_  _x000a_  _x000a_  15.0 _x000a_  _x000a_  _x000a_  15.0 _x000a_  _x000a_ _x000a_ _x000a_  _x000a_  Manejo de Datos _x000a_  _x000a_  _x000a_  Uso avanzado de diccionarios y ordenamiento con lambda. _x000a_  _x000a_  _x000a_  15.0 _x000a_  _x000a_  _x000a_  15.0 _x000a_  _x000a_ _x000a_ _x000a_  _x000a_  Git &amp;amp; GitHub _x000a_  _x000a_  _x000a_  Repositorio profesional con README.md de alta calidad_x000a_  (SmartFlow Solutions).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0"/>
    <s v="Matias"/>
    <s v="Mondragon Osorio"/>
    <s v="matiasmoos@unisabana.edu.co"/>
    <x v="18"/>
    <d v="2026-02-25T00:00:00"/>
    <x v="7"/>
    <s v="Entregado"/>
    <s v="Retroalimentación de la Entrega: Taller Corte 1 - MVP del_x000a_Emprendedor Grupo: Mariana Peña Rodríguez, Matías Mondragón_x000a_Osorio, Arianne Mariana Amorocho Quiroga. Proyecto: Ketoz - Sistema Central MVP Comentarios del Profesor: Equipo, han entregado un proyecto sobresaliente. Han logrado_x000a_conectar la teoría de la programación con un caso de negocio real y tangible_x000a_(Ketoz), lo cual es exactamente el objetivo del aprendizaje experiencial en la_x000a_EICEA. Puntos a destacar (Lo excelente): _x000a_ Portafolio_x000a_     Profesional (GitHub): El archivo README.md es de nivel_x000a_     profesional. Explicar el contexto de la empresa (importación de repuestos)_x000a_     y el rol de cada uno le da un valor inmenso a su portafolio. Además,_x000a_     lograron implementar Git y GitHub por su cuenta, lo cual demuestra una_x000a_     excelente capacidad de investigación y les otorga el bono de +5 puntos. _x000a_ Lógica_x000a_     y Diseño: El diagrama de flujo adjunto en la carpeta design/ es_x000a_     claro, estructurado y, lo más importante, coincide exactamente con la_x000a_     lógica del código final. Hicieron el trabajo de pensar antes de programar. _x000a_ Estructuras_x000a_     Modernas: La implementación de match/case para el menú_x000a_     principal demuestra que están explorando características modernas de_x000a_     Python (3.10+), yendo más allá de lo básico. _x000a_ Manejo_x000a_     de Datos: El uso de .sort() fue impecable. Entendieron_x000a_     perfectamente que al guardar los datos en las sublistas ([nombre, compra] y [peso,_x000a_     destino]), Python ordenaría automáticamente por el primer elemento_x000a_     (alfabético para mercadeo, numérico para logística). Oportunidad de Mejora (Sanity Check y Autogestión): _x000a_ Manejo_x000a_     de Errores (UX): En la ejecución de su Notebook quedó registrado_x000a_     un error ValueError: could not convert string to float: ''. Esto_x000a_     ocurre cuando el usuario presiona &quot;Enter&quot; sin escribir un_x000a_     número. Para futuros proyectos, recuerden lo que vimos sobre el_x000a_     bloque try-except para blindar el programa y evitar que colapse_x000a_     por un error de digitación del usuario. _x000a_ Puntualidad: El_x000a_     proyecto fue entregado 1 hora tarde. En el mundo de los negocios y la_x000a_     tecnología, los tiempos de despliegue son críticos. Por las reglas de_x000a_     autogestión del curso, esto genera una penalización de -5 puntos (0.5_x000a_     décimas). Afortunadamente, su proactividad con GitHub compensó esta_x000a_     pérdida, pero tengan mucho cuidado con los tiempos en el futuro. Motivación: _x000a_Tienen madera para liderar proyectos tecnológicos en sus respectivas áreas_x000a_(Mercadeo, Logística y Gastronomía). Han demostrado que no solo saben escribir_x000a_código, sino que entienden para qué sirve ese código en el_x000a_mundo real. ¡Sigan con este nivel de excelenci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excelente. Refleja la planeación exacta_x000a_  del código (Menú, Ciclos y Decisiones). _x000a_  _x000a_  _x000a_  10.0 _x000a_  _x000a_  _x000a_  10.0 _x000a_  _x000a_ _x000a_ _x000a_  _x000a_  Funcionalidad Python _x000a_  _x000a_  _x000a_  Uso correcto de while True, match/case y_x000a_  condicionales lógicos para ambos retos. _x000a_  _x000a_  _x000a_  15.0 _x000a_  _x000a_  _x000a_  15.0 _x000a_  _x000a_ _x000a_ _x000a_  _x000a_  Manejo de Datos _x000a_  _x000a_  _x000a_  Implementación perfecta de listas anidadas, ciclos for y_x000a_  el método .sort(). _x000a_  _x000a_  _x000a_  15.0 _x000a_  _x000a_  _x000a_  15.0 _x000a_  _x000a_ _x000a_ _x000a_  _x000a_  Git &amp;amp; GitHub _x000a_  _x000a_  _x000a_  Repositorio público impecable y README.md con_x000a_  contexto de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Penalización _x000a_  _x000a_  _x000a_  Entrega extemporánea (1 hora tarde). Reglas de_x000a_  Autogestión. _x000a_  _x000a_  _x000a_  - 5.0 _x000a_  _x000a_  _x000a_  - 5.0 _x000a_  _x000a_ _x000a_ _x000a_  _x000a_  TOTAL _x000a_  _x000a_  _x000a_  _x000a_  50.0 _x000a_  _x000a_  _x000a_  50.0 _x000a_  _x000a_ Diego Mauricio Zuluaga Rodríguez _x000a_Profesor - Departamento de Economía _x000a_Universidad de La Sabana"/>
    <n v="50"/>
    <n v="50"/>
    <n v="1"/>
  </r>
  <r>
    <x v="21"/>
    <s v="Juan David"/>
    <s v="Neuta Medina"/>
    <s v="juanneme@unisabana.edu.co"/>
    <x v="18"/>
    <d v="2026-02-25T00:00:00"/>
    <x v="7"/>
    <s v="Entregado"/>
    <s v="Retroalimentación de la Entrega: Taller Corte 1 - MVP del_x000a_Emprendedor  Grupo: José Daniel Escobar, Laura Fernanda López,_x000a_Juan David Neuta. Startup: FinData Analytics / Game Zone (Nota sobre consistencia abajo).  Calificación Final: 50/50 (Equivalente a 5.0) (Nota: Se aplicó un bono de +5 puntos por el uso de Git/GitHub).  Comentarios del Profesor: Equipo, han realizado un trabajo técnicamente sólido y muy_x000a_completo. Han demostrado dominio en la lógica de programación y en la_x000a_estructuración de soluciones.  Puntos a destacar (Lo excelente): _x000a_ Doble_x000a_     Implementación: Me sorprendió gratamente ver que desarrollaron dos_x000a_     soluciones completas en el mismo repositorio: &quot;Dolar-Track&quot;_x000a_     (Finanzas) y &quot;Game Zone&quot; (Videojuegos). Ambos códigos son_x000a_     funcionales, robustos y cumplen con la rúbrica. Esto demuestra un esfuerzo_x000a_     superior al requerido. _x000a_ Manejo_x000a_     de Errores (Try-Except): En el código de &quot;Game Zone&quot;,_x000a_     implementaron bloques try-except para validar las entradas del usuario._x000a_     Esto es vital para la experiencia de usuario (UX) y evita que el programa_x000a_     colapse si alguien escribe letras en lugar de números. ¡Excelente_x000a_     iniciativa! _x000a_ Portafolio_x000a_     Profesional (GitHub): Su repositorio está bien estructurado, con_x000a_     carpetas separadas para diseño y código. El README.md es claro y_x000a_     profesional. Además, ganaron el bono de +5 puntos por investigar e_x000a_     implementar Git por su cuenta. _x000a_ Lógica_x000a_     de Negocio: En &quot;Dolar-Track&quot;, la lógica para calcular la_x000a_     volatilidad (max - min) y las alertas de compra/venta es correcta y útil_x000a_     para el perfil financiero.  Oportunidad de Mejora (Coherencia del Proyecto): _x000a_ Identidad_x000a_     de la Startup: En el README.md se presentan como &quot;FinData_x000a_     Analytics&quot; (Fintech), pero en el código incluyen un sistema para una_x000a_     tienda de videojuegos (&quot;Game Zone&quot;). Aunque ambos códigos son_x000a_     excelentes, para futuras entregas asegúrense de que todo el repositorio_x000a_     gire en torno a una sola idea de negocio coherente. Si son una_x000a_     Fintech, el segundo reto podría haber sido el de_x000a_     &quot;Nomina-Express&quot; o &quot;Chef-Costos&quot; adaptado a costos_x000a_     financieros, para mantener la narrativa.  Motivación: _x000a_Tienen un nivel técnico muy alto. La capacidad de implementar validaciones de_x000a_errores y manejar múltiples lógicas de negocio los pone en una posición de_x000a_ventaja. Sigan cultivando esa curiosidad técnica; es lo que diferencia a un_x000a_buen profesional de uno excelen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y pseudocódigos claros para ambos retos en la_x000a_  carpeta design/. Coinciden con el código. _x000a_  _x000a_  _x000a_  10.0 _x000a_  _x000a_  _x000a_  10.0 _x000a_  _x000a_ _x000a_ _x000a_  _x000a_  Funcionalidad Python _x000a_  _x000a_  _x000a_  Código funcional, menús interactivos robustos y validación_x000a_  de errores (try-except). _x000a_  _x000a_  _x000a_  15.0 _x000a_  _x000a_  _x000a_  15.0 _x000a_  _x000a_ _x000a_ _x000a_  _x000a_  Manejo de Datos _x000a_  _x000a_  _x000a_  Uso correcto de listas, tuplas, ciclos for y métodos de_x000a_  ordenamiento (sorted y .sort). _x000a_  _x000a_  _x000a_  15.0 _x000a_  _x000a_  _x000a_  15.0 _x000a_  _x000a_ _x000a_ _x000a_  _x000a_  Git &amp;amp; GitHub _x000a_  _x000a_  _x000a_  Repositorio público bien configurado con README.md_x000a_  profesional.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2"/>
    <s v="Laura Fernanda"/>
    <s v="Lopez Parra"/>
    <s v="lauraloppa@unisabana.edu.co"/>
    <x v="18"/>
    <d v="2026-02-25T00:00:00"/>
    <x v="7"/>
    <s v="Entregado"/>
    <s v="Retroalimentación de la Entrega: Taller Corte 1 - MVP del_x000a_Emprendedor  Grupo: José Daniel Escobar, Laura Fernanda López,_x000a_Juan David Neuta. Startup: FinData Analytics / Game Zone (Nota sobre consistencia abajo).  Calificación Final: 50/50 (Equivalente a 5.0) (Nota: Se aplicó un bono de +5 puntos por el uso de Git/GitHub).  Comentarios del Profesor: Equipo, han realizado un trabajo técnicamente sólido y muy_x000a_completo. Han demostrado dominio en la lógica de programación y en la_x000a_estructuración de soluciones.  Puntos a destacar (Lo excelente): _x000a_ Doble_x000a_     Implementación: Me sorprendió gratamente ver que desarrollaron dos_x000a_     soluciones completas en el mismo repositorio: &quot;Dolar-Track&quot;_x000a_     (Finanzas) y &quot;Game Zone&quot; (Videojuegos). Ambos códigos son_x000a_     funcionales, robustos y cumplen con la rúbrica. Esto demuestra un esfuerzo_x000a_     superior al requerido. _x000a_ Manejo_x000a_     de Errores (Try-Except): En el código de &quot;Game Zone&quot;,_x000a_     implementaron bloques try-except para validar las entradas del usuario._x000a_     Esto es vital para la experiencia de usuario (UX) y evita que el programa_x000a_     colapse si alguien escribe letras en lugar de números. ¡Excelente_x000a_     iniciativa! _x000a_ Portafolio_x000a_     Profesional (GitHub): Su repositorio está bien estructurado, con_x000a_     carpetas separadas para diseño y código. El README.md es claro y_x000a_     profesional. Además, ganaron el bono de +5 puntos por investigar e_x000a_     implementar Git por su cuenta. _x000a_ Lógica_x000a_     de Negocio: En &quot;Dolar-Track&quot;, la lógica para calcular la_x000a_     volatilidad (max - min) y las alertas de compra/venta es correcta y útil_x000a_     para el perfil financiero.  Oportunidad de Mejora (Coherencia del Proyecto): _x000a_ Identidad_x000a_     de la Startup: En el README.md se presentan como &quot;FinData_x000a_     Analytics&quot; (Fintech), pero en el código incluyen un sistema para una_x000a_     tienda de videojuegos (&quot;Game Zone&quot;). Aunque ambos códigos son_x000a_     excelentes, para futuras entregas asegúrense de que todo el repositorio_x000a_     gire en torno a una sola idea de negocio coherente. Si son una_x000a_     Fintech, el segundo reto podría haber sido el de_x000a_     &quot;Nomina-Express&quot; o &quot;Chef-Costos&quot; adaptado a costos_x000a_     financieros, para mantener la narrativa.  Motivación: _x000a_Tienen un nivel técnico muy alto. La capacidad de implementar validaciones de_x000a_errores y manejar múltiples lógicas de negocio los pone en una posición de_x000a_ventaja. Sigan cultivando esa curiosidad técnica; es lo que diferencia a un_x000a_buen profesional de uno excelen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y pseudocódigos claros para ambos retos en la_x000a_  carpeta design/. Coinciden con el código. _x000a_  _x000a_  _x000a_  10.0 _x000a_  _x000a_  _x000a_  10.0 _x000a_  _x000a_ _x000a_ _x000a_  _x000a_  Funcionalidad Python _x000a_  _x000a_  _x000a_  Código funcional, menús interactivos robustos y validación_x000a_  de errores (try-except). _x000a_  _x000a_  _x000a_  15.0 _x000a_  _x000a_  _x000a_  15.0 _x000a_  _x000a_ _x000a_ _x000a_  _x000a_  Manejo de Datos _x000a_  _x000a_  _x000a_  Uso correcto de listas, tuplas, ciclos for y métodos de_x000a_  ordenamiento (sorted y .sort). _x000a_  _x000a_  _x000a_  15.0 _x000a_  _x000a_  _x000a_  15.0 _x000a_  _x000a_ _x000a_ _x000a_  _x000a_  Git &amp;amp; GitHub _x000a_  _x000a_  _x000a_  Repositorio público bien configurado con README.md_x000a_  profesional.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3"/>
    <s v="Lukas"/>
    <s v="Blanco Llanes"/>
    <s v="lukasblll@unisabana.edu.co"/>
    <x v="18"/>
    <d v="2026-02-25T00:00:00"/>
    <x v="7"/>
    <s v="Entregado"/>
    <s v="Retroalimentación de la Entrega: Taller Corte 1 - MVP del_x000a_Emprendedor  Grupo: Lukas Blanco Llanes, Alan David Rossoff_x000a_Vanegas, Juan Sebastian Salas Hinojosa. Proyectos: Dolar-Track (Reto 3) y Nomina-Express (Reto 5).  Calificación Final: 55/50 (Equivalente a 5.0 + 0.5 de_x000a_Bono) (Nota: Dado que el tema de Git/GitHub no se alcanzó a cubrir en clase, la_x000a_rúbrica base se califica sobre 10/10 automáticamente. Al haber investigado y_x000a_subido su proyecto a GitHub de forma proactiva, se les otorgan +5 puntos de_x000a_bono).  Comentarios del Profesor: Equipo, excelente trabajo. Han entregado un código robusto,_x000a_funcional y que demuestra un claro entendimiento de las estructuras de control_x000a_y el manejo de datos en Python. Actuaron como verdaderos CTOs al blindar su_x000a_aplicación contra errores de usuario.  Puntos a destacar (Lo excelente): _x000a_ Validación_x000a_     de Datos (Sanity Check): La implementación de los bloques try-except_x000a_     junto con el while True para asegurar que el usuario ingrese números_x000a_     válidos y mayores a cero es de nivel profesional. Esto evita que el_x000a_     programa colapse (crash) y mejora enormemente la experiencia de usuario_x000a_     (UX). _x000a_ Lógica_x000a_     y Diseño: Los diagramas de flujo y el pseudocódigo adjuntos en la_x000a_     carpeta design/ son coherentes con el código final. Planearon la solución_x000a_     antes de programarla. _x000a_ Estructuras_x000a_     de Control: Los menús interactivos funcionan a la perfección y la_x000a_     lógica matemática para calcular la volatilidad de la TRM y la nómina con_x000a_     horas extras es exacta.  Oportunidades de Mejora (Autogestión y Código): _x000a_ El_x000a_     Portafolio (Falta el README.md): Aunque subieron el proyecto a GitHub_x000a_     (lo cual es excelente y les dio el bono), omitieron crear el archivo README.md._x000a_     En el mundo del desarrollo y la ciencia de datos, un repositorio sin_x000a_     README es como un libro sin portada; los reclutadores no sabrán de qué_x000a_     trata su proyecto. Para el próximo corte, documenten su repositorio. _x000a_ Complejidad_x000a_     Innecesaria en el Ordenamiento: En el Reto 5 utilizaron zip() y_x000a_     funciones lambda (data.sort(key=lambda x: x[0].lower())). Es muy positivo_x000a_     que investiguen herramientas avanzadas, pero recuerden que si hubieran_x000a_     guardado los datos como una lista de listas [[nombre, horas]], un simple .sort()_x000a_     habría hecho el trabajo alfabéticamente sin necesidad de importar lógicas_x000a_     más complejas. A veces, la solución más simple es la mejor.  Motivación: _x000a_Tienen una base técnica muy sólida. Si mantienen este nivel de validación de_x000a_datos y mejoran la presentación comercial de sus repositorios (README), tendrán_x000a_un portafolio sumamente atractivo para el mercado laboral. ¡Sigan así y éxitos_x000a_en el 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entregados y coherentes_x000a_  con la lógica programada. _x000a_  _x000a_  _x000a_  10.0 _x000a_  _x000a_  _x000a_  10.0 _x000a_  _x000a_ _x000a_ _x000a_  _x000a_  Funcionalidad Python _x000a_  _x000a_  _x000a_  Uso impecable de while True para menús y validaciones try-except._x000a_  Lógica if/else correcta. _x000a_  _x000a_  _x000a_  15.0 _x000a_  _x000a_  _x000a_  15.0 _x000a_  _x000a_ _x000a_ _x000a_  _x000a_  Manejo de Datos _x000a_  _x000a_  _x000a_  Uso correcto de listas, ciclos for para cálculos_x000a_  (promedios/nómina) y ordenamiento. _x000a_  _x000a_  _x000a_  15.0 _x000a_  _x000a_  _x000a_  15.0 _x000a_  _x000a_ _x000a_ _x000a_  _x000a_  Git &amp;amp; GitHub (Base) _x000a_  _x000a_  _x000a_  Tema no evaluado obligatoriamente por tiempos de clase. Se_x000a_  otorga el puntaje base completo. _x000a_  _x000a_  _x000a_  10.0 _x000a_  _x000a_  _x000a_  10.0 _x000a_  _x000a_ _x000a_ _x000a_  _x000a_  Bono Autogestión _x000a_  _x000a_  _x000a_  Uso proactivo de GitHub para la entrega (+5 pts). Nota:_x000a_  Faltó el README.md, pero se otorga el bono por la iniciativa técnic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4"/>
    <s v="Juan Sebastian"/>
    <s v="Salas Hinojosa"/>
    <s v="juansahi@unisabana.edu.co"/>
    <x v="18"/>
    <d v="2026-02-25T00:00:00"/>
    <x v="7"/>
    <s v="Entregado"/>
    <s v="Retroalimentación de la Entrega: Taller Corte 1 - MVP del_x000a_Emprendedor  Grupo: Lukas Blanco Llanes, Alan David Rossoff_x000a_Vanegas, Juan Sebastian Salas Hinojosa. Proyectos: Dolar-Track (Reto 3) y Nomina-Express (Reto 5).  Calificación Final: 55/50 (Equivalente a 5.0 + 0.5 de_x000a_Bono) (Nota: Dado que el tema de Git/GitHub no se alcanzó a cubrir en clase, la_x000a_rúbrica base se califica sobre 10/10 automáticamente. Al haber investigado y_x000a_subido su proyecto a GitHub de forma proactiva, se les otorgan +5 puntos de_x000a_bono).  Comentarios del Profesor: Equipo, excelente trabajo. Han entregado un código robusto,_x000a_funcional y que demuestra un claro entendimiento de las estructuras de control_x000a_y el manejo de datos en Python. Actuaron como verdaderos CTOs al blindar su_x000a_aplicación contra errores de usuario.  Puntos a destacar (Lo excelente): _x000a_ Validación_x000a_     de Datos (Sanity Check): La implementación de los bloques try-except_x000a_     junto con el while True para asegurar que el usuario ingrese números_x000a_     válidos y mayores a cero es de nivel profesional. Esto evita que el_x000a_     programa colapse (crash) y mejora enormemente la experiencia de usuario_x000a_     (UX). _x000a_ Lógica_x000a_     y Diseño: Los diagramas de flujo y el pseudocódigo adjuntos en la_x000a_     carpeta design/ son coherentes con el código final. Planearon la solución_x000a_     antes de programarla. _x000a_ Estructuras_x000a_     de Control: Los menús interactivos funcionan a la perfección y la_x000a_     lógica matemática para calcular la volatilidad de la TRM y la nómina con_x000a_     horas extras es exacta.  Oportunidades de Mejora (Autogestión y Código): _x000a_ El_x000a_     Portafolio (Falta el README.md): Aunque subieron el proyecto a GitHub_x000a_     (lo cual es excelente y les dio el bono), omitieron crear el archivo README.md._x000a_     En el mundo del desarrollo y la ciencia de datos, un repositorio sin_x000a_     README es como un libro sin portada; los reclutadores no sabrán de qué_x000a_     trata su proyecto. Para el próximo corte, documenten su repositorio. _x000a_ Complejidad_x000a_     Innecesaria en el Ordenamiento: En el Reto 5 utilizaron zip() y_x000a_     funciones lambda (data.sort(key=lambda x: x[0].lower())). Es muy positivo_x000a_     que investiguen herramientas avanzadas, pero recuerden que si hubieran_x000a_     guardado los datos como una lista de listas [[nombre, horas]], un simple .sort()_x000a_     habría hecho el trabajo alfabéticamente sin necesidad de importar lógicas_x000a_     más complejas. A veces, la solución más simple es la mejor.  Motivación: _x000a_Tienen una base técnica muy sólida. Si mantienen este nivel de validación de_x000a_datos y mejoran la presentación comercial de sus repositorios (README), tendrán_x000a_un portafolio sumamente atractivo para el mercado laboral. ¡Sigan así y éxitos_x000a_en el 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entregados y coherentes_x000a_  con la lógica programada. _x000a_  _x000a_  _x000a_  10.0 _x000a_  _x000a_  _x000a_  10.0 _x000a_  _x000a_ _x000a_ _x000a_  _x000a_  Funcionalidad Python _x000a_  _x000a_  _x000a_  Uso impecable de while True para menús y validaciones try-except._x000a_  Lógica if/else correcta. _x000a_  _x000a_  _x000a_  15.0 _x000a_  _x000a_  _x000a_  15.0 _x000a_  _x000a_ _x000a_ _x000a_  _x000a_  Manejo de Datos _x000a_  _x000a_  _x000a_  Uso correcto de listas, ciclos for para cálculos_x000a_  (promedios/nómina) y ordenamiento. _x000a_  _x000a_  _x000a_  15.0 _x000a_  _x000a_  _x000a_  15.0 _x000a_  _x000a_ _x000a_ _x000a_  _x000a_  Git &amp;amp; GitHub (Base) _x000a_  _x000a_  _x000a_  Tema no evaluado obligatoriamente por tiempos de clase. Se_x000a_  otorga el puntaje base completo. _x000a_  _x000a_  _x000a_  10.0 _x000a_  _x000a_  _x000a_  10.0 _x000a_  _x000a_ _x000a_ _x000a_  _x000a_  Bono Autogestión _x000a_  _x000a_  _x000a_  Uso proactivo de GitHub para la entrega (+5 pts). Nota:_x000a_  Faltó el README.md, pero se otorga el bono por la iniciativa técnic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25"/>
    <s v="Avril Avril"/>
    <s v="Ariza Quitian"/>
    <s v="avrilarqu@unisabana.edu.co"/>
    <x v="18"/>
    <d v="2026-02-25T00:00:00"/>
    <x v="7"/>
    <s v="Entregado"/>
    <s v="Retroalimentación de la Entrega: Taller Corte 1 - MVP del_x000a_Emprendedor  Grupo: Avril Ariza, Samantha Vanegas. Proyectos: ModaPlus (Reto 4) y Nómina-Express (Reto 5).  Calificación Final: 41/50 (Equivalente a 4.1) (Nota: Se aplicó un bono de +5 puntos por la implementación autónoma de_x000a_Git/GitHub. El puntaje base fue 36/50).  Comentarios del Profesor: Equipo, han presentado un trabajo con un nivel de detalle_x000a_visual y matemático muy interesante. La forma en que estructuraron las salidas_x000a_en consola (tablas, resúmenes, f-strings) demuestra un gran esfuerzo por_x000a_entregar un producto amigable para el usuario final.  Puntos a destacar (Lo excelente): _x000a_ Portafolio_x000a_     Profesional (GitHub): El archivo README.md es claro y cumple con el_x000a_     objetivo. Además, lograron implementar Git y GitHub por su cuenta, lo cual_x000a_     demuestra una excelente capacidad de investigación y les otorga el bono de_x000a_     +5 puntos. _x000a_ Formato_x000a_     de Salida (UX): La presentación de los desprendibles de pago y el_x000a_     reporte de clientes es de nivel avanzado. El uso de espaciados (:&amp;lt;15, :8.0f)_x000a_     hace que la consola se vea como un software real. _x000a_ Lógica_x000a_     Algorítmica: Implementar un &quot;Método Burbuja&quot; (Bubble Sort)_x000a_     manual con ciclos for anidados en el Reto 4 es una muestra de pensamiento_x000a_     lógico avanzado. ¡Muy bien pensado!  Oportunidades de Mejora (Sanity Check y Autogestión): _x000a_ El_x000a_     Menú Interactivo (while): Este era un requerimiento obligatorio de la_x000a_     rúbrica general. Su código se ejecuta de forma lineal (de arriba a abajo)_x000a_     y termina. No implementaron el menú interactivo con el ciclo while que_x000a_     permitiera al usuario elegir opciones sin que el programa se cerrara. _x000a_ Coherencia_x000a_     Diseño vs. Código: En su archivo pseudocodigo.txt y en el diagrama de_x000a_     flujo, ustedes planearon perfectamente el menú (Mientras el usuario no_x000a_     elija salir: Mostrar menú...). Sin embargo, no lo programaron en Python._x000a_     Recuerden la regla de oro: el diseño debe coincidir exactamente con el_x000a_     producto final. _x000a_ Seguimiento_x000a_     de Instrucciones (.sort() y Categorías): _x000a_ _x000a_  Aunque_x000a_      su método burbuja es genial, la rúbrica exigía evaluar su capacidad para_x000a_      usar el método nativo .sort(). En el mundo laboral, reinventar la rueda_x000a_      puede costar tiempo valioso; debemos usar las herramientas integradas del_x000a_      lenguaje. _x000a_  En_x000a_      el Reto 4, omitieron la categoría &quot;Plata&quot;. Su código clasifica_x000a_      todo lo menor a $500.000 como &quot;Bronce&quot;, saltándose la regla de_x000a_      negocio del cliente. _x000a_ Motivación: _x000a_Tienen una capacidad excelente para estructurar datos y presentarlos de forma_x000a_profesional. El siguiente paso para alcanzar la excelencia es asegurar que_x000a_cumplen estrictamente con los requerimientos técnicos del cliente (la rúbrica)_x000a_y que su planeación se refleje 100% en su código. ¡Sigan adelante, tienen un_x000a_gran potencial para el análisis de datos!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Entregaron pseudocódigo y diagrama. Penalización:_x000a_  El diseño plantea un menú while que no fue implementado en el código final_x000a_  (Falla en Sanity Check). _x000a_  _x000a_  _x000a_  10.0 _x000a_  _x000a_  _x000a_  6.0 _x000a_  _x000a_ _x000a_ _x000a_  _x000a_  Funcionalidad Python _x000a_  _x000a_  _x000a_  Código sin errores y cálculos correctos. Penalización:_x000a_  Ausencia total del ciclo while (Menú interactivo) y omisión de la categoría_x000a_  &quot;Plata&quot; en Reto 4. _x000a_  _x000a_  _x000a_  15.0 _x000a_  _x000a_  _x000a_  9.0 _x000a_  _x000a_ _x000a_ _x000a_  _x000a_  Manejo de Datos _x000a_  _x000a_  _x000a_  Excelente uso de listas y ciclos for. Penalización:_x000a_  No se utilizó el método .sort() solicitado en la rúbrica. _x000a_  _x000a_  _x000a_  15.0 _x000a_  _x000a_  _x000a_  11.0 _x000a_  _x000a_ _x000a_ _x000a_  _x000a_  Git &amp;amp; GitHub _x000a_  _x000a_  _x000a_  Repositorio público configurado correctamente y README.md_x000a_  funcion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TOTAL _x000a_  _x000a_  _x000a_  _x000a_  50.0 _x000a_  _x000a_  _x000a_  41.0 _x000a_  _x000a_ Diego Mauricio Zuluaga Rodríguez _x000a_Profesor - Departamento de Economía _x000a_Universidad de La Sabana"/>
    <n v="41"/>
    <n v="50"/>
    <n v="0.82"/>
  </r>
  <r>
    <x v="26"/>
    <s v="Samuel David"/>
    <s v="Simancas Contreras"/>
    <s v="samuelsico@unisabana.edu.co"/>
    <x v="18"/>
    <d v="2026-02-25T00:00:00"/>
    <x v="7"/>
    <s v="Entregado"/>
    <s v="Retroalimentación de la Entrega: Taller Corte 1 - MVP del_x000a_Emprendedor  Grupo: Daniel Felipe Camacho Pedraza, Juan Sebastian_x000a_Perdomo Herrera, Samuel David Simancas Contreras. Proyecto: MVP - Retos de Logística y Gastronomía.  Calificación Final: 38/50 (Equivalente a 3.8 / 5.0)  Comentarios del Profesor: Equipo, han entregado un código con destellos técnicos muy_x000a_avanzados, pero han descuidado una de las reglas de oro del curso y del_x000a_Departamento de Economía: la planeación y la autogestión.  Puntos a destacar (Lo excelente): _x000a_ Investigación_x000a_     Autónoma: El uso de diccionarios dentro de listas y la implementación_x000a_     de funciones lambda para el ordenamiento (paquetes.sort(key=lambda x:_x000a_     x['peso'], reverse=True)) es de un nivel técnico superior al exigido._x000a_     Demuestra que investigaron por su cuenta y buscaron la forma más eficiente_x000a_     de estructurar los datos. ¡Excelente trabajo en este aspecto! _x000a_ Estructura_x000a_     de Menús: La implementación de los ciclos while True y el manejo de_x000a_     las opciones es limpio y funcional. _x000a_ Cálculos_x000a_     Financieros: El cálculo del margen de ganancia (1.35) y el uso de_x000a_     f-strings con separadores de miles (:,) demuestran atención a la_x000a_     presentación de los datos.  Oportunidades de Mejora (Sanity Check y Reglas de_x000a_Negocio): _x000a_ Ausencia_x000a_     de Planeación (Penalización Crítica): No adjuntaron el diagrama de_x000a_     flujo ni el pseudocódigo (Carpeta design/). Como se indicó en las_x000a_     instrucciones, programar sin planear es un riesgo inaceptable en el mundo_x000a_     real. Por esta razón, la nota en el criterio de &quot;Lógica y_x000a_     Diseño&quot; es 0.0. _x000a_ Lógica_x000a_     de Negocio (Reto 2): En el reto de Gastronomía, definieron un PRECIO_BASE_REFERENCIA_x000a_     = 10000 global para todos los ingredientes. En la vida real, la sal no_x000a_     tiene el mismo precio base que el salmón. El sistema debió pedir el precio_x000a_     base individual de cada ingrediente ingresado para calcular su inflación_x000a_     real. _x000a_ Detalle_x000a_     Técnico (Ejecución): En su archivo de Jupyter, encapsularon todo el_x000a_     código dentro de las funciones def reto_logistica(): y def_x000a_     reto_gastronomia():, pero nunca llamaron a las funciones al final_x000a_     de la celda. Si alguien ejecuta su código, no pasa absolutamente nada._x000a_     Tengan cuidado con estos detalles de despliegue.  Motivación: _x000a_Tienen una capacidad técnica innegable y un dominio de Python que destaca._x000a_Sabiendo que el Primer Parcial ya se realizó, estoy seguro de que si_x000a_aplicaron este mismo nivel de código (y recordaron hacer el pseudocódigo_x000a_exigido en el examen), habrán obtenido un gran resultado. Para el próximo_x000a_corte, no olviden que un buen CTO no solo escribe código complejo, sino que_x000a_planea, documenta y audita la lógica de su negocio antes de teclear.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el diagrama de flujo ni el_x000a_  pseudocódigo exigido en las instrucciones. _x000a_  _x000a_  _x000a_  10.0 _x000a_  _x000a_  _x000a_  0.0 _x000a_  _x000a_ _x000a_ _x000a_  _x000a_  Funcionalidad Python _x000a_  _x000a_  _x000a_  (13.0) Uso correcto de while e if/elif/else. Se_x000a_  descuentan 2 puntos porque las funciones fueron definidas pero no invocadas,_x000a_  y por la lógica del precio base global en el Reto 2. _x000a_  _x000a_  _x000a_  15.0 _x000a_  _x000a_  _x000a_  13.0 _x000a_  _x000a_ _x000a_ _x000a_  _x000a_  Manejo de Datos _x000a_  _x000a_  _x000a_  (15.0) Nivel avanzado. Excelente uso de_x000a_  diccionarios, listas, ciclos for y ordenamiento con lambda. _x000a_  _x000a_  _x000a_  15.0 _x000a_  _x000a_  _x000a_  15.0 _x000a_  _x000a_ _x000a_ _x000a_  _x000a_  Git &amp;amp; GitHub _x000a_  _x000a_  _x000a_  (10.0) Se otorga el puntaje completo por directriz_x000a_  de la clase (tema no evaluado en este corte). _x000a_  _x000a_  _x000a_  10.0 _x000a_  _x000a_  _x000a_  10.0 _x000a_  _x000a_ _x000a_ _x000a_  _x000a_  TOTAL _x000a_  _x000a_  _x000a_  _x000a_  50.0 _x000a_  _x000a_  _x000a_  38.0 _x000a_  _x000a_ Diego Mauricio Zuluaga Rodríguez _x000a_Profesor - Departamento de Economía _x000a_Universidad de La Sabana"/>
    <n v="38"/>
    <n v="50"/>
    <n v="0.76"/>
  </r>
  <r>
    <x v="27"/>
    <s v="Maria Jose"/>
    <s v="Huertas Osorio"/>
    <s v="mariahueos@unisabana.edu.co"/>
    <x v="18"/>
    <d v="2026-02-25T00:00:00"/>
    <x v="7"/>
    <s v="Entregado"/>
    <s v="Retroalimentación de la Entrega: Taller Corte 1 - MVP del_x000a_Emprendedor  Grupo: Alessandro Di Mauro Bonilla Correa, Maria Jose_x000a_Huertas Osorio, Gabriela Ruiz Perez. Proyecto: No registrado.  Calificación Final: 0.0 / 50 (Equivalente a 0.0)  Comentarios del Profesor: Lamento informar que, al cierre del buzón el pasado miércoles_x000a_25 de febrero a las 16:00, no se encontró registro de su entrega en la_x000a_plataforma Microsoft Teams ni se recibió el vínculo de su repositorio en_x000a_GitHub.  Análisis de Autogestión: _x000a_Uno de los pilares fundamentales de este curso y del Departamento de Economía_x000a_es la Autogestión. Esto implica la organización del tiempo y el_x000a_cumplimiento estricto de los cronogramas establecidos en el Syllabus. En un_x000a_entorno profesional y de emprendimiento, el incumplimiento de un deadline_x000a_para la entrega de un MVP (Producto Mínimo Viable) conlleva la pérdida de_x000a_credibilidad y de oportunidades de inversión.  Impacto Académico: _x000a_Esta nota corresponde al 30% de la calificación del primer corte. La_x000a_ausencia de este entregable afecta significativamente su promedio actual.  Motivación y Próximos Pasos: _x000a_El semestre apenas comienza. Los invito a reflexionar sobre los métodos de_x000a_estudio y organización que están utilizando como grupo. Tienen el Parcial_x000a_(50%) y las próximas actividades para demostrar su compromiso y nivel_x000a_técnico. No permitan que este resultado defina su desempeño en el resto del_x000a_semestre; utilícenlo como un motor para mejorar su planeación y asegurar que_x000a_todas las entregas futuras se realicen con antelación.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No se entregó evidencia de planeación. _x000a_  _x000a_  _x000a_  10.0 _x000a_  _x000a_  _x000a_  0.0 _x000a_  _x000a_ _x000a_ _x000a_  _x000a_  Funcionalidad Python _x000a_  _x000a_  _x000a_  No se entregó código funcional. _x000a_  _x000a_  _x000a_  15.0 _x000a_  _x000a_  _x000a_  0.0 _x000a_  _x000a_ _x000a_ _x000a_  _x000a_  Manejo de Datos _x000a_  _x000a_  _x000a_  No se entregó evidencia de manejo de listas/ciclos. _x000a_  _x000a_  _x000a_  15.0 _x000a_  _x000a_  _x000a_  0.0 _x000a_  _x000a_ _x000a_ _x000a_  _x000a_  Git &amp;amp; GitHub _x000a_  _x000a_  _x000a_  No se registró repositorio profesional. _x000a_  _x000a_  _x000a_  10.0 _x000a_  _x000a_  _x000a_  0.0 _x000a_  _x000a_ _x000a_ _x000a_  _x000a_  TOTAL _x000a_  _x000a_  _x000a_  _x000a_  50.0 _x000a_  _x000a_  _x000a_  0.0 _x000a_  _x000a_ Diego Mauricio Zuluaga Rodríguez _x000a_Profesor - Departamento de Economía _x000a_Universidad de La Sabana"/>
    <n v="0"/>
    <n v="50"/>
    <n v="0"/>
  </r>
  <r>
    <x v="28"/>
    <s v="Juan Camilo"/>
    <s v="Leyton Lancheros"/>
    <s v="juanleyla@unisabana.edu.co"/>
    <x v="18"/>
    <d v="2026-02-25T00:00:00"/>
    <x v="7"/>
    <s v="Entregado"/>
    <s v="Retroalimentación de la Entrega: Taller Corte 1 - MVP del_x000a_Emprendedor  Grupo: Cristian Bermúdez, Juan Camilo Leyton_x000a_Lancheros, Nicolás Torres Calderón. Proyectos: Ruta-Óptima (Reto 1) y Chef-Costos (Reto 2).  Calificación Final: 19/50 (Equivalente a 1.9)  Comentarios del Profesor: Equipo, he revisado su entrega. A nivel de lógica matemática_x000a_y sintaxis de Python, el código que escribieron funciona correctamente. Sin_x000a_embargo, esta entrega presenta fallas críticas en el seguimiento de_x000a_instrucciones y en la competencia de Autogestión, lo cual ha impactado_x000a_severamente su calificación.  Puntos a destacar (Lo técnico): _x000a_ Lógica_x000a_     de Negocio: Las fórmulas matemáticas para calcular el costo de envío y_x000a_     el aumento porcentual de los ingredientes son correctas. _x000a_ Estructuras_x000a_     Avanzadas: Noté que utilizaron diccionarios y la función sorted() con_x000a_     funciones lambda. Aunque esto demuestra que investigaron o tienen_x000a_     conocimientos previos, en este curso evaluamos el dominio de las_x000a_     herramientas vistas en clase (Listas y el método .sort()).  Oportunidades de Mejora Críticas (Autogestión y Sanity_x000a_Check): _x000a_ Incumplimiento_x000a_     del Formato de Entrega (Git/GitHub): La instrucción era clara: debían_x000a_     crear un repositorio público en GitHub con un archivo README.md y subir el_x000a_     enlace a Teams. Ustedes adjuntaron únicamente el archivo .ipynb. En el_x000a_     mundo profesional, no usar el control de versiones solicitado por el_x000a_     cliente o el líder técnico es inaceptable. Esto les costó todos los puntos_x000a_     de esa sección. _x000a_ Ausencia_x000a_     de Planeación (Diseño): No entregaron la carpeta design/ con el_x000a_     pseudocódigo ni el diagrama de flujo. Recuerden la regla de la clase: Primero_x000a_     pensamos, luego codificamos. La falta de esta evidencia penaliza_x000a_     fuertemente la nota. _x000a_ Omisión_x000a_     de Requerimientos Obligatorios: La rúbrica exigía explícitamente un Menú_x000a_     Interactivo utilizando un ciclo while para que el programa no se_x000a_     cerrara solo y permitiera navegar entre los retos. Su código se ejecuta de_x000a_     forma lineal y termina, omitiendo por completo esta estructura de control_x000a_     fundamental.  Motivación: _x000a_Ustedes tienen la capacidad técnica para escribir buen código, eso quedó_x000a_demostrado en la lógica de sus retos. Sin embargo, el éxito de un profesional_x000a_(y de un CTO en una startup) radica en seguir los requerimientos del cliente al_x000a_pie de la letra y gestionar sus entregables de forma organizada. Los invito a_x000a_ajustar su nivel de atención al detalle y autogestión para los próximos cortes._x000a_Tienen el potencial para recuperars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0.0: No se entregó pseudocódigo ni diagrama de_x000a_  flujo (Carpeta design/ ausente). _x000a_  _x000a_  _x000a_  10.0 _x000a_  _x000a_  _x000a_  0.0 _x000a_  _x000a_ _x000a_ _x000a_  _x000a_  Funcionalidad Python _x000a_  _x000a_  _x000a_  7.0: El código corre y usa if/else correctamente,_x000a_  pero omite por completo el ciclo while (Menú interactivo obligatorio). _x000a_  _x000a_  _x000a_  15.0 _x000a_  _x000a_  _x000a_  8.0 _x000a_  _x000a_ _x000a_ _x000a_  _x000a_  Manejo de Datos _x000a_  _x000a_  _x000a_  12.0: Uso correcto de ciclos for. Penalización:_x000a_  Se usó sorted() con lambda en lugar del método .sort() sobre listas anidadas,_x000a_  como se solicitó en la rúbrica. _x000a_  _x000a_  _x000a_  15.0 _x000a_  _x000a_  _x000a_  12.0 _x000a_  _x000a_ _x000a_ _x000a_  _x000a_  Git &amp;amp; GitHub _x000a_  _x000a_  _x000a_  0.0: NA. _x000a_  _x000a_  _x000a_  10.0 _x000a_  _x000a_  _x000a_  10.0 _x000a_  _x000a_ _x000a_ _x000a_  _x000a_  TOTAL _x000a_  _x000a_  _x000a_  _x000a_  50.0 _x000a_  _x000a_  _x000a_  30.0 _x000a_  _x000a_ Diego Mauricio Zuluaga Rodríguez _x000a_Profesor - Departamento de Economía _x000a_Universidad de La Sabana"/>
    <n v="30"/>
    <n v="50"/>
    <n v="0.6"/>
  </r>
  <r>
    <x v="29"/>
    <s v="Samuel Mathias"/>
    <s v="Gonzalez Bernal"/>
    <s v="samuelgonbe@unisabana.edu.co"/>
    <x v="18"/>
    <d v="2026-02-25T00:00:00"/>
    <x v="7"/>
    <s v="Entregado"/>
    <s v="Retroalimentación de la Entrega: Taller Corte 1 - MVP del_x000a_Emprendedor  Grupo: Samuel Gonzales, Samuel Lozano, Sebastián_x000a_Vanoy. Retos Seleccionados: Logística (&quot;Ruta-Óptima&quot;) y Economía_x000a_(&quot;Dolar-Track&quot;).  Calificación Final: 50/50 (Equivalente a 5.0)  Comentarios del Profesor: Equipo, han realizado un trabajo sólido y funcional._x000a_Lograron implementar la lógica requerida para ambos retos, demostrando un buen_x000a_entendimiento de las estructuras de control (while, if/elif/else) y el manejo_x000a_de listas.  Puntos a destacar (Lo bueno): _x000a_ Lógica_x000a_     de Logística (Reto 1): La implementación de zip() para unir las listas_x000a_     (pesos, destinos, tipos, costos) antes de ordenar es una solución técnica_x000a_     muy inteligente y eficiente. Esto garantiza que al ordenar por peso, la_x000a_     información del destino y el costo no se &quot;descuadre&quot;. ¡Excelente_x000a_     recurso! _x000a_ Validaciones_x000a_     de Seguridad (Sanity Checks): Me gustó ver que incluyeron validaciones_x000a_     como if len(pesos) &amp;lt; 5: o if len(TRM_dias_anteriores) == 0:. Esto evita_x000a_     que el programa colapse si el usuario intenta calcular sin haber ingresado_x000a_     datos, lo cual demuestra madurez en su lógica de programación. _x000a_ Diagramas_x000a_     de Flujo: Los diagramas adjuntos en PDF son claros y coinciden con la_x000a_     lógica implementada en el código, cumpliendo con el requisito de diseño_x000a_     previo.  Oportunidades de Mejora (Para el futuro): _x000a_ Redundancia_x000a_     en el Reto 3 (Economía): Noté que en las opciones '2' y '3' repiten el_x000a_     bloque de código para calcular el promedio (sum / len). En programación,_x000a_     cuando vean que están copiando y pegando el mismo código varias veces, es_x000a_     una señal para optimizar (quizás calculando el promedio una sola vez al_x000a_     inicio o usando una función). _x000a_ Experiencia_x000a_     de Usuario (UX): En el Reto 3, al seleccionar la opción 1, el programa_x000a_     pide los 7 datos y automáticamente los imprime ordenados. Sería_x000a_     mejor separar el &quot;Ingreso&quot; del &quot;Reporte&quot;, tal como lo_x000a_     hicieron en el Reto 1, para darle más control al usuario.  Motivación: _x000a_Tienen una base técnica muy fuerte. El uso de zip() demuestra que están_x000a_investigando y yendo más allá de lo básico. Sigan cultivando esa curiosidad_x000a_técnica, porque es lo que diferencia a un programador promedio de uno_x000a_excelente. ¡Buen trabajo!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claros y coherentes con el código_x000a_  entregado. _x000a_  _x000a_  _x000a_  10.0 _x000a_  _x000a_  _x000a_  10.0 _x000a_  _x000a_ _x000a_ _x000a_  _x000a_  Funcionalidad Python _x000a_  _x000a_  _x000a_  Código funcional, sin errores de sintaxis y con menús_x000a_  interactivos robustos. _x000a_  _x000a_  _x000a_  15.0 _x000a_  _x000a_  _x000a_  15.0 _x000a_  _x000a_ _x000a_ _x000a_  _x000a_  Manejo de Datos _x000a_  _x000a_  _x000a_  Uso avanzado de listas (incluyendo zip y clear) y ciclos for_x000a_  correctos. _x000a_  _x000a_  _x000a_  15.0 _x000a_  _x000a_  _x000a_  15.0 _x000a_  _x000a_ _x000a_ _x000a_  _x000a_  Git &amp;amp; GitHub _x000a_  _x000a_  _x000a_  (No evaluado por tiempos de clase - Se otorga el_x000a_  puntaje base). _x000a_  _x000a_  _x000a_  10.0 _x000a_  _x000a_  _x000a_  10.0 _x000a_  _x000a_ _x000a_ _x000a_  _x000a_  TOTAL _x000a_  _x000a_  _x000a_  _x000a_  50.0 _x000a_  _x000a_  _x000a_  50.0 _x000a_  _x000a_ Diego Mauricio Zuluaga Rodríguez _x000a_Profesor - Departamento de Economía _x000a_Universidad de La Sabana"/>
    <n v="50"/>
    <n v="50"/>
    <n v="1"/>
  </r>
  <r>
    <x v="30"/>
    <s v="Valeria"/>
    <s v="Morales"/>
    <s v="valeriamor@unisabana.edu.co"/>
    <x v="18"/>
    <d v="2026-02-25T00:00:00"/>
    <x v="7"/>
    <s v="Entregado"/>
    <s v="Retroalimentación de la Entrega: Taller Corte 1 - MVP del_x000a_Emprendedor  Grupo: Paula Andrea Arciniegas Cárdenas, Valeria_x000a_Morales. Startup: LogicFlow  Calificación Final: 50/50 (Equivalente a 5.0) (Nota: El puntaje base obtenido fue de 46/50. Se aplicó el bono de +5 puntos_x000a_por la implementación exitosa de Git/GitHub, alcanzando el tope máximo de_x000a_50/50).  Comentarios del Profesor: Equipo LogicFlow, han presentado un proyecto muy sólido. Han_x000a_demostrado una excelente capacidad para resolver problemas lógicos y_x000a_estructurar un portafolio profesional que resalta sus perfiles como analistas y_x000a_desarrolladoras.  Puntos a destacar (Lo excelente): _x000a_ Portafolio_x000a_     Profesional (GitHub): El archivo README.md es impecable. Definir el_x000a_     contexto de la Startup y explicar cómo cada reto aporta a la toma de_x000a_     decisiones en Colombia demuestra una gran visión de negocio. Además,_x000a_     lograron implementar Git y GitHub, obteniendo el bono de +5 puntos. _x000a_ Nivel_x000a_     Avanzado en Reto 1: El uso de una lista de diccionarios (paquetes.append({&quot;peso&quot;:_x000a_     peso...})) y la función lambda para ordenar con .sort(key=lambda x:_x000a_     x[&quot;peso&quot;]) es código de nivel intermedio-avanzado. ¡Excelente_x000a_     investigación autónoma! _x000a_ Manejo_x000a_     de Errores (UX): En el Reto 1, la implementación de try/except para_x000a_     evitar que el programa colapse si el usuario ingresa letras en lugar de_x000a_     números es una práctica de programación defensiva muy profesional.  Oportunidades de Mejora (Sanity Check y Autogestión): _x000a_ Estructura_x000a_     General (Reto 3): La rúbrica exigía que todos los retos_x000a_     tuvieran un Menú Interactivo (while). El Reto 1 lo tiene perfecto, pero el_x000a_     Reto 3 se ejecuta de forma lineal y termina. En el mundo real, un usuario_x000a_     necesita poder realizar varios análisis sin tener que reiniciar la_x000a_     aplicación. _x000a_ &quot;Pythonic_x000a_     Way&quot; (Reto 3): En el Reto 3 inicializaron la lista con ceros trm_x000a_     =[0,0,0,0,0,0,0] y luego reemplazaron los valores por índice trm[i] =_x000a_     trm_dia. Aunque funciona (lógica de lenguajes como C o Java), en Python la_x000a_     mejor práctica es iniciar una lista vacía trm =[] y usar el método .append(trm_dia). _x000a_ Declaración_x000a_     de Tipos: En el Reto 3 escribieron valor_maximo = float. En Python,_x000a_     esto asigna el objeto tipo float a la variable, lo cual es_x000a_     innecesario porque en la siguiente línea lo sobrescriben con trm[0]._x000a_     Python es de tipado dinámico, no necesitan declarar el tipo de la variable_x000a_     antes de usarla.  Motivación: _x000a_Tienen un pensamiento analítico muy fuerte y una excelente presentación de_x000a_resultados. Ajustando esos pequeños detalles de estructura y aprovechando al_x000a_máximo las herramientas nativas de Python, estarán listas para construir_x000a_modelos financieros y logísticos muy potentes. ¡Excelente preparación para el_x000a_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presentes y coherentes_x000a_  con la lógica implementada. _x000a_  _x000a_  _x000a_  10.0 _x000a_  _x000a_  _x000a_  10.0 _x000a_  _x000a_ _x000a_ _x000a_  _x000a_  Funcionalidad Python _x000a_  _x000a_  _x000a_  Reto 1 impecable. Penalización leve: El Reto 3_x000a_  carece del menú interactivo (while) exigido en la rúbrica general. _x000a_  _x000a_  _x000a_  15.0 _x000a_  _x000a_  _x000a_  13.0 _x000a_  _x000a_ _x000a_ _x000a_  _x000a_  Manejo de Datos _x000a_  _x000a_  _x000a_  Excelente uso de diccionarios y .sort() en Reto 1. Penalización_x000a_  leve: Uso poco convencional de listas en Reto 3 y ausencia de .sort(). _x000a_  _x000a_  _x000a_  15.0 _x000a_  _x000a_  _x000a_  13.0 _x000a_  _x000a_ _x000a_ _x000a_  _x000a_  Git &amp;amp; GitHub _x000a_  _x000a_  _x000a_  Repositorio público excelente y README.md con contexto de_x000a_  negocio re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TOTAL _x000a_  _x000a_  _x000a_  (Tope máximo de 50 puntos) _x000a_  _x000a_  _x000a_  50.0 _x000a_  _x000a_  _x000a_  50.0 _x000a_  _x000a_ Diego Mauricio Zuluaga Rodríguez _x000a_Profesor - Departamento de Economía _x000a_Universidad de La Sabana"/>
    <n v="50"/>
    <n v="50"/>
    <n v="1"/>
  </r>
  <r>
    <x v="31"/>
    <s v="Samantha"/>
    <s v="Vanegas Russi"/>
    <s v="samanthavaru@unisabana.edu.co"/>
    <x v="18"/>
    <d v="2026-02-25T00:00:00"/>
    <x v="7"/>
    <s v="Entregado"/>
    <s v="Retroalimentación de la Entrega: Taller Corte 1 - MVP del_x000a_Emprendedor  Grupo: Avril Ariza, Samantha Vanegas. Proyectos: ModaPlus (Reto 4) y Nómina-Express (Reto 5).  Calificación Final: 41/50 (Equivalente a 4.1) (Nota: Se aplicó un bono de +5 puntos por la implementación autónoma de_x000a_Git/GitHub. El puntaje base fue 36/50).  Comentarios del Profesor: Equipo, han presentado un trabajo con un nivel de detalle_x000a_visual y matemático muy interesante. La forma en que estructuraron las salidas_x000a_en consola (tablas, resúmenes, f-strings) demuestra un gran esfuerzo por_x000a_entregar un producto amigable para el usuario final.  Puntos a destacar (Lo excelente): _x000a_ Portafolio_x000a_     Profesional (GitHub): El archivo README.md es claro y cumple con el_x000a_     objetivo. Además, lograron implementar Git y GitHub por su cuenta, lo cual_x000a_     demuestra una excelente capacidad de investigación y les otorga el bono de_x000a_     +5 puntos. _x000a_ Formato_x000a_     de Salida (UX): La presentación de los desprendibles de pago y el_x000a_     reporte de clientes es de nivel avanzado. El uso de espaciados (:&amp;lt;15, :8.0f)_x000a_     hace que la consola se vea como un software real. _x000a_ Lógica_x000a_     Algorítmica: Implementar un &quot;Método Burbuja&quot; (Bubble Sort)_x000a_     manual con ciclos for anidados en el Reto 4 es una muestra de pensamiento_x000a_     lógico avanzado. ¡Muy bien pensado!  Oportunidades de Mejora (Sanity Check y Autogestión): _x000a_ El_x000a_     Menú Interactivo (while): Este era un requerimiento obligatorio de la_x000a_     rúbrica general. Su código se ejecuta de forma lineal (de arriba a abajo)_x000a_     y termina. No implementaron el menú interactivo con el ciclo while que_x000a_     permitiera al usuario elegir opciones sin que el programa se cerrara. _x000a_ Coherencia_x000a_     Diseño vs. Código: En su archivo pseudocodigo.txt y en el diagrama de_x000a_     flujo, ustedes planearon perfectamente el menú (Mientras el usuario no_x000a_     elija salir: Mostrar menú...). Sin embargo, no lo programaron en Python._x000a_     Recuerden la regla de oro: el diseño debe coincidir exactamente con el_x000a_     producto final. _x000a_ Seguimiento_x000a_     de Instrucciones (.sort() y Categorías): _x000a_ _x000a_  Aunque_x000a_      su método burbuja es genial, la rúbrica exigía evaluar su capacidad para_x000a_      usar el método nativo .sort(). En el mundo laboral, reinventar la rueda_x000a_      puede costar tiempo valioso; debemos usar las herramientas integradas del_x000a_      lenguaje. _x000a_  En_x000a_      el Reto 4, omitieron la categoría &quot;Plata&quot;. Su código clasifica_x000a_      todo lo menor a $500.000 como &quot;Bronce&quot;, saltándose la regla de_x000a_      negocio del cliente. _x000a_ Motivación: _x000a_Tienen una capacidad excelente para estructurar datos y presentarlos de forma_x000a_profesional. El siguiente paso para alcanzar la excelencia es asegurar que_x000a_cumplen estrictamente con los requerimientos técnicos del cliente (la rúbrica)_x000a_y que su planeación se refleje 100% en su código. ¡Sigan adelante, tienen un_x000a_gran potencial para el análisis de datos!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Entregaron pseudocódigo y diagrama. Penalización:_x000a_  El diseño plantea un menú while que no fue implementado en el código final_x000a_  (Falla en Sanity Check). _x000a_  _x000a_  _x000a_  10.0 _x000a_  _x000a_  _x000a_  6.0 _x000a_  _x000a_ _x000a_ _x000a_  _x000a_  Funcionalidad Python _x000a_  _x000a_  _x000a_  Código sin errores y cálculos correctos. Penalización:_x000a_  Ausencia total del ciclo while (Menú interactivo) y omisión de la categoría_x000a_  &quot;Plata&quot; en Reto 4. _x000a_  _x000a_  _x000a_  15.0 _x000a_  _x000a_  _x000a_  9.0 _x000a_  _x000a_ _x000a_ _x000a_  _x000a_  Manejo de Datos _x000a_  _x000a_  _x000a_  Excelente uso de listas y ciclos for. Penalización:_x000a_  No se utilizó el método .sort() solicitado en la rúbrica. _x000a_  _x000a_  _x000a_  15.0 _x000a_  _x000a_  _x000a_  11.0 _x000a_  _x000a_ _x000a_ _x000a_  _x000a_  Git &amp;amp; GitHub _x000a_  _x000a_  _x000a_  Repositorio público configurado correctamente y README.md_x000a_  funcional. _x000a_  _x000a_  _x000a_  10.0 _x000a_  _x000a_  _x000a_  10.0 _x000a_  _x000a_ _x000a_ _x000a_  _x000a_  Bono Extra _x000a_  _x000a_  _x000a_  Implementación exitosa de Git/GitHub (Tema de_x000a_  investigación autónoma). _x000a_  _x000a_  _x000a_  + 5.0 _x000a_  _x000a_  _x000a_  + 5.0 _x000a_  _x000a_ _x000a_ _x000a_  _x000a_  TOTAL _x000a_  _x000a_  _x000a_  _x000a_  50.0 _x000a_  _x000a_  _x000a_  41.0 _x000a_  _x000a_ Diego Mauricio Zuluaga Rodríguez _x000a_Profesor - Departamento de Economía _x000a_Universidad de La Sabana"/>
    <n v="41"/>
    <n v="50"/>
    <n v="0.82"/>
  </r>
  <r>
    <x v="32"/>
    <s v="Juan Jose"/>
    <s v="Caballero Mantilla"/>
    <s v="juancabma@unisabana.edu.co"/>
    <x v="18"/>
    <d v="2026-02-25T00:00:00"/>
    <x v="7"/>
    <s v="Entregado"/>
    <s v="Retroalimentación de la Entrega: Taller Corte 1 - MVP del_x000a_Emprendedor  Grupo: Juan Jose Caballero Mantilla, Daniel Camilo_x000a_Lopez Piraquive, Martin Martin Trujillo Rodriguez. Proyecto: LogiChef Solutions (Logística y Gastronomía)  Calificación Final: 40/50 (Equivalente a 4.0 / 5.0) (Nota: Se aplicó un bono de +5 puntos por el uso de GitHub. Hubo descuentos_x000a_por no cumplir con el ingreso dinámico de datos y requerimientos incompletos).  Comentarios del Profesor: Equipo, he revisado su repositorio y su código. Tienen una_x000a_base estructurada muy interesante y destaco su iniciativa para investigar temas_x000a_avanzados, pero han descuidado requerimientos explícitos de la rúbrica, lo cual_x000a_es un fallo crítico en la autogestión.  Puntos a destacar (Lo excelente): _x000a_ Planeación_x000a_     y Diseño: Entregaron el diagrama de flujo y el pseudocódigo en la_x000a_     carpeta design/. Esto demuestra que hicieron el trabajo de pensar la_x000a_     lógica antes de programar, cumpliendo con el estándar del curso. _x000a_ Portafolio_x000a_     Profesional (GitHub): Su archivo README.md es claro y va al punto._x000a_     Además, lograron implementar Git y GitHub por su cuenta, lo cual demuestra_x000a_     una excelente capacidad de investigación y les otorga el bono de +5_x000a_     puntos. _x000a_ Estructura_x000a_     Avanzada: Utilizaron funciones (def) para separar la lógica de cada_x000a_     módulo. Aunque no lo hemos visto a profundidad en clase, es una excelente_x000a_     práctica de ingeniería de software.  Oportunidades de Mejora (Autogestión y Sanity Check): _x000a_ Ingreso_x000a_     de Datos (Fallo Crítico): La rúbrica exigía explícitamente: &quot;Deben_x000a_     permitir al usuario ingresar al menos 5 registros usando input()&quot;._x000a_     Ustedes &quot;quemaron&quot; (hardcoded) los datos directamente en el_x000a_     código (ej. pesos = [0.5, 3, 12, 8, 15]). Un MVP debe ser dinámico; si el_x000a_     cliente no puede ingresar sus propios datos, el software no es funcional_x000a_     para el mundo real. _x000a_ Requerimientos_x000a_     Incompletos: Aunque estructuraron dos módulos, la entrega se considera_x000a_     incompleta frente a lo solicitado (equivalente a haber realizado solo 1 de_x000a_     los 2 retos a cabalidad). Por ejemplo, en el módulo de Gastronomía_x000a_     omitieron el requerimiento de mostrar la lista de ingredientes ordenada_x000a_     del más caro al más barato usando .sort(). _x000a_ Uso_x000a_     de .append(): Al tener los datos fijos desde el inicio, perdieron la_x000a_     oportunidad de demostrar el uso de .append() dentro de un ciclo for para_x000a_     llenar las listas dinámicamente, que era uno de los objetivos de_x000a_     aprendizaje del taller.  Motivación: _x000a_Tienen una capacidad técnica muy buena y la iniciativa para aprender por su_x000a_cuenta es su mayor fortaleza. Sin embargo, en el mundo laboral, el cliente no_x000a_solo evalúa qué tan sofisticado es el código, sino si cumple exactamente con lo_x000a_que pidió. Espero que la retroalimentación de este taller y los aprendizajes_x000a_obtenidos les hayan sido de gran utilidad para el Parcial 1 que ya presentamos._x000a_¡A seguir mejorando para el segundo cor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10.0: Entrega correcta del pseudocódigo y diagrama_x000a_  de flujo en la carpeta design/. _x000a_  _x000a_  _x000a_  10.0 _x000a_  _x000a_  _x000a_  10.0 _x000a_  _x000a_ _x000a_ _x000a_  _x000a_  Funcionalidad Python _x000a_  _x000a_  _x000a_  7.5: El menú while funciona bien, pero se penaliza_x000a_  fuertemente la ausencia de input() para el ingreso dinámico de datos. _x000a_  _x000a_  _x000a_  15.0 _x000a_  _x000a_  _x000a_  7.5 _x000a_  _x000a_ _x000a_ _x000a_  _x000a_  Manejo de Datos _x000a_  _x000a_  _x000a_  7.5: Uso de listas y ciclos for. Se penaliza por no_x000a_  usar .sort() en el reto de Gastronomía y por no llenar las listas_x000a_  dinámicamente. _x000a_  _x000a_  _x000a_  15.0 _x000a_  _x000a_  _x000a_  7.5 _x000a_  _x000a_ _x000a_ _x000a_  _x000a_  Git &amp;amp; GitHub _x000a_  _x000a_  _x000a_  10.0: Repositorio público configurado correctamente_x000a_  y README.md profesional.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33"/>
    <s v="Daniel Camilo"/>
    <s v="Lopez Piraquive"/>
    <s v="danielloppi@unisabana.edu.co"/>
    <x v="18"/>
    <d v="2026-02-25T00:00:00"/>
    <x v="7"/>
    <s v="Entregado"/>
    <s v="Retroalimentación de la Entrega: Taller Corte 1 - MVP del_x000a_Emprendedor  Grupo: Juan Jose Caballero Mantilla, Daniel Camilo_x000a_Lopez Piraquive, Martin Martin Trujillo Rodriguez. Proyecto: LogiChef Solutions (Logística y Gastronomía)  Calificación Final: 40/50 (Equivalente a 4.0 / 5.0) (Nota: Se aplicó un bono de +5 puntos por el uso de GitHub. Hubo descuentos_x000a_por no cumplir con el ingreso dinámico de datos y requerimientos incompletos).  Comentarios del Profesor: Equipo, he revisado su repositorio y su código. Tienen una_x000a_base estructurada muy interesante y destaco su iniciativa para investigar temas_x000a_avanzados, pero han descuidado requerimientos explícitos de la rúbrica, lo cual_x000a_es un fallo crítico en la autogestión.  Puntos a destacar (Lo excelente): _x000a_ Planeación_x000a_     y Diseño: Entregaron el diagrama de flujo y el pseudocódigo en la_x000a_     carpeta design/. Esto demuestra que hicieron el trabajo de pensar la_x000a_     lógica antes de programar, cumpliendo con el estándar del curso. _x000a_ Portafolio_x000a_     Profesional (GitHub): Su archivo README.md es claro y va al punto._x000a_     Además, lograron implementar Git y GitHub por su cuenta, lo cual demuestra_x000a_     una excelente capacidad de investigación y les otorga el bono de +5_x000a_     puntos. _x000a_ Estructura_x000a_     Avanzada: Utilizaron funciones (def) para separar la lógica de cada_x000a_     módulo. Aunque no lo hemos visto a profundidad en clase, es una excelente_x000a_     práctica de ingeniería de software.  Oportunidades de Mejora (Autogestión y Sanity Check): _x000a_ Ingreso_x000a_     de Datos (Fallo Crítico): La rúbrica exigía explícitamente: &quot;Deben_x000a_     permitir al usuario ingresar al menos 5 registros usando input()&quot;._x000a_     Ustedes &quot;quemaron&quot; (hardcoded) los datos directamente en el_x000a_     código (ej. pesos = [0.5, 3, 12, 8, 15]). Un MVP debe ser dinámico; si el_x000a_     cliente no puede ingresar sus propios datos, el software no es funcional_x000a_     para el mundo real. _x000a_ Requerimientos_x000a_     Incompletos: Aunque estructuraron dos módulos, la entrega se considera_x000a_     incompleta frente a lo solicitado (equivalente a haber realizado solo 1 de_x000a_     los 2 retos a cabalidad). Por ejemplo, en el módulo de Gastronomía_x000a_     omitieron el requerimiento de mostrar la lista de ingredientes ordenada_x000a_     del más caro al más barato usando .sort(). _x000a_ Uso_x000a_     de .append(): Al tener los datos fijos desde el inicio, perdieron la_x000a_     oportunidad de demostrar el uso de .append() dentro de un ciclo for para_x000a_     llenar las listas dinámicamente, que era uno de los objetivos de_x000a_     aprendizaje del taller.  Motivación: _x000a_Tienen una capacidad técnica muy buena y la iniciativa para aprender por su_x000a_cuenta es su mayor fortaleza. Sin embargo, en el mundo laboral, el cliente no_x000a_solo evalúa qué tan sofisticado es el código, sino si cumple exactamente con lo_x000a_que pidió. Espero que la retroalimentación de este taller y los aprendizajes_x000a_obtenidos les hayan sido de gran utilidad para el Parcial 1 que ya presentamos._x000a_¡A seguir mejorando para el segundo cor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10.0: Entrega correcta del pseudocódigo y diagrama_x000a_  de flujo en la carpeta design/. _x000a_  _x000a_  _x000a_  10.0 _x000a_  _x000a_  _x000a_  10.0 _x000a_  _x000a_ _x000a_ _x000a_  _x000a_  Funcionalidad Python _x000a_  _x000a_  _x000a_  7.5: El menú while funciona bien, pero se penaliza_x000a_  fuertemente la ausencia de input() para el ingreso dinámico de datos. _x000a_  _x000a_  _x000a_  15.0 _x000a_  _x000a_  _x000a_  7.5 _x000a_  _x000a_ _x000a_ _x000a_  _x000a_  Manejo de Datos _x000a_  _x000a_  _x000a_  7.5: Uso de listas y ciclos for. Se penaliza por no_x000a_  usar .sort() en el reto de Gastronomía y por no llenar las listas_x000a_  dinámicamente. _x000a_  _x000a_  _x000a_  15.0 _x000a_  _x000a_  _x000a_  7.5 _x000a_  _x000a_ _x000a_ _x000a_  _x000a_  Git &amp;amp; GitHub _x000a_  _x000a_  _x000a_  10.0: Repositorio público configurado correctamente_x000a_  y README.md profesional.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34"/>
    <s v="Gabriela"/>
    <s v="Ruiz Perez"/>
    <s v="gabrielarupe@unisabana.edu.co"/>
    <x v="18"/>
    <d v="2026-02-25T00:00:00"/>
    <x v="7"/>
    <s v="Entregado"/>
    <s v="Retroalimentación de la Entrega: Taller Corte 1 - MVP del_x000a_Emprendedor  Grupo: Alessandro Di Mauro Bonilla Correa, Maria Jose_x000a_Huertas Osorio, Gabriela Ruiz Perez. Proyecto: No registrado.  Calificación Final: 0.0 / 50 (Equivalente a 0.0)  Comentarios del Profesor: Lamento informar que, al cierre del buzón el pasado miércoles_x000a_25 de febrero a las 16:00, no se encontró registro de su entrega en la_x000a_plataforma Microsoft Teams ni se recibió el vínculo de su repositorio en_x000a_GitHub.  Análisis de Autogestión: _x000a_Uno de los pilares fundamentales de este curso y del Departamento de Economía_x000a_es la Autogestión. Esto implica la organización del tiempo y el_x000a_cumplimiento estricto de los cronogramas establecidos en el Syllabus. En un_x000a_entorno profesional y de emprendimiento, el incumplimiento de un deadline_x000a_para la entrega de un MVP (Producto Mínimo Viable) conlleva la pérdida de_x000a_credibilidad y de oportunidades de inversión.  Impacto Académico: _x000a_Esta nota corresponde al 30% de la calificación del primer corte. La_x000a_ausencia de este entregable afecta significativamente su promedio actual.  Motivación y Próximos Pasos: _x000a_El semestre apenas comienza. Los invito a reflexionar sobre los métodos de_x000a_estudio y organización que están utilizando como grupo. Tienen el Parcial_x000a_(50%) y las próximas actividades para demostrar su compromiso y nivel_x000a_técnico. No permitan que este resultado defina su desempeño en el resto del_x000a_semestre; utilícenlo como un motor para mejorar su planeación y asegurar que_x000a_todas las entregas futuras se realicen con antelación.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No se entregó evidencia de planeación. _x000a_  _x000a_  _x000a_  10.0 _x000a_  _x000a_  _x000a_  0.0 _x000a_  _x000a_ _x000a_ _x000a_  _x000a_  Funcionalidad Python _x000a_  _x000a_  _x000a_  No se entregó código funcional. _x000a_  _x000a_  _x000a_  15.0 _x000a_  _x000a_  _x000a_  0.0 _x000a_  _x000a_ _x000a_ _x000a_  _x000a_  Manejo de Datos _x000a_  _x000a_  _x000a_  No se entregó evidencia de manejo de listas/ciclos. _x000a_  _x000a_  _x000a_  15.0 _x000a_  _x000a_  _x000a_  0.0 _x000a_  _x000a_ _x000a_ _x000a_  _x000a_  Git &amp;amp; GitHub _x000a_  _x000a_  _x000a_  No se registró repositorio profesional. _x000a_  _x000a_  _x000a_  10.0 _x000a_  _x000a_  _x000a_  0.0 _x000a_  _x000a_ _x000a_ _x000a_  _x000a_  TOTAL _x000a_  _x000a_  _x000a_  _x000a_  50.0 _x000a_  _x000a_  _x000a_  0.0 _x000a_  _x000a_ Diego Mauricio Zuluaga Rodríguez _x000a_Profesor - Departamento de Economía _x000a_Universidad de La Sabana"/>
    <n v="0"/>
    <n v="50"/>
    <n v="0"/>
  </r>
  <r>
    <x v="35"/>
    <s v="Juan Sebastian"/>
    <s v="Perdomo Herrera"/>
    <s v="juanperhe@unisabana.edu.co"/>
    <x v="18"/>
    <d v="2026-02-25T00:00:00"/>
    <x v="7"/>
    <s v="Entregado"/>
    <s v="Retroalimentación de la Entrega: Taller Corte 1 - MVP del_x000a_Emprendedor  Calificación: 0.0 / 50  Retroalimentación: _x000a_No se encontró registro de entrega en la plataforma Microsoft Teams ni el_x000a_vínculo al repositorio de GitHub solicitado. Según el cronograma oficial y las_x000a_instrucciones dadas, el plazo máximo de entrega venció el miércoles 25 de_x000a_febrero a las 16:00, previo al inicio del primer parcial. Al no existir_x000a_evidencia del trabajo, no es posible aplicar la rúbrica de evaluación.  Motivación: _x000a_Este resultado impacta el 30% de tu nota del primer corte; sin embargo, el_x000a_semestre apenas comienza. Te invito a reflexionar sobre tu proceso de autogestión_x000a_y organización del tiempo. Quedan por delante el Corte 2 y el Corte 3 (70%_x000a_restante del semestre), donde tienes la oportunidad de demostrar tu compromiso_x000a_y habilidades técnicas. Asegúrate de cumplir con las fechas establecidas en el_x000a_Syllabus para evitar futuras penalizaciones. Diego Mauricio Zuluaga Rodríguez _x000a_Profesor - Departamento de Economía _x000a_Universidad de La Sabana"/>
    <n v="0"/>
    <n v="50"/>
    <n v="0"/>
  </r>
  <r>
    <x v="36"/>
    <s v="Martin Martin"/>
    <s v="Trujillo Rodriguez"/>
    <s v="martintrro@unisabana.edu.co"/>
    <x v="18"/>
    <d v="2026-02-25T00:00:00"/>
    <x v="7"/>
    <s v="Entregado"/>
    <s v="Retroalimentación de la Entrega: Taller Corte 1 - MVP del_x000a_Emprendedor  Grupo: Juan Jose Caballero Mantilla, Daniel Camilo_x000a_Lopez Piraquive, Martin Martin Trujillo Rodriguez. Proyecto: LogiChef Solutions (Logística y Gastronomía)  Calificación Final: 40/50 (Equivalente a 4.0 / 5.0) (Nota: Se aplicó un bono de +5 puntos por el uso de GitHub. Hubo descuentos_x000a_por no cumplir con el ingreso dinámico de datos y requerimientos incompletos).  Comentarios del Profesor: Equipo, he revisado su repositorio y su código. Tienen una_x000a_base estructurada muy interesante y destaco su iniciativa para investigar temas_x000a_avanzados, pero han descuidado requerimientos explícitos de la rúbrica, lo cual_x000a_es un fallo crítico en la autogestión.  Puntos a destacar (Lo excelente): _x000a_ Planeación_x000a_     y Diseño: Entregaron el diagrama de flujo y el pseudocódigo en la_x000a_     carpeta design/. Esto demuestra que hicieron el trabajo de pensar la_x000a_     lógica antes de programar, cumpliendo con el estándar del curso. _x000a_ Portafolio_x000a_     Profesional (GitHub): Su archivo README.md es claro y va al punto._x000a_     Además, lograron implementar Git y GitHub por su cuenta, lo cual demuestra_x000a_     una excelente capacidad de investigación y les otorga el bono de +5_x000a_     puntos. _x000a_ Estructura_x000a_     Avanzada: Utilizaron funciones (def) para separar la lógica de cada_x000a_     módulo. Aunque no lo hemos visto a profundidad en clase, es una excelente_x000a_     práctica de ingeniería de software.  Oportunidades de Mejora (Autogestión y Sanity Check): _x000a_ Ingreso_x000a_     de Datos (Fallo Crítico): La rúbrica exigía explícitamente: &quot;Deben_x000a_     permitir al usuario ingresar al menos 5 registros usando input()&quot;._x000a_     Ustedes &quot;quemaron&quot; (hardcoded) los datos directamente en el_x000a_     código (ej. pesos = [0.5, 3, 12, 8, 15]). Un MVP debe ser dinámico; si el_x000a_     cliente no puede ingresar sus propios datos, el software no es funcional_x000a_     para el mundo real. _x000a_ Requerimientos_x000a_     Incompletos: Aunque estructuraron dos módulos, la entrega se considera_x000a_     incompleta frente a lo solicitado (equivalente a haber realizado solo 1 de_x000a_     los 2 retos a cabalidad). Por ejemplo, en el módulo de Gastronomía_x000a_     omitieron el requerimiento de mostrar la lista de ingredientes ordenada_x000a_     del más caro al más barato usando .sort(). _x000a_ Uso_x000a_     de .append(): Al tener los datos fijos desde el inicio, perdieron la_x000a_     oportunidad de demostrar el uso de .append() dentro de un ciclo for para_x000a_     llenar las listas dinámicamente, que era uno de los objetivos de_x000a_     aprendizaje del taller.  Motivación: _x000a_Tienen una capacidad técnica muy buena y la iniciativa para aprender por su_x000a_cuenta es su mayor fortaleza. Sin embargo, en el mundo laboral, el cliente no_x000a_solo evalúa qué tan sofisticado es el código, sino si cumple exactamente con lo_x000a_que pidió. Espero que la retroalimentación de este taller y los aprendizajes_x000a_obtenidos les hayan sido de gran utilidad para el Parcial 1 que ya presentamos._x000a_¡A seguir mejorando para el segundo corte!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10.0: Entrega correcta del pseudocódigo y diagrama_x000a_  de flujo en la carpeta design/. _x000a_  _x000a_  _x000a_  10.0 _x000a_  _x000a_  _x000a_  10.0 _x000a_  _x000a_ _x000a_ _x000a_  _x000a_  Funcionalidad Python _x000a_  _x000a_  _x000a_  7.5: El menú while funciona bien, pero se penaliza_x000a_  fuertemente la ausencia de input() para el ingreso dinámico de datos. _x000a_  _x000a_  _x000a_  15.0 _x000a_  _x000a_  _x000a_  7.5 _x000a_  _x000a_ _x000a_ _x000a_  _x000a_  Manejo de Datos _x000a_  _x000a_  _x000a_  7.5: Uso de listas y ciclos for. Se penaliza por no_x000a_  usar .sort() en el reto de Gastronomía y por no llenar las listas_x000a_  dinámicamente. _x000a_  _x000a_  _x000a_  15.0 _x000a_  _x000a_  _x000a_  7.5 _x000a_  _x000a_ _x000a_ _x000a_  _x000a_  Git &amp;amp; GitHub _x000a_  _x000a_  _x000a_  10.0: Repositorio público configurado correctamente_x000a_  y README.md profesional. _x000a_  _x000a_  _x000a_  10.0 _x000a_  _x000a_  _x000a_  10.0 _x000a_  _x000a_ _x000a_ _x000a_  _x000a_  Bono Extra _x000a_  _x000a_  _x000a_  +5.0: Implementación exitosa de GitHub y entrega_x000a_  del vínculo. _x000a_  _x000a_  _x000a_  + 5.0 _x000a_  _x000a_  _x000a_  + 5.0 _x000a_  _x000a_ _x000a_ _x000a_  _x000a_  TOTAL _x000a_  _x000a_  _x000a_  _x000a_  50.0 _x000a_  _x000a_  _x000a_  40.0 _x000a_  _x000a_ Diego Mauricio Zuluaga Rodríguez _x000a_Profesor - Departamento de Economía _x000a_Universidad de La Sabana"/>
    <n v="40"/>
    <n v="50"/>
    <n v="0.8"/>
  </r>
  <r>
    <x v="37"/>
    <s v="Alan David"/>
    <s v="Rossoff Vanegas"/>
    <s v="alanrova@unisabana.edu.co"/>
    <x v="18"/>
    <d v="2026-02-25T00:00:00"/>
    <x v="7"/>
    <s v="Entregado"/>
    <s v="Retroalimentación de la Entrega: Taller Corte 1 - MVP del_x000a_Emprendedor  Grupo: Lukas Blanco Llanes, Alan David Rossoff_x000a_Vanegas, Juan Sebastian Salas Hinojosa. Proyectos: Dolar-Track (Reto 3) y Nomina-Express (Reto 5).  El link de Alan David Rossoff Vanegas no es el correcto. Este es un link de Instagram. Se bajan 10 puntos. Calificación Final: 55/50 (Equivalente a 5.0 + 0.5 de_x000a_Bono) (Nota: Dado que el tema de Git/GitHub no se alcanzó a cubrir en clase, la_x000a_rúbrica base se califica sobre 10/10 automáticamente. Al haber investigado y_x000a_subido su proyecto a GitHub de forma proactiva, se les otorgan +5 puntos de_x000a_bono).  Comentarios del Profesor: Equipo, excelente trabajo. Han entregado un código robusto,_x000a_funcional y que demuestra un claro entendimiento de las estructuras de control_x000a_y el manejo de datos en Python. Actuaron como verdaderos CTOs al blindar su_x000a_aplicación contra errores de usuario.  Puntos a destacar (Lo excelente): _x000a_ Validación_x000a_     de Datos (Sanity Check): La implementación de los bloques try-except_x000a_     junto con el while True para asegurar que el usuario ingrese números_x000a_     válidos y mayores a cero es de nivel profesional. Esto evita que el_x000a_     programa colapse (crash) y mejora enormemente la experiencia de usuario_x000a_     (UX). _x000a_ Lógica_x000a_     y Diseño: Los diagramas de flujo y el pseudocódigo adjuntos en la_x000a_     carpeta design/ son coherentes con el código final. Planearon la solución_x000a_     antes de programarla. _x000a_ Estructuras_x000a_     de Control: Los menús interactivos funcionan a la perfección y la_x000a_     lógica matemática para calcular la volatilidad de la TRM y la nómina con_x000a_     horas extras es exacta.  Oportunidades de Mejora (Autogestión y Código): _x000a_ El_x000a_     Portafolio (Falta el README.md): Aunque subieron el proyecto a GitHub_x000a_     (lo cual es excelente y les dio el bono), omitieron crear el archivo README.md._x000a_     En el mundo del desarrollo y la ciencia de datos, un repositorio sin_x000a_     README es como un libro sin portada; los reclutadores no sabrán de qué_x000a_     trata su proyecto. Para el próximo corte, documenten su repositorio. _x000a_ Complejidad_x000a_     Innecesaria en el Ordenamiento: En el Reto 5 utilizaron zip() y_x000a_     funciones lambda (data.sort(key=lambda x: x[0].lower())). Es muy positivo_x000a_     que investiguen herramientas avanzadas, pero recuerden que si hubieran_x000a_     guardado los datos como una lista de listas [[nombre, horas]], un simple .sort()_x000a_     habría hecho el trabajo alfabéticamente sin necesidad de importar lógicas_x000a_     más complejas. A veces, la solución más simple es la mejor.  Motivación: _x000a_Tienen una base técnica muy sólida. Si mantienen este nivel de validación de_x000a_datos y mejoran la presentación comercial de sus repositorios (README), tendrán_x000a_un portafolio sumamente atractivo para el mercado laboral. ¡Sigan así y éxitos_x000a_en el parcial!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s de flujo y pseudocódigo entregados y coherentes_x000a_  con la lógica programada. _x000a_  _x000a_  _x000a_  10.0 _x000a_  _x000a_  _x000a_  10.0 _x000a_  _x000a_ _x000a_ _x000a_  _x000a_  Funcionalidad Python _x000a_  _x000a_  _x000a_  Uso impecable de while True para menús y validaciones try-except._x000a_  Lógica if/else correcta. _x000a_  _x000a_  _x000a_  15.0 _x000a_  _x000a_  _x000a_  15.0 _x000a_  _x000a_ _x000a_ _x000a_  _x000a_  Manejo de Datos _x000a_  _x000a_  _x000a_  Uso correcto de listas, ciclos for para cálculos_x000a_  (promedios/nómina) y ordenamiento. _x000a_  _x000a_  _x000a_  15.0 _x000a_  _x000a_  _x000a_  15.0 _x000a_  _x000a_ _x000a_ _x000a_  _x000a_  Git &amp;amp; GitHub (Base) _x000a_  _x000a_  _x000a_  Tema no evaluado obligatoriamente por tiempos de clase. Se_x000a_  otorga el puntaje base completo. _x000a_  _x000a_  _x000a_  10.0 _x000a_  _x000a_  _x000a_  10.0 _x000a_  _x000a_ _x000a_ _x000a_  _x000a_  Bono Autogestión _x000a_  _x000a_  _x000a_  Uso proactivo de GitHub para la entrega (+5 pts). Nota:_x000a_  Faltó el README.md, pero se otorga el bono por la iniciativa técnic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45"/>
    <n v="50"/>
    <n v="0.9"/>
  </r>
  <r>
    <x v="38"/>
    <s v="Diego Alejandro"/>
    <s v="Hermida Limas"/>
    <s v="diegoherli@unisabana.edu.co"/>
    <x v="18"/>
    <d v="2026-02-25T00:00:00"/>
    <x v="7"/>
    <s v="Entregado"/>
    <s v="Retroalimentación de la Entrega: Taller Corte 1 -_x000a_SmartFlow Solutions S.A.S.  Grupo: Mateo Pérez Daza, Simón Gustavo Restrepo_x000a_Álvarez, Diego Alejandro Hermida Limas. Proyecto: SmartFlow Solutions - Sistema de Logística y Fidelización  Calificación Final: 50/50 (Equivalente a 5.0) (Nota: Se otorga el bono de +5 puntos por la implementación proactiva de_x000a_Git/GitHub).  Comentarios del Profesor: Equipo, han presentado un trabajo de altísima calidad_x000a_técnica. Su enfoque en la estructura modular (usando funciones def dentro del_x000a_Notebook) demuestra un nivel de abstracción superior al promedio del curso.  Puntos a destacar (Lo excelente): _x000a_ Estructura_x000a_     Modular: A diferencia de la mayoría que programó todo en un bloque_x000a_     lineal, ustedes encapsularon la lógica en funciones (ingresar_datos, ver_reporte)._x000a_     Esto hace que el código sea mantenible y escalable. ¡Excelente práctica de_x000a_     ingeniería de software! _x000a_ Uso_x000a_     Avanzado de .sort(): La implementación de key=lambda x:_x000a_     x[&quot;peso&quot;] demuestra que investigaron cómo ordenar diccionarios_x000a_     complejos. Esto es mucho más robusto que depender solo de la posición en_x000a_     una lista. _x000a_ Manejo_x000a_     de Errores (try-except): Incluyeron bloques try-except para validar_x000a_     que el usuario ingrese números. Esto blinda su aplicación contra errores_x000a_     humanos (User Experience - UX), algo vital en un entorno empresarial real. _x000a_ Portafolio_x000a_     Profesional: El README.md de SmartFlow Solutions es impecable. Venden_x000a_     la idea de la startup antes de mostrar el código, lo cual es clave para un_x000a_     perfil de negocios.  Oportunidad de Mejora (Sanity Check): _x000a_ Lógica_x000a_     de Negocio (Reto 1): En la clasificación logística, su código dice: if peso &amp;lt; 1: tipo = &quot;Documento&quot; elif peso &amp;lt; 10: tipo = &quot;Paquetería&quot; else: tipo = &quot;Carga&quot; Pero luego calculan el costo fuera de esta estructura_x000a_(costo = peso * TARIFA_BASE). En la vida real, la &quot;Carga&quot; suele tener_x000a_una tarifa distinta a un &quot;Documento&quot;. Aunque el enunciado pedía Tarifa_x000a_base x Kg, para un futuro MVP consideren tarifas diferenciadas.  Motivación: _x000a_Ustedes ya están programando con mentalidad de desarrolladores (funciones,_x000a_lambdas, manejo de excepciones). Este nivel técnico les dará una ventaja_x000a_competitiva enorme en el mercado laboral. Sigan cultivando esa curiosidad_x000a_técnica.  Rúbrica de Calificación _x000a_ _x000a_  _x000a_  Criterio de Evaluación _x000a_  _x000a_  _x000a_  Descripción Técnica _x000a_  _x000a_  _x000a_  Puntaje Máximo _x000a_  _x000a_  _x000a_  Puntaje Obtenido _x000a_  _x000a_ _x000a_ _x000a_  _x000a_  Lógica y Diseño _x000a_  _x000a_  _x000a_  Diagrama de flujo claro y coherente con la estructura_x000a_  modular del código. _x000a_  _x000a_  _x000a_  10.0 _x000a_  _x000a_  _x000a_  10.0 _x000a_  _x000a_ _x000a_ _x000a_  _x000a_  Funcionalidad Python _x000a_  _x000a_  _x000a_  Código robusto con funciones, try-except y menús_x000a_  interactivos funcionales. _x000a_  _x000a_  _x000a_  15.0 _x000a_  _x000a_  _x000a_  15.0 _x000a_  _x000a_ _x000a_ _x000a_  _x000a_  Manejo de Datos _x000a_  _x000a_  _x000a_  Uso avanzado de diccionarios y ordenamiento con lambda. _x000a_  _x000a_  _x000a_  15.0 _x000a_  _x000a_  _x000a_  15.0 _x000a_  _x000a_ _x000a_ _x000a_  _x000a_  Git &amp;amp; GitHub _x000a_  _x000a_  _x000a_  Repositorio profesional con README.md de alta calidad_x000a_  (SmartFlow Solutions). _x000a_  _x000a_  _x000a_  10.0 _x000a_  _x000a_  _x000a_  10.0 _x000a_  _x000a_ _x000a_ _x000a_  _x000a_  Bono Extra _x000a_  _x000a_  _x000a_  Implementación exitosa de Git/GitHub (Investigación_x000a_  autónoma). _x000a_  _x000a_  _x000a_  + 5.0 _x000a_  _x000a_  _x000a_  + 5.0 _x000a_  _x000a_ _x000a_ _x000a_  _x000a_  TOTAL _x000a_  _x000a_  _x000a_  _x000a_  50.0 _x000a_  _x000a_  _x000a_  55.0 _x000a_  _x000a_ Diego Mauricio Zuluaga Rodríguez _x000a_Profesor - Departamento de Economía _x000a_Universidad de La Sabana"/>
    <n v="55"/>
    <n v="50"/>
    <n v="1.1000000000000001"/>
  </r>
  <r>
    <x v="0"/>
    <s v="Paula Andrea"/>
    <s v="Arciniegas Cardenas"/>
    <s v="paulaarcca@unisabana.edu.co"/>
    <x v="19"/>
    <d v="2026-02-17T00:00:00"/>
    <x v="8"/>
    <s v="Entregado"/>
    <s v="Retroalimentación de la Entrega: Calculadora de Divisas Calificación Final: 48/50 Comentarios del Profesor: Buen trabajo, Paula y Valeria. Han presentado una solución técnica muy sólida con un enfoque financiero interesante.Puntos Destacados:Lógica Financiera Superior: Me llamó la atención que utilizaran la paridad EUR/USD_x000a_ para calcular el valor en Euros a partir del resultado en Dólares. Esta_x000a_ es una lógica de mercado real (triangulación de divisas) que demuestra _x000a_que entienden el trasfondo económico del ejercicio, no solo la _x000a_programación.Impecable Formato de Salida: El uso de f-strings con :,.2f y los separadores visuales en la consola (============CONVERSIÓN============) hacen que el reporte sea profesional y fácil de leer para un usuario final.Documentación Precisa: Los comentarios explican claramente el porqué del uso de float(), lo cual evidencia que comprenden el concepto de Casting.Observación de Autogestión (Oportunidad de Mejora):Conformación del Grupo: Las instrucciones iniciales y el contrato pedagógico estipulaban el trabajo en grupos de 3 estudiantes._x000a_ En esta entrega solo figuran dos integrantes. Es vital seguir las _x000a_instrucciones de organización grupal para fomentar el trabajo _x000a_colaborativo completo. Por este detalle administrativo, se descuentan 2 _x000a_puntos en el criterio de estructura. Motivación:  Tienen_x000a_ un dominio técnico muy claro de los fundamentos vistos hasta ahora. Esa_x000a_ capacidad de aplicar &quot;lógica de paridad&quot; les será de gran utilidad en _x000a_el Parcial del 25 de febrero. Sigan así, cuidando tanto el código como el cumplimiento de los lineamientos administrativos.Rúbrica de CalificaciónCriterio de EvaluaciónDescripciónPuntaje MáximoPuntaje ObtenidoUso de Casting (float)Conversión correcta de entradas a decimales.10.010.0Formato de SalidaUso de f-strings, separadores de miles y precisión decimal.10.010.0Markdown y EstructuraPresentación y nombres.10.010.0Funcionalidad y LógicaCálculos correctos. Excelente uso de paridad EUR/USD.10.010.0DocumentaciónComentarios claros y explicativos en el código.10.010.0TOTAL50.050.0Diego Mauricio Zuluaga Rodríguez Profesor - Departamento de Economía Universidad de La Sabana"/>
    <n v="50"/>
    <n v="50"/>
    <n v="1"/>
  </r>
  <r>
    <x v="1"/>
    <s v="Sofia"/>
    <s v="Giraldo Pico"/>
    <s v="sofiagipi@unisabana.edu.co"/>
    <x v="19"/>
    <d v="2026-02-17T00:00:00"/>
    <x v="8"/>
    <s v="Entregado"/>
    <s v="Retroalimentación de la Entrega: Calculadora de Divisas Calificación Final: 35/50 Comentarios del Profesor:  Equipo, han presentado un trabajo con una lógica de programación superior al promedio, integrando ciclos while y validación de errores con try-except, lo cual es excelente. Sin embargo, la calificación se ve afectada por el incumplimiento de instrucciones específicas y la falta de puntualidad.Puntos Fuertes:Lógica Avanzada: Implementar un menú interactivo y un sistema de validación de datos (try-except) demuestra que han profundizado en el material. El programa es robusto y no se &quot;rompe&quot; si el usuario ingresa texto en lugar de números.Uso de Casting: El manejo de float() es correcto y bien aplicado dentro de la validación.Oportunidades de Mejora (Puntos Críticos):Puntualidad (Autogestión): La tarea fue entregada con 14 horas de retraso. En este curso, la gestión del tiempo es una competencia fundamental. Este retraso conlleva una penalización directa en la nota final.Documentación: Las instrucciones solicitaban explícitamente &quot;documentar cada línea de código&quot;. Su script solo cuenta con un par de comentarios generales. La documentación es vital para el trabajo colaborativo.Formato de Salida: Aunque usaron round(), para perfiles de EICEA es indispensable usar el formato de f-strings con separadores de miles (:,.2f) para reportes financieros, tal como se practicó en clase. Motivación:  Tienen una capacidad técnica muy alta; el código funciona de manera impecable y la lógica es elegante. Si logran alinear ese talento con la disciplina en los tiempos de entrega y el seguimiento estricto de los requerimientos de formato, sus resultados serán sobresalientes. ¡Ajusten estos detalles para el parcial!Rúbrica de CalificaciónCriterio de EvaluaciónDescripciónPuntaje MáximoPuntaje ObtenidoUso de Casting (float)Uso correcto de conversión de datos con validación.10.010.0Formato de SalidaMensajes claros, aunque faltó el formato financiero de miles.10.08.0Markdown y NombresIdentificación del grupo y descripción correcta.10.010.0DocumentaciónIncumplimiento: No se documentó cada línea como se pidió.10.03.0Entrega OportunaPenalización: Entrega con 14 horas de retraso.10.04.0TOTAL50.035.0Diego Mauricio Zuluaga Rodríguez Profesor - Departamento de Economía Universidad de La Sabana"/>
    <n v="35"/>
    <n v="50"/>
    <n v="0.7"/>
  </r>
  <r>
    <x v="2"/>
    <s v="Valery"/>
    <s v="Linares Hernandez"/>
    <s v="valerylihe@unisabana.edu.co"/>
    <x v="19"/>
    <d v="2026-02-17T00:00:00"/>
    <x v="8"/>
    <s v="Entregado"/>
    <s v="Retroalimentación de la Entrega: Calculadora de DivisasCalificación Final: 42/50Comentarios del Profesor:Han presentado un trabajo con un nivel técnico sobresaliente, sin embargo, han fallado en aspectos fundamentales de autogestión y seguimiento de instrucciones que son críticos en este curso.Puntos Fuertes (Excelencia Técnica):El código es muy avanzado. Han implementado una función de normalización de números que maneja automáticamente puntos y comas, algo que supera las expectativas del ejercicio.El uso de try-except y bucles while para validar que el usuario no ingrese valores erróneos es una práctica profesional excelente.El formato de salida es impecable y muy claro.Oportunidades de Mejora (Autogestión y Reglas):Conformación del Grupo: La instrucción fue clara: &quot;actividad exclusiva en grupos de 3&quot;. Su entrega solo registra a 2 integrantes. El cumplimiento de las normas de equipo es parte de la evaluación.Atención al detalle (Markdown): El encabezado presenta errores ortográficos notables (&quot;Nuetsro&quot;, &quot;coaluladora&quot;). Como futuros profesionales de EICEA, la forma en que presentan sus reportes es tan importante como el código.Documentación: Aunque el código tiene comentarios, la instrucción pedía &quot;documentar cada línea de código&quot;. Hay bloques lógicos extensos sin comentarios intermedios.Motivación:Técnicamente tienen un potencial muy alto; la lógica de programación la dominan con fluidez. Para el parcial del 25 de febrero, les recomiendo enfocarse en la lectura minuciosa de los requerimientos. En el mundo de los negocios, un gran modelo con errores de forma o que no sigue los parámetros del cliente puede ser rechazado. ¡Sigan puliendo esa atención al detalle!Rúbrica de CalificaciónCriterio de EvaluaciónDescripciónPuntaje MáximoPuntaje ObtenidoUso de Casting (float)Uso avanzado y robusto de conversión de datos.10.010.0Formato de SalidaExcelente claridad y uso de f-strings profesionales.10.010.0Markdown y EstructuraPenalización: errores ortográficos.10.08.0Funcionalidad y LógicaEl script es impecable y maneja errores de usuario.10.010.0DocumentaciónComentarios presentes, pero no en cada línea como se solicitó.10.08.0TOTAL50.046.0Diego Mauricio Zuluaga RodríguezProfesor - Departamento de EconomíaUniversidad de La Sabana"/>
    <n v="46"/>
    <n v="50"/>
    <n v="0.92"/>
  </r>
  <r>
    <x v="3"/>
    <s v="Nicolas"/>
    <s v="Torres Calderon"/>
    <s v="nicolastorca@unisabana.edu.co"/>
    <x v="19"/>
    <d v="2026-02-17T00:00:00"/>
    <x v="8"/>
    <s v="Entregado"/>
    <s v="Retroalimentación de la Entrega: Calculadora de DivisasCalificación Final: 45/50Comentarios del Profesor:Buen trabajo, equipo. El script es funcional y cumple con el objetivo básico de conversión. Sin embargo, para alcanzar la excelencia profesional (5.0), deben prestar atención a los requerimientos técnicos específicos y al formato de salida de datos financieros.Puntos a Mejorar:Solicitud de TRM: El enunciado solicitaba expresamente solicitar la TRM del día al usuario mediante input(). Ustedes dejaron las tasas fijas (hardcoded) en el código. En finanzas, un script que no permite actualizar la tasa de cambio pierde utilidad inmediata ante la volatilidad del mercado.Claridad en el Formato: Aunque usaron f-strings, el resultado impreso (50000.0) carece de separadores de miles y limitación de decimales. En un contexto bancario o administrativo, es vital presentar los montos como $ 50,000.00 para evitar errores de lectura.Puntos Fuertes:Documentación: El código está muy bien comentado, explicando el propósito de cada celda.Casting: El uso de float() en la entrada del monto es correcto.Motivación:Tienen una base sólida. Para el parcial del 25 de febrero, asegúrense de leer cada requerimiento del enunciado detalladamente. La diferencia entre un analista estándar y uno de alto nivel está en la capacidad de entregar herramientas flexibles y con formatos de lectura impecables. ¡Sigan practicando!Rúbrica de CalificaciónCriterio de EvaluaciónDescripciónPuntaje MáximoPuntaje ObtenidoUso de Casting (float)Conversión correcta de la entrada de COP a valor numérico.10.010.0Formato de SalidaUso de f-strings, pero faltaron separadores de miles y límite de decimales.10.07.0Markdown y EstructuraInclusión de nombres y descripción de la tarea.10.010.0Funcionalidad y LógicaEl script funciona, pero no solicita la TRM como se pidió (tasas fijas).10.08.0DocumentaciónComentarios claros explicando la lógica de cada sección.10.010.0TOTAL50.045.0Diego Mauricio Zuluaga RodríguezProfesor - Departamento de EconomíaUniversidad de La Sabana"/>
    <n v="45"/>
    <n v="50"/>
    <n v="0.9"/>
  </r>
  <r>
    <x v="4"/>
    <s v="Cristian"/>
    <s v="Bermudez"/>
    <s v="cristianbe@unisabana.edu.co"/>
    <x v="19"/>
    <d v="2026-02-17T00:00:00"/>
    <x v="8"/>
    <s v="Entregado"/>
    <s v="Retroalimentación de la Entrega: Calculadora de Divisas Calificación Final: 45/50 Comentarios del Profesor:  Buen_x000a_ trabajo, equipo. El script es funcional y cumple con el objetivo básico_x000a_ de conversión. Sin embargo, para alcanzar la excelencia profesional _x000a_(5.0), deben prestar atención a los requerimientos técnicos específicos y_x000a_ al formato de salida de datos financieros.Puntos a Mejorar:Solicitud de TRM: El enunciado solicitaba expresamente solicitar la TRM del día al usuario mediante input()._x000a_ Ustedes dejaron las tasas fijas (hardcoded) en el código. En finanzas, _x000a_un script que no permite actualizar la tasa de cambio pierde utilidad _x000a_inmediata ante la volatilidad del mercado.Claridad en el Formato: Aunque usaron f-strings, el resultado impreso (50000.0)_x000a_ carece de separadores de miles y limitación de decimales. En un _x000a_contexto bancario o administrativo, es vital presentar los montos como $ 50,000.00 para evitar errores de lectura.Puntos Fuertes:Documentación: El código está muy bien comentado, explicando el propósito de cada celda.Casting: El uso de float() en la entrada del monto es correcto. Motivación:  Tienen_x000a_ una base sólida. Para el parcial del 25 de febrero, asegúrense de leer _x000a_cada requerimiento del enunciado detalladamente. La diferencia entre un _x000a_analista estándar y uno de alto nivel está en la capacidad de entregar _x000a_herramientas flexibles y con formatos de lectura impecables. ¡Sigan _x000a_practicando!Rúbrica de CalificaciónCriterio de EvaluaciónDescripciónPuntaje MáximoPuntaje ObtenidoUso de Casting (float)Conversión correcta de la entrada de COP a valor numérico.10.010.0Formato de SalidaUso de f-strings, pero faltaron separadores de miles y límite de decimales.10.07.0Markdown y EstructuraInclusión de nombres y descripción de la tarea.10.010.0Funcionalidad y LógicaEl script funciona, pero no solicita la TRM como se pidió (tasas fijas).10.08.0DocumentaciónComentarios claros explicando la lógica de cada sección.10.010.0TOTAL50.045.0Diego Mauricio Zuluaga Rodríguez Profesor - Departamento de Economía Universidad de La Sabana"/>
    <n v="45"/>
    <n v="50"/>
    <n v="0.9"/>
  </r>
  <r>
    <x v="5"/>
    <s v="Mariana"/>
    <s v="Carmona Romero"/>
    <s v="marianacarrom@unisabana.edu.co"/>
    <x v="19"/>
    <d v="2026-02-17T00:00:00"/>
    <x v="8"/>
    <s v="Entregado"/>
    <s v="Retroalimentación de la Entrega: Calculadora de DivisasCalificación Final: 50/50Comentarios del Profesor:Equipo, estoy gratamente impresionado con el nivel de esta entrega. Han ido mucho más allá de los requisitos básicos, demostrando una autogestión y curiosidad técnica sobresalientes.Puntos de Excelencia:Robustez del Código: La implementación de un bloque try-except dentro de un bucle while True para validar las entradas es una práctica profesional de alto nivel. Esto garantiza que el programa no se rompa si el usuario comete un error.Normalización de Datos: La lógica para manejar diferentes separadores decimales (puntos y comas) es brillante. Es un problema real en finanzas internacionales y ustedes lo resolvieron de forma autónoma.Formato de Salida: El uso de f-strings con precisión de 4 decimales para las tasas (:,.4f) y 2 para los montos (:,.2f) cumple con los estándares bancarios internacionales.Creatividad: La interfaz en consola es limpia, organizada y visualmente agradable, lo cual aporta valor al usuario final.Motivación:Han establecido un estándar muy alto para el grupo. Este tipo de lógica &quot;a prueba de errores&quot; es exactamente lo que se necesita para gestionar modelos financieros confiables. Sigan explorando estas estructuras avanzadas; tienen un potencial técnico muy claro. ¡Excelente preparación para el parcial!Rúbrica de CalificaciónCriterio de EvaluaciónDescripciónPuntaje MáximoPuntaje ObtenidoUso de Casting (float)Conversión impecable. Incluye lógica de normalización de caracteres.10.010.0Formato de SalidaExcelente uso de f-strings, emojis y separadores profesionales.10.010.0Markdown y EstructuraNombres completos y descripción del proyecto presentes.10.010.0Funcionalidad y LógicaCódigo robusto que maneja excepciones y errores de usuario.10.010.0DocumentaciónComentarios detallados que explican funciones y lógica compleja.10.010.0TOTAL50.050.0Diego Mauricio Zuluaga RodríguezProfesor - Departamento de EconomíaUniversidad de La Sabana"/>
    <n v="50"/>
    <n v="50"/>
    <n v="1"/>
  </r>
  <r>
    <x v="6"/>
    <s v="Mariana"/>
    <s v="Pena Rodriguez"/>
    <s v="marianapero@unisabana.edu.co"/>
    <x v="19"/>
    <d v="2026-02-17T00:00:00"/>
    <x v="8"/>
    <s v="Entregado"/>
    <s v="Retroalimentación de la Entrega: Calculadora de DivisasCalificación Final: 50/50Comentarios:¡Excelente trabajo, equipo! Han entregado un archivo que no solo cumple con los requerimientos técnicos, sino que proyecta un nivel de profesionalismo alineado con los estándares de la EICEA.Puntos Destacados:Precisión Técnica: El uso de float() para el casting de entradas es impecable. Es fundamental entender que en finanzas los decimales pueden cambiar el resultado de una operación a gran escala.Presentación y UX: El uso de f-strings con el formato :,.2f para separar miles y limitar decimales es de nivel avanzado. Esto facilita enormemente la lectura de datos financieros.Valor Agregado (Autogestión): Me llamó la atención que incluyeran una segunda versión del código con tasas fijas del 15 de febrero. Esto demuestra proactividad y un &quot;Sanity Check&quot; de los datos, comparando la entrada del usuario con la realidad del mercado.Documentación: Cada sección está claramente explicada, lo que garantiza la trazabilidad del código.Motivación:Sigan con este nivel de rigurosidad. Si mantienen esta atención al detalle en la lógica y en la presentación de resultados, están muy bien preparados para el Primer Parcial del 25 de febrero. Recuerden que en programación, como en los negocios, la claridad es poder.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
    <n v="50"/>
    <n v="50"/>
    <n v="1"/>
  </r>
  <r>
    <x v="7"/>
    <s v="Isabella"/>
    <s v="Carranza Tapiero"/>
    <s v="isabellacata@unisabana.edu.co"/>
    <x v="19"/>
    <d v="2026-02-17T00:00:00"/>
    <x v="8"/>
    <s v="Entregado"/>
    <s v="Retroalimentación de la Entrega: Calculadora de Divisas Calificación Final: 35/50 Comentarios del Profesor:  Isabella, has demostrado un buen dominio técnico en el uso de la sintaxis de Python, especialmente en el manejo de f-strings y el casting de datos. Sin embargo, hay puntos críticos de instrucciones y autogestión que afectan significativamente la nota.Puntos a mejorar (Críticos):Trabajo en Equipo: Las instrucciones fueron explícitas: &quot;Esta actividad se desarrolla exclusivamente en sus grupos de 3 estudiantes&quot;. En tu entrega solo apareces tú. Esto incumple el componente de trabajo colaborativo y la meta de autogestión del departamento.Sanity Check (Sentido Numérico): Como futura economista, debes validar si los resultados tienen sentido. En tu ejecución (output), un monto de $4,000,000 COP resulta en €2,789,232.53 EUR. ¡Eso es imposible! Esto indica que ingresaste mal la tasa de conversión o la lógica de la paridad EUR/USD falló. Un error de esta magnitud en un entorno financiero real sería catastrófico.Documentación: Aunque hay comentarios, son muy breves. Se solicitó documentar la lógica de cada sección para asegurar la trazabilidad.Puntos Fuertes:Casting y Formato: El uso de float() y el formato de salida :,.2f es correcto y profesional.Estructura: El uso de celdas separadas en el Notebook facilita la lectura del flujo de datos. Motivación:  Tienes la habilidad técnica, pero debes prestar mucha más atención a las instrucciones administrativas y a la coherencia de los datos. En el parcial del 25 de febrero, un error en la lógica de cálculo o el incumplimiento de una regla de entrega restará puntos importantes. ¡Revisa siempre que tus números &quot;hagan sentido&quot; antes de entregar!Rúbrica de CalificaciónCriterio de EvaluaciónDescripciónPuntaje MáximoPuntaje ObtenidoUso de Casting (float)Conversión correcta de entradas de texto a valores numéricos.10.010.0Formato de SalidaUso de f-strings y precisión de 2 decimales.10.010.0Markdown y EstructuraIncumplimiento: Solo un integrante en lugar de 3.10.02.0Funcionalidad y LógicaEl resultado final es financieramente ilógico (Error de paridad).10.05.0DocumentaciónComentarios básicos, pero presentes.10.08.0TOTAL50.035.0Diego Mauricio Zuluaga Rodríguez Profesor - Departamento de Economía Universidad de La Sabana"/>
    <n v="35"/>
    <n v="50"/>
    <n v="0.7"/>
  </r>
  <r>
    <x v="8"/>
    <s v="Samuel David"/>
    <s v="Lozano Holguin"/>
    <s v="samuelloho@unisabana.edu.co"/>
    <x v="19"/>
    <d v="2026-02-17T00:00:00"/>
    <x v="8"/>
    <s v="Entregado"/>
    <s v="Retroalimentación de la Entrega: Conversor de DivisasCalificación Final: 48/50Comentarios del Profesor:Buen trabajo, equipo. Han logrado un script funcional que cumple con el objetivo técnico de la herramienta financiera. El código es claro y la lógica de conversión es correcta.Puntos Fuertes:Casting Correcto: El uso de float() en todas las entradas es adecuado para manejar la precisión que requieren las tasas de cambio.Formato Profesional: Excelente implementación de f-strings con :,.2f. Esto demuestra que comprendieron cómo presentar datos monetarios de forma legible para un usuario final.Creatividad: El uso de emojis y separadores visuales mejora significativamente la experiencia de usuario en la consola.Oportunidades de Mejora:Identificación (Markdown): Las instrucciones solicitaban los nombres completos. Faltaron los segundos apellidos de los integrantes, lo cual es fundamental para el registro formal de notas en la EICEA.Detalle en Salida: En la línea de Euros, el mensaje imprime $ €. Recuerden que cada moneda tiene su propio símbolo; lo ideal sería dejar únicamente el símbolo de Euro (€) para evitar confusiones financieras.Estructura: Aunque en Jupyter se pueden usar varias celdas, se recomienda que el bloque lógico principal esté en una sola celda para que el script se ejecute de forma continua sin depender de ejecuciones previas de celdas separadas.Motivación:Tienen una base sólida. Pequeños detalles de precisión y formalidad en la identificación son lo único que los separa de la excelencia total. Sigan practicando la lógica de validación, ya que será clave para el Parcial del 25 de febrero. ¡Buen esfuerzo!Rúbrica de CalificaciónCriterio de EvaluaciónDescripciónPuntaje MáximoPuntaje ObtenidoUso de Casting (float)Conversión correcta de entradas de texto a valores numéricos.10.010.0Formato de SalidaUso de f-strings, separadores y precisión de 2 decimales.10.09.5Markdown y EstructuraIdentificación de integrantes (Nombres completos) y descripción.10.08.5Funcionalidad y LógicaEl script realiza los cálculos de conversión correctamente.10.010.0DocumentaciónComentarios claros explicando la lógica de cada paso.10.010.0TOTAL50.048.0Diego Mauricio Zuluaga RodríguezProfesor - Departamento de EconomíaUniversidad de La Sabana"/>
    <n v="48"/>
    <n v="50"/>
    <n v="0.96"/>
  </r>
  <r>
    <x v="9"/>
    <s v="Sebastian"/>
    <s v="Vanoy Gutierrez"/>
    <s v="sebastianvagu@unisabana.edu.co"/>
    <x v="19"/>
    <d v="2026-02-17T00:00:00"/>
    <x v="8"/>
    <s v="Entregado"/>
    <s v="Retroalimentación de la Entrega: Conversor de DivisasCalificación Final: 48/50Comentarios del Profesor:Buen trabajo, equipo. Han logrado un script funcional que cumple con el objetivo técnico de la herramienta financiera. El código es claro y la lógica de conversión es correcta.Puntos Fuertes:Casting Correcto: El uso de float() en todas las entradas es adecuado para manejar la precisión que requieren las tasas de cambio.Formato Profesional: Excelente implementación de f-strings con :,.2f. Esto demuestra que comprendieron cómo presentar datos monetarios de forma legible para un usuario final.Creatividad: El uso de emojis y separadores visuales mejora significativamente la experiencia de usuario en la consola.Oportunidades de Mejora:Identificación (Markdown): Las instrucciones solicitaban los nombres completos. Faltaron los segundos apellidos de los integrantes, lo cual es fundamental para el registro formal de notas en la EICEA.Detalle en Salida: En la línea de Euros, el mensaje imprime $ €. Recuerden que cada moneda tiene su propio símbolo; lo ideal sería dejar únicamente el símbolo de Euro (€) para evitar confusiones financieras.Estructura: Aunque en Jupyter se pueden usar varias celdas, se recomienda que el bloque lógico principal esté en una sola celda para que el script se ejecute de forma continua sin depender de ejecuciones previas de celdas separadas.Motivación:Tienen una base sólida. Pequeños detalles de precisión y formalidad en la identificación son lo único que los separa de la excelencia total. Sigan practicando la lógica de validación, ya que será clave para el Parcial del 25 de febrero. ¡Buen esfuerzo!Rúbrica de CalificaciónCriterio de EvaluaciónDescripciónPuntaje MáximoPuntaje ObtenidoUso de Casting (float)Conversión correcta de entradas de texto a valores numéricos.10.010.0Formato de SalidaUso de f-strings, separadores y precisión de 2 decimales.10.09.5Markdown y EstructuraIdentificación de integrantes (Nombres completos) y descripción.10.08.5Funcionalidad y LógicaEl script realiza los cálculos de conversión correctamente.10.010.0DocumentaciónComentarios claros explicando la lógica de cada paso.10.010.0TOTAL50.048.0Diego Mauricio Zuluaga RodríguezProfesor - Departamento de EconomíaUniversidad de La Sabana"/>
    <n v="48"/>
    <n v="50"/>
    <n v="0.96"/>
  </r>
  <r>
    <x v="10"/>
    <s v="Jose Daniel"/>
    <s v="Escobar Hurtado"/>
    <s v="joseeshu@unisabana.edu.co"/>
    <x v="19"/>
    <d v="2026-02-17T00:00:00"/>
    <x v="8"/>
    <s v="Entregado"/>
    <s v="Retroalimentación de la Entrega: Calculadora de Divisas Calificación Final: 36/50 Comentarios del Profesor:  Buen esfuerzo inicial en la estructura del programa, equipo. El código es funcional y cumple con la tarea básica de convertir monedas, sin embargo, hay puntos críticos de rigurosidad técnica y presentación profesional que deben ajustar para el parcial.Puntos a mejorar:Casting de Datos: Utilizaron int() para recibir el monto en pesos. En finanzas, el dinero siempre debe ser float(), ya que los montos pueden incluir decimales y el uso de enteros limita la precisión de la herramienta.Formato de Salida (Crítico): Los resultados muestran hasta 14 decimales (ej. 107.27592678854047). Para un usuario financiero, esto es ilegible. La instrucción pedía &quot;claridad en los mensajes&quot;; es obligatorio usar f-strings o el formato :.2f para redondear a 2 decimales.Documentación: Aunque incluyeron algunos comentarios, no se documentó cada sección o línea de lógica como se solicitó en la guía de autogestión.Lógica de Conversión: El cálculo para el Euro asume una paridad cruzada (COP -&amp;gt; USD -&amp;gt; EUR). Aunque es una lógica válida, asegúrense de que las etiquetas del input sean claras para que el usuario no se confunda con qué tasa debe ingresar. Motivación:  Tienen la base de la lógica clara, pero en este curso la diferencia entre un código &quot;que funciona&quot; y uno &quot;profesional&quot; está en los detalles. Los invito a revisar los apuntes de la Clase 2 sobre f-strings y formateo de números. Si corrigen estos detalles de precisión, su desempeño en el parcial será mucho más sólido. ¡A seguir practicando!Rúbrica de CalificaciónCriterio de EvaluaciónDescripciónPuntaje MáximoPuntaje ObtenidoUso de CastingUso de int() en lugar de float() para montos de dinero (Pérdida de precisión).10.07.0Formato de SalidaNo hay redondeo de decimales; salida visualmente desordenada.10.05.0Markdown y EstructuraCumplen con los nombres e identificación de los integrantes.10.09.0Funcionalidad y LógicaEl código corre y realiza la conversión, aunque la lógica es mejorable.10.08.0DocumentaciónComentarios escasos; no documentan el proceso completo.10.07.0TOTAL50.036.0Diego Mauricio Zuluaga Rodríguez Profesor - Departamento de Economía Universidad de La Sabana"/>
    <n v="36"/>
    <n v="50"/>
    <n v="0.72"/>
  </r>
  <r>
    <x v="11"/>
    <s v="Maria Jose"/>
    <s v="Botero Galviz"/>
    <s v="mariabotga@unisabana.edu.co"/>
    <x v="19"/>
    <d v="2026-02-17T00:00:00"/>
    <x v="8"/>
    <s v="Entregado"/>
    <s v="Retroalimentación de la Entrega: Calculadora de Divisas Calificación Final: 42/50 Comentarios del Profesor:  Han presentado un trabajo con un nivel técnico sobresaliente, sin embargo, han fallado en aspectos fundamentales de autogestión y seguimiento de instrucciones que son críticos en este curso.Puntos Fuertes (Excelencia Técnica):El código es muy avanzado. Han implementado una función de normalización de números que maneja automáticamente puntos y comas, algo que supera las expectativas del ejercicio.El uso de try-except y bucles while para validar que el usuario no ingrese valores erróneos es una práctica profesional excelente.El formato de salida es impecable y muy claro.Oportunidades de Mejora (Autogestión y Reglas):Conformación del Grupo: La instrucción fue clara: &quot;actividad exclusiva en grupos de 3&quot;. Su entrega solo registra a 2 integrantes. El cumplimiento de las normas de equipo es parte de la evaluación.Atención al detalle (Markdown): El encabezado presenta errores ortográficos notables (&quot;Nuetsro&quot;, &quot;coaluladora&quot;). Como futuros profesionales de EICEA, la forma en que presentan sus reportes es tan importante como el código.Documentación: Aunque el código tiene comentarios, la instrucción pedía &quot;documentar cada línea de código&quot;. Hay bloques lógicos extensos sin comentarios intermedios. Motivación:  Técnicamente tienen un potencial muy alto; la lógica de programación la dominan con fluidez. Para el parcial del 25 de febrero, les recomiendo enfocarse en la lectura minuciosa de los requerimientos. En el mundo de los negocios, un gran modelo con errores de forma o que no sigue los parámetros del cliente puede ser rechazado. ¡Sigan puliendo esa atención al detalle!Rúbrica de CalificaciónCriterio de EvaluaciónDescripciónPuntaje MáximoPuntaje ObtenidoUso de Casting (float)Uso avanzado y robusto de conversión de datos.10.010.0Formato de SalidaExcelente claridad y uso de f-strings profesionales.10.010.0Markdown y EstructuraPenalización: errores ortográficos.10.08.0Funcionalidad y LógicaEl script es impecable y maneja errores de usuario.10.010.0DocumentaciónComentarios presentes, pero no en cada línea como se solicitó.10.08.0TOTAL50.046.0Diego Mauricio Zuluaga Rodríguez Profesor - Departamento de Economía Universidad de La Sabana"/>
    <n v="46"/>
    <n v="50"/>
    <n v="0.92"/>
  </r>
  <r>
    <x v="12"/>
    <s v="Maria Juliana"/>
    <s v="Mejia Quintero"/>
    <s v="mariamequ@unisabana.edu.co"/>
    <x v="19"/>
    <d v="2026-02-17T00:00:00"/>
    <x v="8"/>
    <s v="Entregado"/>
    <s v="Retroalimentación de la Entrega: Calculadora de Divisas Calificación Final: 50/50 Comentarios del Profesor:  Equipo, estoy gratamente impresionado con el nivel de esta entrega. Han ido mucho más allá de los requisitos básicos, demostrando una autogestión y curiosidad técnica sobresalientes.Puntos de Excelencia:Robustez del Código: La implementación de un bloque try-except dentro de un bucle while True para validar las entradas es una práctica profesional de alto nivel. Esto garantiza que el programa no se rompa si el usuario comete un error.Normalización de Datos: La lógica para manejar diferentes separadores decimales (puntos y comas) es brillante. Es un problema real en finanzas internacionales y ustedes lo resolvieron de forma autónoma.Formato de Salida: El uso de f-strings con precisión de 4 decimales para las tasas (:,.4f) y 2 para los montos (:,.2f) cumple con los estándares bancarios internacionales.Creatividad: La interfaz en consola es limpia, organizada y visualmente agradable, lo cual aporta valor al usuario final. Motivación:  Han establecido un estándar muy alto para el grupo. Este tipo de lógica &quot;a prueba de errores&quot; es exactamente lo que se necesita para gestionar modelos financieros confiables. Sigan explorando estas estructuras avanzadas; tienen un potencial técnico muy claro. ¡Excelente preparación para el parcial!Rúbrica de CalificaciónCriterio de EvaluaciónDescripciónPuntaje MáximoPuntaje ObtenidoUso de Casting (float)Conversión impecable. Incluye lógica de normalización de caracteres.10.010.0Formato de SalidaExcelente uso de f-strings, emojis y separadores profesionales.10.010.0Markdown y EstructuraNombres completos y descripción del proyecto presentes.10.010.0Funcionalidad y LógicaCódigo robusto que maneja excepciones y errores de usuario.10.010.0DocumentaciónComentarios detallados que explican funciones y lógica compleja.10.010.0TOTAL50.050.0Diego Mauricio Zuluaga Rodríguez Profesor - Departamento de Economía Universidad de La Sabana"/>
    <n v="50"/>
    <n v="50"/>
    <n v="1"/>
  </r>
  <r>
    <x v="13"/>
    <s v="Alejandra"/>
    <s v="Leon Vargas"/>
    <s v="alejandraleva@unisabana.edu.co"/>
    <x v="19"/>
    <d v="2026-02-17T00:00:00"/>
    <x v="8"/>
    <s v="Entregado"/>
    <s v="Retroalimentación de la Entrega: Calculadora de DivisasCalificación Final: 35/50Comentarios del Profesor:Equipo, han presentado un trabajo con una lógica de programación superior al promedio, integrando ciclos while y validación de errores con try-except, lo cual es excelente. Sin embargo, la calificación se ve afectada por el incumplimiento de instrucciones específicas y la falta de puntualidad.Puntos Fuertes:Lógica Avanzada: Implementar un menú interactivo y un sistema de validación de datos (try-except) demuestra que han profundizado en el material. El programa es robusto y no se &quot;rompe&quot; si el usuario ingresa texto en lugar de números.Uso de Casting: El manejo de float() es correcto y bien aplicado dentro de la validación.Oportunidades de Mejora (Puntos Críticos):Puntualidad (Autogestión): La tarea fue entregada con 14 horas de retraso. En este curso, la gestión del tiempo es una competencia fundamental. Este retraso conlleva una penalización directa en la nota final.Documentación: Las instrucciones solicitaban explícitamente &quot;documentar cada línea de código&quot;. Su script solo cuenta con un par de comentarios generales. La documentación es vital para el trabajo colaborativo.Formato de Salida: Aunque usaron round(), para perfiles de EICEA es indispensable usar el formato de f-strings con separadores de miles (:,.2f) para reportes financieros, tal como se practicó en clase.Motivación:Tienen una capacidad técnica muy alta; el código funciona de manera impecable y la lógica es elegante. Si logran alinear ese talento con la disciplina en los tiempos de entrega y el seguimiento estricto de los requerimientos de formato, sus resultados serán sobresalientes. ¡Ajusten estos detalles para el parcial!Rúbrica de CalificaciónCriterio de EvaluaciónDescripciónPuntaje MáximoPuntaje ObtenidoUso de Casting (float)Uso correcto de conversión de datos con validación.10.010.0Formato de SalidaMensajes claros, aunque faltó el formato financiero de miles.10.08.0Markdown y NombresIdentificación del grupo y descripción correcta.10.010.0DocumentaciónIncumplimiento: No se documentó cada línea como se pidió.10.03.0Entrega OportunaPenalización: Entrega con 14 horas de retraso.10.04.0TOTAL50.035.0Diego Mauricio Zuluaga RodríguezProfesor - Departamento de EconomíaUniversidad de La Sabana"/>
    <n v="35"/>
    <n v="50"/>
    <n v="0.7"/>
  </r>
  <r>
    <x v="14"/>
    <s v="Alessandro Di Mauro"/>
    <s v="Bonilla Correa"/>
    <s v="alessandroboco@unisabana.edu.co"/>
    <x v="19"/>
    <d v="2026-02-17T00:00:00"/>
    <x v="8"/>
    <s v="Entregado"/>
    <s v="Retroalimentación de la Entrega: Calculadora de Divisas Calificación Final: 50/50 Comentarios del Profesor:  Excelente ejecución técnica, equipo. Han presentado una solución robusta que cumple con todos los estándares de calidad exigidos para el análisis financiero en Python.Puntos Destacados:Dominio del Casting: El uso de float() es correcto y necesario, asegurando que el programa no falle al procesar cifras con decimales, algo crítico en el manejo de TRM.Estética y Claridad: El reporte final en consola es muy limpio. El uso de f-strings con el formato :,.2f demuestra que tienen control sobre la visualización de datos, permitiendo que un usuario final entienda las cifras de inmediato.Documentación Proactiva: Es muy valioso que incluyan comentarios referenciando lo visto en las celdas de clase. Esto evidencia un seguimiento riguroso del material y una excelente autogestión del aprendizaje.Análisis Multiescenario: Incluir una segunda versión con tasas fijas para comparación es una excelente práctica de validación de datos. Motivación:  Tienen una base sólida en sintaxis y lógica secuencial. Mantengan este nivel de detalle para el Taller del Corte 1 y el Parcial del 25 de febrero. La capacidad de documentar y estructurar así su trabajo les ahorrará mucho tiempo en proyectos más complejos. ¡Buen trabajo!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 Profesor - Departamento de Economía Universidad de La Sabana"/>
    <n v="50"/>
    <n v="50"/>
    <n v="1"/>
  </r>
  <r>
    <x v="15"/>
    <s v="Arianne Mariana"/>
    <s v="Amorocho Quiroga"/>
    <s v="arianneamqu@unisabana.edu.co"/>
    <x v="19"/>
    <d v="2026-02-17T00:00:00"/>
    <x v="8"/>
    <s v="Entregado"/>
    <s v="Retroalimentación de la Entrega: Calculadora de DivisasCalificación Final: 50/50 Comentarios:  ¡Excelente_x000a_ trabajo, equipo! Han entregado un archivo que no solo cumple con los _x000a_requerimientos técnicos, sino que proyecta un nivel de profesionalismo _x000a_alineado con los estándares de la EICEA.Puntos Destacados:Precisión Técnica: El uso de float()_x000a_ para el casting de entradas es impecable. Es fundamental entender que _x000a_en finanzas los decimales pueden cambiar el resultado de una operación a_x000a_ gran escala.Presentación y UX: El uso de f-strings con el formato :,.2f para separar miles y limitar decimales es de nivel avanzado. Esto facilita enormemente la lectura de datos financieros.Valor Agregado (Autogestión):_x000a_ Me llamó la atención que incluyeran una segunda versión del código con _x000a_tasas fijas del 15 de febrero. Esto demuestra proactividad y un &quot;Sanity _x000a_Check&quot; de los datos, comparando la entrada del usuario con la realidad _x000a_del mercado.Documentación: Cada sección está claramente explicada, lo que garantiza la trazabilidad del código. Motivación:  Sigan_x000a_ con este nivel de rigurosidad. Si mantienen esta atención al detalle en_x000a_ la lógica y en la presentación de resultados, están muy bien preparados_x000a_ para el Primer Parcial del 25 de febrero. Recuerden que en programación, como en los negocios, la claridad es poder.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 Profesor - Departamento de Economía Universidad de La Sabana"/>
    <n v="50"/>
    <n v="50"/>
    <n v="1"/>
  </r>
  <r>
    <x v="16"/>
    <s v="Maria Juliana"/>
    <s v="Herrera Pulido"/>
    <s v="mariahepu@unisabana.edu.co"/>
    <x v="19"/>
    <d v="2026-02-17T00:00:00"/>
    <x v="8"/>
    <s v="Entregado"/>
    <s v="Retroalimentación de la Entrega: Calculadora de Divisas Calificación Final: 40/50 Comentarios del Profesor:  María Juliana, has demostrado un dominio técnico sólido en la construcción del script. El código es funcional, limpio y cumple con la lógica financiera solicitada. Sin embargo, hay un incumplimiento crítico en las instrucciones de autogestión y trabajo en equipo que afecta significativamente la nota.Puntos Fuertes:Casting Correcto: El uso de float() en todas las entradas es adecuado para el manejo de divisas.Lógica de Conversión: La secuencia COP → USD → EUR es correcta y el uso de la tasa de paridad entre USD/EUR es un buen enfoque técnico.Formato de Salida: El uso de f-strings con precisión de dos decimales (:.2f) es correcto y profesional.Oportunidades de Mejora (Crítico):Trabajo en Equipo: Las instrucciones eran explícitas: &quot;Esta actividad se desarrolla exclusivamente en sus grupos de 3 estudiantes&quot;. Al realizar la entrega de forma individual, se omite el componente colaborativo y de coordinación exigido por el Departamento.Cumplimiento de Markdown: La rúbrica exige el &quot;Cumplimiento estricto de los nombres de los 3 integrantes&quot;. Al faltar dos nombres, este criterio se penaliza fuertemente.Documentación: Aunque incluiste comentarios, son muy básicos. Para un nivel de excelencia, se espera una explicación más profunda del &quot;porqué&quot; de las operaciones, no solo del &quot;qué&quot; hace la línea. Motivación:  Técnicamente estás en el camino correcto y tu lógica de programación es clara. No obstante, en el mundo profesional y en la EICEA, seguir los lineamientos administrativos y el trabajo colaborativo es tan importante como el código. Te invito a integrarte con tu grupo para las próximas entregas y leer con extrema atención cada parámetro de la guía. ¡Tienes el potencial para el 5.0 si ajustas la atención al detalle!Rúbrica de CalificaciónCriterio de EvaluaciónDescripciónPuntaje MáximoPuntaje ObtenidoUso de Casting (float)Conversión correcta de entradas de texto a valores numéricos.10.010.0Formato de SalidaUso de f-strings y precisión de decimales.10.010.0Markdown y EstructuraInclusión de nombres y descripción. (Faltan 2 integrantes).10.03.0Funcionalidad y LógicaEl script realiza los cálculos correctamente.10.010.0DocumentaciónComentarios en el código (Muy básicos).10.07.0TOTAL50.040.0Diego Mauricio Zuluaga Rodríguez Profesor - Departamento de Economía Universidad de La Sabana"/>
    <n v="40"/>
    <n v="50"/>
    <n v="0.8"/>
  </r>
  <r>
    <x v="17"/>
    <s v="Simon Gustavo"/>
    <s v="Restrepo Alvarez"/>
    <s v="simonreal@unisabana.edu.co"/>
    <x v="19"/>
    <d v="2026-02-17T00:00:00"/>
    <x v="8"/>
    <s v="Entregado"/>
    <s v="Retroalimentación de la Entrega: Calculadora de DivisasCalificación Final: 36/50Comentarios del Profesor:Equipo, han presentado un script funcional en su estructura básica, pero existen errores críticos de lógica financiera y técnica que deben corregir para el parcial.Observaciones Técnicas:Error de Lógica Financiera: La fórmula utilizada VALOR_COP / 1000 * TRM es incorrecta. En el mercado de divisas, para pasar de pesos a dólares se divide el monto por la tasa (COP / TRM). Su fórmula actual multiplica el valor, lo que genera resultados astronómicos y erróneos.Riesgo en el Casting: Utilizar int() para el VALOR_COP es una práctica arriesgada. Si un usuario ingresa un valor con decimales (ej. 10500.50), el programa colapsará inmediatamente con un ValueError. En finanzas, siempre debemos usar float().Presentación del Output: Los mensajes de salida son muy planos. No se utilizaron f-strings ni formatos de precisión (como :.2f). Esto causa que los resultados se muestren con demasiados decimales, dificultando la lectura profesional.Ortografía: Tengan cuidado con la presentación en el Markdown. Palabras como &quot;calcualadora&quot; o la falta de mayúsculas restan profesionalismo a su portafolio.Motivación:Tienen la estructura base clara, pero en Programación y Decisiones la precisión es lo que separa un código útil de uno peligroso. Les recomiendo revisar la jerarquía de operaciones y el uso de formatos de texto antes del parcial del 25 de febrero. ¡A ajustar esa lógica!Rúbrica de CalificaciónCriterio de EvaluaciónDescripciónPuntaje MáximoPuntaje ObtenidoUso de CastingUso de int en lugar de float para moneda limita la estabilidad del programa.10.07.0Formato de SalidaAusencia de f-strings, redondeo a 2 decimales y separadores de miles.10.05.0Markdown y EstructuraIncluye nombres y descripción, pero con errores ortográficos.10.08.0Funcionalidad y LógicaError grave: La fórmula matemática aplicada no corresponde a una conversión real.10.04.0DocumentaciónComentarios presentes pero extremadamente breves.10.08.0TOTAL50.032.0Nota: Se han otorgado 4 puntos adicionales por la entrega del archivo en el formato solicitado (.ipynb), para un total de 36.0.Diego Mauricio Zuluaga RodríguezProfesor - Departamento de EconomíaUniversidad de La Sabana"/>
    <n v="36"/>
    <n v="50"/>
    <n v="0.72"/>
  </r>
  <r>
    <x v="18"/>
    <s v="Daniel Felipe"/>
    <s v="Camacho Pedraza"/>
    <s v="danielcampe@unisabana.edu.co"/>
    <x v="19"/>
    <d v="2026-02-17T00:00:00"/>
    <x v="8"/>
    <s v="Entregado"/>
    <m/>
    <n v="0"/>
    <n v="50"/>
    <n v="0"/>
  </r>
  <r>
    <x v="19"/>
    <s v="Mateo"/>
    <s v="Perez Daza"/>
    <s v="mateopeda@unisabana.edu.co"/>
    <x v="19"/>
    <d v="2026-02-17T00:00:00"/>
    <x v="8"/>
    <s v="Entregado"/>
    <s v="Retroalimentación de la Entrega: Calculadora de DivisasCalificación Final: 36/50Comentarios del Profesor:Equipo, han presentado un script funcional en su estructura básica, pero existen errores críticos de lógica financiera y técnica que deben corregir para el parcial.Observaciones Técnicas:Error de Lógica Financiera: La fórmula utilizada VALOR_COP / 1000 * TRM es incorrecta. En el mercado de divisas, para pasar de pesos a dólares se divide el monto por la tasa (COP / TRM). Su fórmula actual multiplica el valor, lo que genera resultados astronómicos y erróneos.Riesgo en el Casting: Utilizar int() para el VALOR_COP es una práctica arriesgada. Si un usuario ingresa un valor con decimales (ej. 10500.50), el programa colapsará inmediatamente con un ValueError. En finanzas, siempre debemos usar float().Presentación del Output: Los mensajes de salida son muy planos. No se utilizaron f-strings ni formatos de precisión (como :.2f). Esto causa que los resultados se muestren con demasiados decimales, dificultando la lectura profesional.Ortografía: Tengan cuidado con la presentación en el Markdown. Palabras como &quot;calcualadora&quot; o la falta de mayúsculas restan profesionalismo a su portafolio.Motivación:Tienen la estructura base clara, pero en Programación y Decisiones la precisión es lo que separa un código útil de uno peligroso. Les recomiendo revisar la jerarquía de operaciones y el uso de formatos de texto antes del parcial del 25 de febrero. ¡A ajustar esa lógica!Rúbrica de CalificaciónCriterio de EvaluaciónDescripciónPuntaje MáximoPuntaje ObtenidoUso de CastingUso de int en lugar de float para moneda limita la estabilidad del programa.10.07.0Formato de SalidaAusencia de f-strings, redondeo a 2 decimales y separadores de miles.10.05.0Markdown y EstructuraIncluye nombres y descripción, pero con errores ortográficos.10.08.0Funcionalidad y LógicaError grave: La fórmula matemática aplicada no corresponde a una conversión real.10.04.0DocumentaciónComentarios presentes pero extremadamente breves.10.08.0TOTAL50.032.0Nota: Se han otorgado 4 puntos adicionales por la entrega del archivo en el formato solicitado (.ipynb), para un total de 36.0.Diego Mauricio Zuluaga RodríguezProfesor - Departamento de EconomíaUniversidad de La Sabana"/>
    <n v="36"/>
    <n v="50"/>
    <n v="0.72"/>
  </r>
  <r>
    <x v="20"/>
    <s v="Matias"/>
    <s v="Mondragon Osorio"/>
    <s v="matiasmoos@unisabana.edu.co"/>
    <x v="19"/>
    <d v="2026-02-17T00:00:00"/>
    <x v="8"/>
    <s v="Entregado"/>
    <s v="Retroalimentación de la Entrega: Calculadora de DivisasCalificación Final: 50/50Comentarios:¡Excelente trabajo, equipo! Han entregado un archivo que no solo cumple con los requerimientos técnicos, sino que proyecta un nivel de profesionalismo alineado con los estándares de la EICEA.Puntos Destacados:Precisión Técnica: El uso de float() para el casting de entradas es impecable. Es fundamental entender que en finanzas los decimales pueden cambiar el resultado de una operación a gran escala.Presentación y UX: El uso de f-strings con el formato :,.2f para separar miles y limitar decimales es de nivel avanzado. Esto facilita enormemente la lectura de datos financieros.Valor Agregado (Autogestión): Me llamó la atención que incluyeran una segunda versión del código con tasas fijas del 15 de febrero. Esto demuestra proactividad y un &quot;Sanity Check&quot; de los datos, comparando la entrada del usuario con la realidad del mercado.Documentación: Cada sección está claramente explicada, lo que garantiza la trazabilidad del código.Motivación:Sigan con este nivel de rigurosidad. Si mantienen esta atención al detalle en la lógica y en la presentación de resultados, están muy bien preparados para el Primer Parcial del 25 de febrero. Recuerden que en programación, como en los negocios, la claridad es poder.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
    <n v="50"/>
    <n v="50"/>
    <n v="1"/>
  </r>
  <r>
    <x v="21"/>
    <s v="Juan David"/>
    <s v="Neuta Medina"/>
    <s v="juanneme@unisabana.edu.co"/>
    <x v="19"/>
    <d v="2026-02-17T00:00:00"/>
    <x v="8"/>
    <s v="Entregado"/>
    <s v="Retroalimentación de la Entrega: Calculadora de DivisasCalificación Final: 36/50Comentarios del Profesor:Buen esfuerzo inicial en la estructura del programa, equipo. El código es funcional y cumple con la tarea básica de convertir monedas, sin embargo, hay puntos críticos de rigurosidad técnica y presentación profesional que deben ajustar para el parcial.Puntos a mejorar:Casting de Datos: Utilizaron int() para recibir el monto en pesos. En finanzas, el dinero siempre debe ser float(), ya que los montos pueden incluir decimales y el uso de enteros limita la precisión de la herramienta.Formato de Salida (Crítico): Los resultados muestran hasta 14 decimales (ej. 107.27592678854047). Para un usuario financiero, esto es ilegible. La instrucción pedía &quot;claridad en los mensajes&quot;; es obligatorio usar f-strings o el formato :.2f para redondear a 2 decimales.Documentación: Aunque incluyeron algunos comentarios, no se documentó cada sección o línea de lógica como se solicitó en la guía de autogestión.Lógica de Conversión: El cálculo para el Euro asume una paridad cruzada (COP -&amp;gt; USD -&amp;gt; EUR). Aunque es una lógica válida, asegúrense de que las etiquetas del input sean claras para que el usuario no se confunda con qué tasa debe ingresar.Motivación:Tienen la base de la lógica clara, pero en este curso la diferencia entre un código &quot;que funciona&quot; y uno &quot;profesional&quot; está en los detalles. Los invito a revisar los apuntes de la Clase 2 sobre f-strings y formateo de números. Si corrigen estos detalles de precisión, su desempeño en el parcial será mucho más sólido. ¡A seguir practicando!Rúbrica de CalificaciónCriterio de EvaluaciónDescripciónPuntaje MáximoPuntaje ObtenidoUso de CastingUso de int() en lugar de float() para montos de dinero (Pérdida de precisión).10.07.0Formato de SalidaNo hay redondeo de decimales; salida visualmente desordenada.10.05.0Markdown y EstructuraCumplen con los nombres e identificación de los integrantes.10.09.0Funcionalidad y LógicaEl código corre y realiza la conversión, aunque la lógica es mejorable.10.08.0DocumentaciónComentarios escasos; no documentan el proceso completo.10.07.0TOTAL50.036.0Diego Mauricio Zuluaga RodríguezProfesor - Departamento de EconomíaUniversidad de La Sabana"/>
    <n v="36"/>
    <n v="50"/>
    <n v="0.72"/>
  </r>
  <r>
    <x v="22"/>
    <s v="Laura Fernanda"/>
    <s v="Lopez Parra"/>
    <s v="lauraloppa@unisabana.edu.co"/>
    <x v="19"/>
    <d v="2026-02-17T00:00:00"/>
    <x v="8"/>
    <s v="Entregado"/>
    <s v="Retroalimentación de la Entrega: Calculadora de DivisasCalificación Final: 36/50Comentarios del Profesor:Buen esfuerzo inicial en la estructura del programa, equipo. El código es funcional y cumple con la tarea básica de convertir monedas, sin embargo, hay puntos críticos de rigurosidad técnica y presentación profesional que deben ajustar para el parcial.Puntos a mejorar:Casting de Datos: Utilizaron int() para recibir el monto en pesos. En finanzas, el dinero siempre debe ser float(), ya que los montos pueden incluir decimales y el uso de enteros limita la precisión de la herramienta.Formato de Salida (Crítico): Los resultados muestran hasta 14 decimales (ej. 107.27592678854047). Para un usuario financiero, esto es ilegible. La instrucción pedía &quot;claridad en los mensajes&quot;; es obligatorio usar f-strings o el formato :.2f para redondear a 2 decimales.Documentación: Aunque incluyeron algunos comentarios, no se documentó cada sección o línea de lógica como se solicitó en la guía de autogestión.Lógica de Conversión: El cálculo para el Euro asume una paridad cruzada (COP -&amp;gt; USD -&amp;gt; EUR). Aunque es una lógica válida, asegúrense de que las etiquetas del input sean claras para que el usuario no se confunda con qué tasa debe ingresar.Motivación:Tienen la base de la lógica clara, pero en este curso la diferencia entre un código &quot;que funciona&quot; y uno &quot;profesional&quot; está en los detalles. Los invito a revisar los apuntes de la Clase 2 sobre f-strings y formateo de números. Si corrigen estos detalles de precisión, su desempeño en el parcial será mucho más sólido. ¡A seguir practicando!Rúbrica de CalificaciónCriterio de EvaluaciónDescripciónPuntaje MáximoPuntaje ObtenidoUso de CastingUso de int() en lugar de float() para montos de dinero (Pérdida de precisión).10.07.0Formato de SalidaNo hay redondeo de decimales; salida visualmente desordenada.10.05.0Markdown y EstructuraCumplen con los nombres e identificación de los integrantes.10.09.0Funcionalidad y LógicaEl código corre y realiza la conversión, aunque la lógica es mejorable.10.08.0DocumentaciónComentarios escasos; no documentan el proceso completo.10.07.0TOTAL50.036.0Diego Mauricio Zuluaga RodríguezProfesor - Departamento de EconomíaUniversidad de La Sabana"/>
    <n v="36"/>
    <n v="50"/>
    <n v="0.72"/>
  </r>
  <r>
    <x v="23"/>
    <s v="Lukas"/>
    <s v="Blanco Llanes"/>
    <s v="lukasblll@unisabana.edu.co"/>
    <x v="19"/>
    <d v="2026-02-17T00:00:00"/>
    <x v="8"/>
    <s v="Entregado"/>
    <s v="Retroalimentación de la Entrega: Calculadora de DivisasCalificación Final: 50/50 Comentarios del Profesor:  Equipo,_x000a_ han presentado una solución de nivel excepcional. Han ido mucho más _x000a_allá de los requerimientos básicos del script, demostrando una autogestión y una curiosidad técnica sobresaliente.Puntos Destacados:Robustez Técnica: La implementación de una función de normalización de números (normalizar_numero)_x000a_ para manejar diferentes separadores de miles y decimales (puntos y _x000a_comas) es una práctica de nivel profesional. Esto resuelve un problema _x000a_real en bases de datos financieras internacionales.Validación de Datos: El uso de try-except combinado con un bucle while asegura que el programa no se rompa ante entradas inválidas, garantizando la continuidad del proceso.Documentación: Cada bloque de código y función interna está perfectamente documentado, facilitando la trazabilidad de la lógica.Creatividad en el Output:_x000a_ La presentación final con emojis y separadores visuales hace que la _x000a_herramienta sea intuitiva y agradable para el usuario final. Motivación:  El_x000a_ nivel técnico mostrado en esta tarea supera las expectativas para esta _x000a_etapa del curso. Han aplicado conceptos de validación y limpieza de _x000a_datos que suelen verse más adelante. Sigan con ese ímpetu; tienen un _x000a_perfil técnico muy fuerte que les permitirá destacar en el Parcial del 25 de febrero.Rúbrica de CalificaciónCriterio de EvaluaciónDescripciónPuntaje MáximoPuntaje ObtenidoUso de Casting (float)Conversión impecable y manejo de errores en tipos de datos.10.010.0Formato de SalidaUso avanzado de f-strings y presentación visual profesional.10.010.0Markdown y EstructuraNombres completos, descripción técnica y guía de usuario clara.10.010.0Funcionalidad y LógicaLógica superior con validaciones y normalización de entradas.10.010.0DocumentaciónComentarios detallados en cada línea y función del script.10.010.0TOTAL50.050.0Diego Mauricio Zuluaga Rodríguez Profesor - Departamento de Economía Universidad de La Sabana"/>
    <n v="50"/>
    <n v="50"/>
    <n v="1"/>
  </r>
  <r>
    <x v="24"/>
    <s v="Juan Sebastian"/>
    <s v="Salas Hinojosa"/>
    <s v="juansahi@unisabana.edu.co"/>
    <x v="19"/>
    <d v="2026-02-17T00:00:00"/>
    <x v="8"/>
    <s v="Entregado"/>
    <s v="Retroalimentación de la Entrega: Calculadora de DivisasCalificación Final: 50/50Comentarios del Profesor:Equipo, han presentado una solución de nivel excepcional. Han ido mucho más allá de los requerimientos básicos del script, demostrando una autogestión y una curiosidad técnica sobresaliente.Puntos Destacados:Robustez Técnica: La implementación de una función de normalización de números (normalizar_numero) para manejar diferentes separadores de miles y decimales (puntos y comas) es una práctica de nivel profesional. Esto resuelve un problema real en bases de datos financieras internacionales.Validación de Datos: El uso de try-except combinado con un bucle while asegura que el programa no se rompa ante entradas inválidas, garantizando la continuidad del proceso.Documentación: Cada bloque de código y función interna está perfectamente documentado, facilitando la trazabilidad de la lógica.Creatividad en el Output: La presentación final con emojis y separadores visuales hace que la herramienta sea intuitiva y agradable para el usuario final.Motivación:El nivel técnico mostrado en esta tarea supera las expectativas para esta etapa del curso. Han aplicado conceptos de validación y limpieza de datos que suelen verse más adelante. Sigan con ese ímpetu; tienen un perfil técnico muy fuerte que les permitirá destacar en el Parcial del 25 de febrero.Rúbrica de CalificaciónCriterio de EvaluaciónDescripciónPuntaje MáximoPuntaje ObtenidoUso de Casting (float)Conversión impecable y manejo de errores en tipos de datos.10.010.0Formato de SalidaUso avanzado de f-strings y presentación visual profesional.10.010.0Markdown y EstructuraNombres completos, descripción técnica y guía de usuario clara.10.010.0Funcionalidad y LógicaLógica superior con validaciones y normalización de entradas.10.010.0DocumentaciónComentarios detallados en cada línea y función del script.10.010.0TOTAL50.050.0Diego Mauricio Zuluaga RodríguezProfesor - Departamento de EconomíaUniversidad de La Sabana"/>
    <n v="50"/>
    <n v="50"/>
    <n v="1"/>
  </r>
  <r>
    <x v="25"/>
    <s v="Avril Avril"/>
    <s v="Ariza Quitian"/>
    <s v="avrilarqu@unisabana.edu.co"/>
    <x v="19"/>
    <d v="2026-02-17T00:00:00"/>
    <x v="8"/>
    <s v="Entregado"/>
    <s v="Retroalimentación de la Entrega: Calculadora de DivisasCalificación Final: 50/50Comentarios del Profesor:Excelente ejecución técnica, equipo. Han captado perfectamente la importancia de la precisión y la presentación en un reporte financiero.Puntos Destacados:Dominio Técnico: El uso del casting con float() es correcto, asegurando que el sistema no falle al ingresar centavos o tasas con decimales.Lógica Financiera: Es muy valioso que hayan utilizado la tasa de paridad EUR/USD para llegar al resultado del Euro. Este es un enfoque avanzado que demuestra que investigaron la sugerencia de la guía.Estética del Reporte: El uso de f-strings con formato :,.2f es impecable. Presentar un resultado como $5,000,000.00 en lugar de un número plano sin formato es lo que se espera de un profesional de la EICEA.Documentación: El código está bien estructurado y cada paso está debidamente comentado, lo que facilita su auditoría.Motivación:Han demostrado una excelente comprensión de los fundamentos. Este rigor en el manejo de datos les será de gran utilidad para el Taller del Corte 1 (30%) y el Parcial del 25 de febrero. Sigan así, manteniendo el orden y la claridad en su lógica de programación.Rúbrica de CalificaciónCriterio de EvaluaciónDescripciónPuntaje MáximoPuntaje ObtenidoUso de Casting (float)Conversión correcta de todas las entradas numéricas.10.010.0Formato de SalidaUso de f-strings, separadores de miles y precisión decimal.10.010.0Markdown y EstructuraInclusión de integrantes y descripción de la actividad.10.010.0Funcionalidad y LógicaCálculos precisos (uso de paridad EUR/USD).10.010.0DocumentaciónUso de comentarios y docstrings para explicar el código.10.010.0TOTAL50.050.0Diego Mauricio Zuluaga RodríguezProfesor - Departamento de EconomíaUniversidad de La Sabana"/>
    <n v="50"/>
    <n v="50"/>
    <n v="1"/>
  </r>
  <r>
    <x v="26"/>
    <s v="Samuel David"/>
    <s v="Simancas Contreras"/>
    <s v="samuelsico@unisabana.edu.co"/>
    <x v="19"/>
    <d v="2026-02-17T00:00:00"/>
    <x v="8"/>
    <s v="Entregado"/>
    <m/>
    <n v="0"/>
    <n v="50"/>
    <n v="0"/>
  </r>
  <r>
    <x v="27"/>
    <s v="Maria Jose"/>
    <s v="Huertas Osorio"/>
    <s v="mariahueos@unisabana.edu.co"/>
    <x v="19"/>
    <d v="2026-02-17T00:00:00"/>
    <x v="8"/>
    <s v="Entregado"/>
    <s v="Retroalimentación de la Entrega: Calculadora de DivisasCalificación Final: 50/50Comentarios del Profesor:Excelente ejecución técnica, equipo. Han presentado una solución robusta que cumple con todos los estándares de calidad exigidos para el análisis financiero en Python.Puntos Destacados:Dominio del Casting: El uso de float() es correcto y necesario, asegurando que el programa no falle al procesar cifras con decimales, algo crítico en el manejo de TRM.Estética y Claridad: El reporte final en consola es muy limpio. El uso de f-strings con el formato :,.2f demuestra que tienen control sobre la visualización de datos, permitiendo que un usuario final entienda las cifras de inmediato.Documentación Proactiva: Es muy valioso que incluyan comentarios referenciando lo visto en las celdas de clase. Esto evidencia un seguimiento riguroso del material y una excelente autogestión del aprendizaje.Análisis Multiescenario: Incluir una segunda versión con tasas fijas para comparación es una excelente práctica de validación de datos.Motivación:Tienen una base sólida en sintaxis y lógica secuencial. Mantengan este nivel de detalle para el Taller del Corte 1 y el Parcial del 25 de febrero. La capacidad de documentar y estructurar así su trabajo les ahorrará mucho tiempo en proyectos más complejos. ¡Buen trabajo!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
    <n v="50"/>
    <n v="50"/>
    <n v="1"/>
  </r>
  <r>
    <x v="28"/>
    <s v="Juan Camilo"/>
    <s v="Leyton Lancheros"/>
    <s v="juanleyla@unisabana.edu.co"/>
    <x v="19"/>
    <d v="2026-02-17T00:00:00"/>
    <x v="8"/>
    <s v="Entregado"/>
    <s v="Retroalimentación de la Entrega: Calculadora de DivisasCalificación Final: 45/50Comentarios del Profesor:Buen trabajo, equipo. El script es funcional y cumple con el objetivo básico de conversión. Sin embargo, para alcanzar la excelencia profesional (5.0), deben prestar atención a los requerimientos técnicos específicos y al formato de salida de datos financieros.Puntos a Mejorar:Solicitud de TRM: El enunciado solicitaba expresamente solicitar la TRM del día al usuario mediante input(). Ustedes dejaron las tasas fijas (hardcoded) en el código. En finanzas, un script que no permite actualizar la tasa de cambio pierde utilidad inmediata ante la volatilidad del mercado.Claridad en el Formato: Aunque usaron f-strings, el resultado impreso (50000.0) carece de separadores de miles y limitación de decimales. En un contexto bancario o administrativo, es vital presentar los montos como $ 50,000.00 para evitar errores de lectura.Puntos Fuertes:Documentación: El código está muy bien comentado, explicando el propósito de cada celda.Casting: El uso de float() en la entrada del monto es correcto.Motivación:Tienen una base sólida. Para el parcial del 25 de febrero, asegúrense de leer cada requerimiento del enunciado detalladamente. La diferencia entre un analista estándar y uno de alto nivel está en la capacidad de entregar herramientas flexibles y con formatos de lectura impecables. ¡Sigan practicando!Rúbrica de CalificaciónCriterio de EvaluaciónDescripciónPuntaje MáximoPuntaje ObtenidoUso de Casting (float)Conversión correcta de la entrada de COP a valor numérico.10.010.0Formato de SalidaUso de f-strings, pero faltaron separadores de miles y límite de decimales.10.07.0Markdown y EstructuraInclusión de nombres y descripción de la tarea.10.010.0Funcionalidad y LógicaEl script funciona, pero no solicita la TRM como se pidió (tasas fijas).10.08.0DocumentaciónComentarios claros explicando la lógica de cada sección.10.010.0TOTAL50.045.0Diego Mauricio Zuluaga RodríguezProfesor - Departamento de EconomíaUniversidad de La Sabana"/>
    <n v="45"/>
    <n v="50"/>
    <n v="0.9"/>
  </r>
  <r>
    <x v="29"/>
    <s v="Samuel Mathias"/>
    <s v="Gonzalez Bernal"/>
    <s v="samuelgonbe@unisabana.edu.co"/>
    <x v="19"/>
    <d v="2026-02-17T00:00:00"/>
    <x v="8"/>
    <s v="Entregado"/>
    <s v="Retroalimentación de la Entrega: Conversor de Divisas Calificación Final: 48/50 Comentarios del Profesor:  Buen trabajo, equipo. Han logrado un script funcional que cumple con el objetivo técnico de la herramienta financiera. El código es claro y la lógica de conversión es correcta.Puntos Fuertes:Casting Correcto: El uso de float() en todas las entradas es adecuado para manejar la precisión que requieren las tasas de cambio.Formato Profesional: Excelente implementación de f-strings con :,.2f. Esto demuestra que comprendieron cómo presentar datos monetarios de forma legible para un usuario final.Creatividad: El uso de emojis y separadores visuales mejora significativamente la experiencia de usuario en la consola.Oportunidades de Mejora:Identificación (Markdown): Las instrucciones solicitaban los nombres completos. Faltaron los segundos apellidos de los integrantes, lo cual es fundamental para el registro formal de notas en la EICEA.Detalle en Salida: En la línea de Euros, el mensaje imprime $ €. Recuerden que cada moneda tiene su propio símbolo; lo ideal sería dejar únicamente el símbolo de Euro (€) para evitar confusiones financieras.Estructura: Aunque en Jupyter se pueden usar varias celdas, se recomienda que el bloque lógico principal esté en una sola celda para que el script se ejecute de forma continua sin depender de ejecuciones previas de celdas separadas. Motivación:  Tienen una base sólida. Pequeños detalles de precisión y formalidad en la identificación son lo único que los separa de la excelencia total. Sigan practicando la lógica de validación, ya que será clave para el Parcial del 25 de febrero. ¡Buen esfuerzo!Rúbrica de CalificaciónCriterio de EvaluaciónDescripciónPuntaje MáximoPuntaje ObtenidoUso de Casting (float)Conversión correcta de entradas de texto a valores numéricos.10.010.0Formato de SalidaUso de f-strings, separadores y precisión de 2 decimales.10.09.5Markdown y EstructuraIdentificación de integrantes (Nombres completos) y descripción.10.08.5Funcionalidad y LógicaEl script realiza los cálculos de conversión correctamente.10.010.0DocumentaciónComentarios claros explicando la lógica de cada paso.10.010.0TOTAL50.048.0Diego Mauricio Zuluaga Rodríguez Profesor - Departamento de Economía Universidad de La Sabana"/>
    <n v="48"/>
    <n v="50"/>
    <n v="0.96"/>
  </r>
  <r>
    <x v="30"/>
    <s v="Valeria"/>
    <s v="Morales"/>
    <s v="valeriamor@unisabana.edu.co"/>
    <x v="19"/>
    <d v="2026-02-17T00:00:00"/>
    <x v="8"/>
    <s v="Entregado"/>
    <s v="Retroalimentación de la Entrega: Calculadora de DivisasCalificación Final: 48/50Comentarios del Profesor:Buen trabajo, Paula y Valeria. Han presentado una solución técnica muy sólida con un enfoque financiero interesante.Puntos Destacados:Lógica Financiera Superior: Me llamó la atención que utilizaran la paridad EUR/USD para calcular el valor en Euros a partir del resultado en Dólares. Esta es una lógica de mercado real (triangulación de divisas) que demuestra que entienden el trasfondo económico del ejercicio, no solo la programación.Impecable Formato de Salida: El uso de f-strings con :,.2f y los separadores visuales en la consola (============CONVERSIÓN============) hacen que el reporte sea profesional y fácil de leer para un usuario final.Documentación Precisa: Los comentarios explican claramente el porqué del uso de float(), lo cual evidencia que comprenden el concepto de Casting.Observación de Autogestión (Oportunidad de Mejora):Conformación del Grupo: Las instrucciones iniciales y el contrato pedagógico estipulaban el trabajo en grupos de 3 estudiantes. En esta entrega solo figuran dos integrantes. Es vital seguir las instrucciones de organización grupal para fomentar el trabajo colaborativo completo. Por este detalle administrativo, se descuentan 2 puntos en el criterio de estructura.Motivación:Tienen un dominio técnico muy claro de los fundamentos vistos hasta ahora. Esa capacidad de aplicar &quot;lógica de paridad&quot; les será de gran utilidad en el Parcial del 25 de febrero. Sigan así, cuidando tanto el código como el cumplimiento de los lineamientos administrativos.Rúbrica de CalificaciónCriterio de EvaluaciónDescripciónPuntaje MáximoPuntaje ObtenidoUso de Casting (float)Conversión correcta de entradas a decimales.10.010.0Formato de SalidaUso de f-strings, separadores de miles y precisión decimal.10.010.0Markdown y EstructuraPresentación y nombres.10.010.0Funcionalidad y LógicaCálculos correctos. Excelente uso de paridad EUR/USD.10.010.0DocumentaciónComentarios claros y explicativos en el código.10.010.0TOTAL50.050.0Diego Mauricio Zuluaga RodríguezProfesor - Departamento de EconomíaUniversidad de La Sabana"/>
    <n v="50"/>
    <n v="50"/>
    <n v="1"/>
  </r>
  <r>
    <x v="31"/>
    <s v="Samantha"/>
    <s v="Vanegas Russi"/>
    <s v="samanthavaru@unisabana.edu.co"/>
    <x v="19"/>
    <d v="2026-02-17T00:00:00"/>
    <x v="8"/>
    <s v="Entregado"/>
    <s v="Retroalimentación de la Entrega: Calculadora de DivisasCalificación Final: 50/50Comentarios del Profesor:Excelente ejecución técnica, equipo. Han captado perfectamente la importancia de la precisión y la presentación en un reporte financiero.Puntos Destacados:Dominio Técnico: El uso del casting con float() es correcto, asegurando que el sistema no falle al ingresar centavos o tasas con decimales.Lógica Financiera: Es muy valioso que hayan utilizado la tasa de paridad EUR/USD para llegar al resultado del Euro. Este es un enfoque avanzado que demuestra que investigaron la sugerencia de la guía.Estética del Reporte: El uso de f-strings con formato :,.2f es impecable. Presentar un resultado como $5,000,000.00 en lugar de un número plano sin formato es lo que se espera de un profesional de la EICEA.Documentación: El código está bien estructurado y cada paso está debidamente comentado, lo que facilita su auditoría.Motivación:Han demostrado una excelente comprensión de los fundamentos. Este rigor en el manejo de datos les será de gran utilidad para el Taller del Corte 1 (30%) y el Parcial del 25 de febrero. Sigan así, manteniendo el orden y la claridad en su lógica de programación.Rúbrica de CalificaciónCriterio de EvaluaciónDescripciónPuntaje MáximoPuntaje ObtenidoUso de Casting (float)Conversión correcta de todas las entradas numéricas.10.010.0Formato de SalidaUso de f-strings, separadores de miles y precisión decimal.10.010.0Markdown y EstructuraInclusión de integrantes y descripción de la actividad.10.010.0Funcionalidad y LógicaCálculos precisos (uso de paridad EUR/USD).10.010.0DocumentaciónUso de comentarios y docstrings para explicar el código.10.010.0TOTAL50.050.0Diego Mauricio Zuluaga RodríguezProfesor - Departamento de EconomíaUniversidad de La Sabana"/>
    <n v="50"/>
    <n v="50"/>
    <n v="1"/>
  </r>
  <r>
    <x v="32"/>
    <s v="Juan Jose"/>
    <s v="Caballero Mantilla"/>
    <s v="juancabma@unisabana.edu.co"/>
    <x v="19"/>
    <d v="2026-02-17T00:00:00"/>
    <x v="8"/>
    <s v="Entregado"/>
    <s v="Retroalimentación de la Entrega: Calculadora de Divisas Calificación Final: 19.0 / 50.0 Comentarios del Profesor:  Juan José, la calificación refleja un incumplimiento crítico de las instrucciones de autogestión y de los tiempos establecidos en el cronograma del curso.Puntos Críticos:Incumplimiento de Identificación: La instrucción de Markdown exigía explícitamente los nombres completos de los integrantes. Has entregado el archivo con los marcadores de posición &quot;Integrante 1, 2, 3&quot;. Esto impide la validación del trabajo en equipo y demuestra falta de revisión final.Calidad de Salida (Output): Los mensajes son extremadamente planos. No utilizas f-strings ni formatos de precisión decimal (:.2f), lo cual era un requerimiento para que el resultado fuera profesional (&quot;lo que verá el usuario final&quot;).Penalización por Retraso: La tarea fue entregada con 3 días de retraso. Según la política de rigurosidad del curso, se aplica un descuento de 5 puntos por cada día de demora (-15 puntos en total).Puntos a Favor:El código es funcional y aplica correctamente el casting de float() para las entradas y int() para la parte entera. La lógica aritmética de conversión es correcta. Motivación:  La programación exige atención al detalle. Tienes la capacidad técnica para resolver el problema, pero la autogestión (revisar el cumplimiento de la rúbrica antes de enviar y cumplir los plazos) es lo que define a un profesional. Debes mejorar drásticamente tu organización para el parcial del 25 de febrero, donde no habrá margen de error en las instrucciones.Rúbrica de CalificaciónCriterio de EvaluaciónPuntaje MáximoPuntaje ObtenidoObservacionesUso de Casting (float/int)10.010.0Implementado correctamente.Claridad en mensajes de salida10.06.0Muy básico. Sin formato de moneda ni f-strings.Nombres en Markdown10.00.0Incumplimiento total. Dejó &quot;Integrante 1, 2, 3&quot;.Funcionalidad y Lógica10.010.0El script realiza los cálculos.Documentación10.08.0Comentarios básicos presentes.Subtotal50.034.0Penalización por Retraso-15.03 días de retraso (-5.0 por día).TOTAL FINAL19.0Diego Mauricio Zuluaga Rodríguez Profesor - Departamento de Economía Universidad de La Sabana"/>
    <n v="19"/>
    <n v="50"/>
    <n v="0.38"/>
  </r>
  <r>
    <x v="33"/>
    <s v="Daniel Camilo"/>
    <s v="Lopez Piraquive"/>
    <s v="danielloppi@unisabana.edu.co"/>
    <x v="19"/>
    <d v="2026-02-17T00:00:00"/>
    <x v="8"/>
    <s v="Entregado"/>
    <s v="Retroalimentación de la Entrega: Calculadora de DivisasCalificación Final: 50/50Comentarios del Profesor:Excelente ejecución técnica, equipo. Han captado perfectamente la importancia de la precisión y la presentación en un reporte financiero.Puntos Destacados:Dominio Técnico: El uso del casting con float() es correcto, asegurando que el sistema no falle al ingresar centavos o tasas con decimales.Lógica Financiera: Es muy valioso que hayan utilizado la tasa de paridad EUR/USD para llegar al resultado del Euro. Este es un enfoque avanzado que demuestra que investigaron la sugerencia de la guía.Estética del Reporte: El uso de f-strings con formato :,.2f es impecable. Presentar un resultado como $5,000,000.00 en lugar de un número plano sin formato es lo que se espera de un profesional de la EICEA.Documentación: El código está bien estructurado y cada paso está debidamente comentado, lo que facilita su auditoría.Motivación:Han demostrado una excelente comprensión de los fundamentos. Este rigor en el manejo de datos les será de gran utilidad para el Taller del Corte 1 (30%) y el Parcial del 25 de febrero. Sigan así, manteniendo el orden y la claridad en su lógica de programación.Rúbrica de CalificaciónCriterio de EvaluaciónDescripciónPuntaje MáximoPuntaje ObtenidoUso de Casting (float)Conversión correcta de todas las entradas numéricas.10.010.0Formato de SalidaUso de f-strings, separadores de miles y precisión decimal.10.010.0Markdown y EstructuraInclusión de integrantes y descripción de la actividad.10.010.0Funcionalidad y LógicaCálculos precisos (uso de paridad EUR/USD).10.010.0DocumentaciónUso de comentarios y docstrings para explicar el código.10.010.0TOTAL50.050.0Diego Mauricio Zuluaga RodríguezProfesor - Departamento de EconomíaUniversidad de La Sabana"/>
    <n v="50"/>
    <n v="50"/>
    <n v="1"/>
  </r>
  <r>
    <x v="34"/>
    <s v="Gabriela"/>
    <s v="Ruiz Perez"/>
    <s v="gabrielarupe@unisabana.edu.co"/>
    <x v="19"/>
    <d v="2026-02-17T00:00:00"/>
    <x v="8"/>
    <s v="Entregado"/>
    <s v="Retroalimentación de la Entrega: Calculadora de DivisasCalificación Final: 50/50Comentarios del Profesor:Excelente ejecución técnica, equipo. Han presentado una solución robusta que cumple con todos los estándares de calidad exigidos para el análisis financiero en Python.Puntos Destacados:Dominio del Casting: El uso de float() es correcto y necesario, asegurando que el programa no falle al procesar cifras con decimales, algo crítico en el manejo de TRM.Estética y Claridad: El reporte final en consola es muy limpio. El uso de f-strings con el formato :,.2f demuestra que tienen control sobre la visualización de datos, permitiendo que un usuario final entienda las cifras de inmediato.Documentación Proactiva: Es muy valioso que incluyan comentarios referenciando lo visto en las celdas de clase. Esto evidencia un seguimiento riguroso del material y una excelente autogestión del aprendizaje.Análisis Multiescenario: Incluir una segunda versión con tasas fijas para comparación es una excelente práctica de validación de datos.Motivación:Tienen una base sólida en sintaxis y lógica secuencial. Mantengan este nivel de detalle para el Taller del Corte 1 y el Parcial del 25 de febrero. La capacidad de documentar y estructurar así su trabajo les ahorrará mucho tiempo en proyectos más complejos. ¡Buen trabajo!Rúbrica de CalificaciónCriterio de EvaluaciónDescripciónPuntaje MáximoPuntaje ObtenidoUso de Casting (float)Conversión correcta de entradas de texto a valores numéricos decimales.10.010.0Formato de SalidaUso de f-strings, separadores de miles y precisión de 2 decimales.10.010.0Markdown y EstructuraInclusión de nombres completos y descripción clara de la tarea.10.010.0Funcionalidad y LógicaEl script realiza los cálculos correctamente y no presenta errores.10.010.0DocumentaciónComentarios claros con # explicando la lógica de cada sección.10.010.0TOTAL50.050.0Diego Mauricio Zuluaga RodríguezProfesor - Departamento de EconomíaUniversidad de La Sabana"/>
    <n v="50"/>
    <n v="50"/>
    <n v="1"/>
  </r>
  <r>
    <x v="35"/>
    <s v="Juan Sebastian"/>
    <s v="Perdomo Herrera"/>
    <s v="juanperhe@unisabana.edu.co"/>
    <x v="19"/>
    <d v="2026-02-17T00:00:00"/>
    <x v="8"/>
    <s v="Entregado"/>
    <m/>
    <n v="0"/>
    <n v="50"/>
    <n v="0"/>
  </r>
  <r>
    <x v="36"/>
    <s v="Martin Martin"/>
    <s v="Trujillo Rodriguez"/>
    <s v="martintrro@unisabana.edu.co"/>
    <x v="19"/>
    <d v="2026-02-17T00:00:00"/>
    <x v="8"/>
    <s v="Entregado"/>
    <s v="Retroalimentación de la Entrega: Calculadora de Divisas Calificación Final: 15/50 Comentarios del Profesor:  Martin, he revisado tu entrega. Aunque el código es funcional y cumple con la lógica básica de programación, existen fallos críticos en el seguimiento de instrucciones y en la puntualidad que afectan significativamente la nota.Puntos a mejorar:Incumplimiento de Requisitos de Identificación: En la sección de Markdown, dejaste los campos como &quot;Integrante 1, 2, 3&quot; en lugar de colocar los nombres reales. La rúbrica exige el cumplimiento estricto de los nombres para validar el trabajo.Puntualidad: La tarea fue entregada con 16 horas de retraso. En el ejercicio profesional y según nuestro contrato pedagógico, el cumplimiento de los deadlines es innegociable. Se ha aplicado la penalización correspondiente.Claridad de Salida: Los mensajes de impresión son muy básicos. No utilizaste f-strings ni diste formato a los decimales (moneda), lo cual era un requerimiento para la experiencia del usuario final.Puntos Positivos:Uso de Casting: Aplicaste correctamente tanto float() para las entradas como int() para mostrar la parte entera, demostrando que comprendes la diferencia entre tipos de datos.Documentación: El código tiene comentarios claros que explican qué hace cada sección. Motivación:  Martin, tienes la capacidad técnica para programar, pero la autogestión (atención al detalle y manejo del tiempo) es lo que define a un profesional de excelencia. Te invito a leer con más detenitud las instrucciones de las próximas tareas y a planificar tus entregas con antelación para evitar penalizaciones por tiempo. Tienes todo para mejorar en el parcial si aplicas rigor en estos detalles.Rúbrica de CalificaciónCriterio de EvaluaciónDescripciónPuntaje MáximoPuntaje ObtenidoUso de Casting (float/int)Conversión correcta de tipos de datos.10.010.0Claridad en Mensajes (Print)Uso de formato y creatividad en la salida.10.05.0Markdown e IdentificaciónNombres de integrantes (Se usaron placeholders).10.00.0DocumentaciónComentarios explicando la lógica del código.10.010.0Entrega OportunaPenalización por 16 horas de retraso.10.0-10.0TOTAL50.015.0Diego Mauricio Zuluaga Rodríguez Profesor - Departamento de Economía Universidad de La Sabana"/>
    <n v="15"/>
    <n v="50"/>
    <n v="0.3"/>
  </r>
  <r>
    <x v="37"/>
    <s v="Alan David"/>
    <s v="Rossoff Vanegas"/>
    <s v="alanrova@unisabana.edu.co"/>
    <x v="19"/>
    <d v="2026-02-17T00:00:00"/>
    <x v="8"/>
    <s v="Entregado"/>
    <s v="Retroalimentación de la Entrega: Calculadora de DivisasCalificación Final: 50/50Comentarios del Profesor:Equipo, han presentado una solución de nivel excepcional. Han ido mucho más allá de los requerimientos básicos del script, demostrando una autogestión y una curiosidad técnica sobresaliente.Puntos Destacados:Robustez Técnica: La implementación de una función de normalización de números (normalizar_numero) para manejar diferentes separadores de miles y decimales (puntos y comas) es una práctica de nivel profesional. Esto resuelve un problema real en bases de datos financieras internacionales.Validación de Datos: El uso de try-except combinado con un bucle while asegura que el programa no se rompa ante entradas inválidas, garantizando la continuidad del proceso.Documentación: Cada bloque de código y función interna está perfectamente documentado, facilitando la trazabilidad de la lógica.Creatividad en el Output: La presentación final con emojis y separadores visuales hace que la herramienta sea intuitiva y agradable para el usuario final.Motivación:El nivel técnico mostrado en esta tarea supera las expectativas para esta etapa del curso. Han aplicado conceptos de validación y limpieza de datos que suelen verse más adelante. Sigan con ese ímpetu; tienen un perfil técnico muy fuerte que les permitirá destacar en el Parcial del 25 de febrero.Rúbrica de CalificaciónCriterio de EvaluaciónDescripciónPuntaje MáximoPuntaje ObtenidoUso de Casting (float)Conversión impecable y manejo de errores en tipos de datos.10.010.0Formato de SalidaUso avanzado de f-strings y presentación visual profesional.10.010.0Markdown y EstructuraNombres completos, descripción técnica y guía de usuario clara.10.010.0Funcionalidad y LógicaLógica superior con validaciones y normalización de entradas.10.010.0DocumentaciónComentarios detallados en cada línea y función del script.10.010.0TOTAL50.050.0Diego Mauricio Zuluaga RodríguezProfesor - Departamento de EconomíaUniversidad de La Sabana"/>
    <n v="50"/>
    <n v="50"/>
    <n v="1"/>
  </r>
  <r>
    <x v="38"/>
    <s v="Diego Alejandro"/>
    <s v="Hermida Limas"/>
    <s v="diegoherli@unisabana.edu.co"/>
    <x v="19"/>
    <d v="2026-02-17T00:00:00"/>
    <x v="8"/>
    <s v="Entregado"/>
    <s v="Retroalimentación de la Entrega: Calculadora de Divisas Calificación Final: 36/50 Comentarios del Profesor:  Equipo, han presentado un script funcional en su estructura básica, pero existen errores críticos de lógica financiera y técnica que deben corregir para el parcial.Observaciones Técnicas:Error de Lógica Financiera: La fórmula utilizada VALOR_COP / 1000 * TRM es incorrecta. En el mercado de divisas, para pasar de pesos a dólares se divide el monto por la tasa (COP / TRM). Su fórmula actual multiplica el valor, lo que genera resultados astronómicos y erróneos.Riesgo en el Casting: Utilizar int() para el VALOR_COP es una práctica arriesgada. Si un usuario ingresa un valor con decimales (ej. 10500.50), el programa colapsará inmediatamente con un ValueError. En finanzas, siempre debemos usar float().Presentación del Output: Los mensajes de salida son muy planos. No se utilizaron f-strings ni formatos de precisión (como :.2f). Esto causa que los resultados se muestren con demasiados decimales, dificultando la lectura profesional.Ortografía: Tengan cuidado con la presentación en el Markdown. Palabras como &quot;calcualadora&quot; o la falta de mayúsculas restan profesionalismo a su portafolio. Motivación:  Tienen la estructura base clara, pero en Programación y Decisiones la precisión es lo que separa un código útil de uno peligroso. Les recomiendo revisar la jerarquía de operaciones y el uso de formatos de texto antes del parcial del 25 de febrero. ¡A ajustar esa lógica!Rúbrica de CalificaciónCriterio de EvaluaciónDescripciónPuntaje MáximoPuntaje ObtenidoUso de CastingUso de int en lugar de float para moneda limita la estabilidad del programa.10.07.0Formato de SalidaAusencia de f-strings, redondeo a 2 decimales y separadores de miles.10.05.0Markdown y EstructuraIncluye nombres y descripción, pero con errores ortográficos.10.08.0Funcionalidad y LógicaError grave: La fórmula matemática aplicada no corresponde a una conversión real.10.04.0DocumentaciónComentarios presentes pero extremadamente breves.10.08.0TOTAL50.032.0Nota: Se han otorgado 4 puntos adicionales por la entrega del archivo en el formato solicitado (.ipynb), para un total de 36.0.Diego Mauricio Zuluaga Rodríguez Profesor - Departamento de Economía Universidad de La Sabana"/>
    <n v="36"/>
    <n v="50"/>
    <n v="0.72"/>
  </r>
  <r>
    <x v="0"/>
    <s v="Paula Andrea"/>
    <s v="Arciniegas Cardenas"/>
    <s v="paulaarcca@unisabana.edu.co"/>
    <x v="20"/>
    <d v="2026-02-11T00:00:00"/>
    <x v="6"/>
    <s v="Entregado"/>
    <m/>
    <n v="50"/>
    <n v="50"/>
    <n v="1"/>
  </r>
  <r>
    <x v="1"/>
    <s v="Sofia"/>
    <s v="Giraldo Pico"/>
    <s v="sofiagipi@unisabana.edu.co"/>
    <x v="20"/>
    <d v="2026-02-11T00:00:00"/>
    <x v="6"/>
    <s v="Entregado"/>
    <m/>
    <n v="40"/>
    <n v="50"/>
    <n v="0.8"/>
  </r>
  <r>
    <x v="2"/>
    <s v="Valery"/>
    <s v="Linares Hernandez"/>
    <s v="valerylihe@unisabana.edu.co"/>
    <x v="20"/>
    <d v="2026-02-11T00:00:00"/>
    <x v="6"/>
    <s v="Entregado"/>
    <m/>
    <n v="50"/>
    <n v="50"/>
    <n v="1"/>
  </r>
  <r>
    <x v="3"/>
    <s v="Nicolas"/>
    <s v="Torres Calderon"/>
    <s v="nicolastorca@unisabana.edu.co"/>
    <x v="20"/>
    <d v="2026-02-11T00:00:00"/>
    <x v="6"/>
    <s v="Entregado"/>
    <m/>
    <n v="50"/>
    <n v="50"/>
    <n v="1"/>
  </r>
  <r>
    <x v="4"/>
    <s v="Cristian"/>
    <s v="Bermudez"/>
    <s v="cristianbe@unisabana.edu.co"/>
    <x v="20"/>
    <d v="2026-02-11T00:00:00"/>
    <x v="6"/>
    <s v="Entregado"/>
    <m/>
    <n v="50"/>
    <n v="50"/>
    <n v="1"/>
  </r>
  <r>
    <x v="8"/>
    <s v="Samuel David"/>
    <s v="Lozano Holguin"/>
    <s v="samuelloho@unisabana.edu.co"/>
    <x v="20"/>
    <d v="2026-02-11T00:00:00"/>
    <x v="6"/>
    <s v="Entregado"/>
    <m/>
    <n v="50"/>
    <n v="50"/>
    <n v="1"/>
  </r>
  <r>
    <x v="9"/>
    <s v="Sebastian"/>
    <s v="Vanoy Gutierrez"/>
    <s v="sebastianvagu@unisabana.edu.co"/>
    <x v="20"/>
    <d v="2026-02-11T00:00:00"/>
    <x v="6"/>
    <s v="Entregado"/>
    <m/>
    <n v="50"/>
    <n v="50"/>
    <n v="1"/>
  </r>
  <r>
    <x v="6"/>
    <s v="Mariana"/>
    <s v="Pena Rodriguez"/>
    <s v="marianapero@unisabana.edu.co"/>
    <x v="20"/>
    <d v="2026-02-11T00:00:00"/>
    <x v="6"/>
    <s v="Entregado"/>
    <m/>
    <n v="50"/>
    <n v="50"/>
    <n v="1"/>
  </r>
  <r>
    <x v="7"/>
    <s v="Isabella"/>
    <s v="Carranza Tapiero"/>
    <s v="isabellacata@unisabana.edu.co"/>
    <x v="20"/>
    <d v="2026-02-11T00:00:00"/>
    <x v="6"/>
    <s v="Entregado"/>
    <m/>
    <n v="50"/>
    <n v="50"/>
    <n v="1"/>
  </r>
  <r>
    <x v="5"/>
    <s v="Mariana"/>
    <s v="Carmona Romero"/>
    <s v="marianacarrom@unisabana.edu.co"/>
    <x v="20"/>
    <d v="2026-02-11T00:00:00"/>
    <x v="6"/>
    <s v="Entregado"/>
    <m/>
    <n v="50"/>
    <n v="50"/>
    <n v="1"/>
  </r>
  <r>
    <x v="10"/>
    <s v="Jose Daniel"/>
    <s v="Escobar Hurtado"/>
    <s v="joseeshu@unisabana.edu.co"/>
    <x v="20"/>
    <d v="2026-02-11T00:00:00"/>
    <x v="6"/>
    <s v="Entregado"/>
    <m/>
    <n v="50"/>
    <n v="50"/>
    <n v="1"/>
  </r>
  <r>
    <x v="11"/>
    <s v="Maria Jose"/>
    <s v="Botero Galviz"/>
    <s v="mariabotga@unisabana.edu.co"/>
    <x v="20"/>
    <d v="2026-02-11T00:00:00"/>
    <x v="6"/>
    <s v="Entregado"/>
    <m/>
    <n v="50"/>
    <n v="50"/>
    <n v="1"/>
  </r>
  <r>
    <x v="12"/>
    <s v="Maria Juliana"/>
    <s v="Mejia Quintero"/>
    <s v="mariamequ@unisabana.edu.co"/>
    <x v="20"/>
    <d v="2026-02-11T00:00:00"/>
    <x v="6"/>
    <s v="Entregado"/>
    <m/>
    <n v="50"/>
    <n v="50"/>
    <n v="1"/>
  </r>
  <r>
    <x v="13"/>
    <s v="Alejandra"/>
    <s v="Leon Vargas"/>
    <s v="alejandraleva@unisabana.edu.co"/>
    <x v="20"/>
    <d v="2026-02-11T00:00:00"/>
    <x v="6"/>
    <s v="Entregado"/>
    <m/>
    <n v="0"/>
    <n v="50"/>
    <n v="0"/>
  </r>
  <r>
    <x v="14"/>
    <s v="Alessandro Di Mauro"/>
    <s v="Bonilla Correa"/>
    <s v="alessandroboco@unisabana.edu.co"/>
    <x v="20"/>
    <d v="2026-02-11T00:00:00"/>
    <x v="6"/>
    <s v="Entregado"/>
    <m/>
    <n v="50"/>
    <n v="50"/>
    <n v="1"/>
  </r>
  <r>
    <x v="15"/>
    <s v="Arianne Mariana"/>
    <s v="Amorocho Quiroga"/>
    <s v="arianneamqu@unisabana.edu.co"/>
    <x v="20"/>
    <d v="2026-02-11T00:00:00"/>
    <x v="6"/>
    <s v="Entregado"/>
    <m/>
    <n v="50"/>
    <n v="50"/>
    <n v="1"/>
  </r>
  <r>
    <x v="16"/>
    <s v="Maria Juliana"/>
    <s v="Herrera Pulido"/>
    <s v="mariahepu@unisabana.edu.co"/>
    <x v="20"/>
    <d v="2026-02-11T00:00:00"/>
    <x v="6"/>
    <s v="Entregado"/>
    <m/>
    <n v="50"/>
    <n v="50"/>
    <n v="1"/>
  </r>
  <r>
    <x v="17"/>
    <s v="Simon Gustavo"/>
    <s v="Restrepo Alvarez"/>
    <s v="simonreal@unisabana.edu.co"/>
    <x v="20"/>
    <d v="2026-02-11T00:00:00"/>
    <x v="6"/>
    <s v="Entregado"/>
    <m/>
    <n v="50"/>
    <n v="50"/>
    <n v="1"/>
  </r>
  <r>
    <x v="18"/>
    <s v="Daniel Felipe"/>
    <s v="Camacho Pedraza"/>
    <s v="danielcampe@unisabana.edu.co"/>
    <x v="20"/>
    <d v="2026-02-11T00:00:00"/>
    <x v="6"/>
    <s v="Entregado"/>
    <m/>
    <n v="50"/>
    <n v="50"/>
    <n v="1"/>
  </r>
  <r>
    <x v="19"/>
    <s v="Mateo"/>
    <s v="Perez Daza"/>
    <s v="mateopeda@unisabana.edu.co"/>
    <x v="20"/>
    <d v="2026-02-11T00:00:00"/>
    <x v="6"/>
    <s v="Entregado"/>
    <m/>
    <n v="50"/>
    <n v="50"/>
    <n v="1"/>
  </r>
  <r>
    <x v="20"/>
    <s v="Matias"/>
    <s v="Mondragon Osorio"/>
    <s v="matiasmoos@unisabana.edu.co"/>
    <x v="20"/>
    <d v="2026-02-11T00:00:00"/>
    <x v="6"/>
    <s v="Entregado"/>
    <m/>
    <n v="50"/>
    <n v="50"/>
    <n v="1"/>
  </r>
  <r>
    <x v="21"/>
    <s v="Juan David"/>
    <s v="Neuta Medina"/>
    <s v="juanneme@unisabana.edu.co"/>
    <x v="20"/>
    <d v="2026-02-11T00:00:00"/>
    <x v="6"/>
    <s v="Entregado"/>
    <m/>
    <n v="50"/>
    <n v="50"/>
    <n v="1"/>
  </r>
  <r>
    <x v="22"/>
    <s v="Laura Fernanda"/>
    <s v="Lopez Parra"/>
    <s v="lauraloppa@unisabana.edu.co"/>
    <x v="20"/>
    <d v="2026-02-11T00:00:00"/>
    <x v="6"/>
    <s v="Entregado"/>
    <m/>
    <n v="50"/>
    <n v="50"/>
    <n v="1"/>
  </r>
  <r>
    <x v="23"/>
    <s v="Lukas"/>
    <s v="Blanco Llanes"/>
    <s v="lukasblll@unisabana.edu.co"/>
    <x v="20"/>
    <d v="2026-02-11T00:00:00"/>
    <x v="6"/>
    <s v="Entregado"/>
    <m/>
    <n v="50"/>
    <n v="50"/>
    <n v="1"/>
  </r>
  <r>
    <x v="24"/>
    <s v="Juan Sebastian"/>
    <s v="Salas Hinojosa"/>
    <s v="juansahi@unisabana.edu.co"/>
    <x v="20"/>
    <d v="2026-02-11T00:00:00"/>
    <x v="6"/>
    <s v="Entregado"/>
    <m/>
    <n v="50"/>
    <n v="50"/>
    <n v="1"/>
  </r>
  <r>
    <x v="25"/>
    <s v="Avril Avril"/>
    <s v="Ariza Quitian"/>
    <s v="avrilarqu@unisabana.edu.co"/>
    <x v="20"/>
    <d v="2026-02-11T00:00:00"/>
    <x v="6"/>
    <s v="Entregado"/>
    <m/>
    <n v="50"/>
    <n v="50"/>
    <n v="1"/>
  </r>
  <r>
    <x v="26"/>
    <s v="Samuel David"/>
    <s v="Simancas Contreras"/>
    <s v="samuelsico@unisabana.edu.co"/>
    <x v="20"/>
    <d v="2026-02-11T00:00:00"/>
    <x v="6"/>
    <s v="Entregado"/>
    <m/>
    <n v="50"/>
    <n v="50"/>
    <n v="1"/>
  </r>
  <r>
    <x v="27"/>
    <s v="Maria Jose"/>
    <s v="Huertas Osorio"/>
    <s v="mariahueos@unisabana.edu.co"/>
    <x v="20"/>
    <d v="2026-02-11T00:00:00"/>
    <x v="6"/>
    <s v="Entregado"/>
    <m/>
    <n v="50"/>
    <n v="50"/>
    <n v="1"/>
  </r>
  <r>
    <x v="28"/>
    <s v="Juan Camilo"/>
    <s v="Leyton Lancheros"/>
    <s v="juanleyla@unisabana.edu.co"/>
    <x v="20"/>
    <d v="2026-02-11T00:00:00"/>
    <x v="6"/>
    <s v="Entregado"/>
    <m/>
    <n v="0"/>
    <n v="50"/>
    <n v="0"/>
  </r>
  <r>
    <x v="29"/>
    <s v="Samuel Mathias"/>
    <s v="Gonzalez Bernal"/>
    <s v="samuelgonbe@unisabana.edu.co"/>
    <x v="20"/>
    <d v="2026-02-11T00:00:00"/>
    <x v="6"/>
    <s v="Entregado"/>
    <m/>
    <n v="50"/>
    <n v="50"/>
    <n v="1"/>
  </r>
  <r>
    <x v="30"/>
    <s v="Valeria"/>
    <s v="Morales"/>
    <s v="valeriamor@unisabana.edu.co"/>
    <x v="20"/>
    <d v="2026-02-11T00:00:00"/>
    <x v="6"/>
    <s v="Entregado"/>
    <m/>
    <n v="50"/>
    <n v="50"/>
    <n v="1"/>
  </r>
  <r>
    <x v="31"/>
    <s v="Samantha"/>
    <s v="Vanegas Russi"/>
    <s v="samanthavaru@unisabana.edu.co"/>
    <x v="20"/>
    <d v="2026-02-11T00:00:00"/>
    <x v="6"/>
    <s v="Entregado"/>
    <m/>
    <n v="50"/>
    <n v="50"/>
    <n v="1"/>
  </r>
  <r>
    <x v="32"/>
    <s v="Juan Jose"/>
    <s v="Caballero Mantilla"/>
    <s v="juancabma@unisabana.edu.co"/>
    <x v="20"/>
    <d v="2026-02-11T00:00:00"/>
    <x v="6"/>
    <s v="Entregado"/>
    <m/>
    <n v="50"/>
    <n v="50"/>
    <n v="1"/>
  </r>
  <r>
    <x v="33"/>
    <s v="Daniel Camilo"/>
    <s v="Lopez Piraquive"/>
    <s v="danielloppi@unisabana.edu.co"/>
    <x v="20"/>
    <d v="2026-02-11T00:00:00"/>
    <x v="6"/>
    <s v="Entregado"/>
    <m/>
    <n v="50"/>
    <n v="50"/>
    <n v="1"/>
  </r>
  <r>
    <x v="34"/>
    <s v="Gabriela"/>
    <s v="Ruiz Perez"/>
    <s v="gabrielarupe@unisabana.edu.co"/>
    <x v="20"/>
    <d v="2026-02-11T00:00:00"/>
    <x v="6"/>
    <s v="Entregado"/>
    <m/>
    <n v="50"/>
    <n v="50"/>
    <n v="1"/>
  </r>
  <r>
    <x v="35"/>
    <s v="Juan Sebastian"/>
    <s v="Perdomo Herrera"/>
    <s v="juanperhe@unisabana.edu.co"/>
    <x v="20"/>
    <d v="2026-02-11T00:00:00"/>
    <x v="6"/>
    <s v="Entregado"/>
    <m/>
    <n v="40"/>
    <n v="50"/>
    <n v="0.8"/>
  </r>
  <r>
    <x v="36"/>
    <s v="Martin Martin"/>
    <s v="Trujillo Rodriguez"/>
    <s v="martintrro@unisabana.edu.co"/>
    <x v="20"/>
    <d v="2026-02-11T00:00:00"/>
    <x v="6"/>
    <s v="Entregado"/>
    <m/>
    <n v="50"/>
    <n v="50"/>
    <n v="1"/>
  </r>
  <r>
    <x v="37"/>
    <s v="Alan David"/>
    <s v="Rossoff Vanegas"/>
    <s v="alanrova@unisabana.edu.co"/>
    <x v="20"/>
    <d v="2026-02-11T00:00:00"/>
    <x v="6"/>
    <s v="Entregado"/>
    <m/>
    <n v="0"/>
    <n v="50"/>
    <n v="0"/>
  </r>
  <r>
    <x v="38"/>
    <s v="Diego Alejandro"/>
    <s v="Hermida Limas"/>
    <s v="diegoherli@unisabana.edu.co"/>
    <x v="20"/>
    <d v="2026-02-11T00:00:00"/>
    <x v="6"/>
    <s v="Entregado"/>
    <m/>
    <n v="50"/>
    <n v="50"/>
    <n v="1"/>
  </r>
  <r>
    <x v="0"/>
    <s v="Paula Andrea"/>
    <s v="Arciniegas Cardenas"/>
    <s v="paulaarcca@unisabana.edu.co"/>
    <x v="21"/>
    <d v="2026-02-04T00:00:00"/>
    <x v="6"/>
    <s v="Entregado"/>
    <m/>
    <n v="50"/>
    <n v="50"/>
    <n v="1"/>
  </r>
  <r>
    <x v="1"/>
    <s v="Sofia"/>
    <s v="Giraldo Pico"/>
    <s v="sofiagipi@unisabana.edu.co"/>
    <x v="21"/>
    <d v="2026-02-04T00:00:00"/>
    <x v="6"/>
    <s v="Entregado"/>
    <m/>
    <n v="40"/>
    <n v="50"/>
    <n v="0.8"/>
  </r>
  <r>
    <x v="2"/>
    <s v="Valery"/>
    <s v="Linares Hernandez"/>
    <s v="valerylihe@unisabana.edu.co"/>
    <x v="21"/>
    <d v="2026-02-04T00:00:00"/>
    <x v="6"/>
    <s v="Entregado"/>
    <m/>
    <n v="50"/>
    <n v="50"/>
    <n v="1"/>
  </r>
  <r>
    <x v="3"/>
    <s v="Nicolas"/>
    <s v="Torres Calderon"/>
    <s v="nicolastorca@unisabana.edu.co"/>
    <x v="21"/>
    <d v="2026-02-04T00:00:00"/>
    <x v="6"/>
    <s v="Entregado"/>
    <m/>
    <n v="0"/>
    <n v="50"/>
    <n v="0"/>
  </r>
  <r>
    <x v="4"/>
    <s v="Cristian"/>
    <s v="Bermudez"/>
    <s v="cristianbe@unisabana.edu.co"/>
    <x v="21"/>
    <d v="2026-02-04T00:00:00"/>
    <x v="6"/>
    <s v="Entregado"/>
    <m/>
    <n v="50"/>
    <n v="50"/>
    <n v="1"/>
  </r>
  <r>
    <x v="5"/>
    <s v="Mariana"/>
    <s v="Carmona Romero"/>
    <s v="marianacarrom@unisabana.edu.co"/>
    <x v="21"/>
    <d v="2026-02-04T00:00:00"/>
    <x v="6"/>
    <s v="Entregado"/>
    <m/>
    <n v="0"/>
    <n v="50"/>
    <n v="0"/>
  </r>
  <r>
    <x v="6"/>
    <s v="Mariana"/>
    <s v="Pena Rodriguez"/>
    <s v="marianapero@unisabana.edu.co"/>
    <x v="21"/>
    <d v="2026-02-04T00:00:00"/>
    <x v="6"/>
    <s v="Entregado"/>
    <m/>
    <n v="50"/>
    <n v="50"/>
    <n v="1"/>
  </r>
  <r>
    <x v="7"/>
    <s v="Isabella"/>
    <s v="Carranza Tapiero"/>
    <s v="isabellacata@unisabana.edu.co"/>
    <x v="21"/>
    <d v="2026-02-04T00:00:00"/>
    <x v="6"/>
    <s v="Entregado"/>
    <m/>
    <n v="50"/>
    <n v="50"/>
    <n v="1"/>
  </r>
  <r>
    <x v="8"/>
    <s v="Samuel David"/>
    <s v="Lozano Holguin"/>
    <s v="samuelloho@unisabana.edu.co"/>
    <x v="21"/>
    <d v="2026-02-04T00:00:00"/>
    <x v="6"/>
    <s v="Entregado"/>
    <m/>
    <n v="50"/>
    <n v="50"/>
    <n v="1"/>
  </r>
  <r>
    <x v="9"/>
    <s v="Sebastian"/>
    <s v="Vanoy Gutierrez"/>
    <s v="sebastianvagu@unisabana.edu.co"/>
    <x v="21"/>
    <d v="2026-02-04T00:00:00"/>
    <x v="6"/>
    <s v="Entregado"/>
    <m/>
    <n v="50"/>
    <n v="50"/>
    <n v="1"/>
  </r>
  <r>
    <x v="10"/>
    <s v="Jose Daniel"/>
    <s v="Escobar Hurtado"/>
    <s v="joseeshu@unisabana.edu.co"/>
    <x v="21"/>
    <d v="2026-02-04T00:00:00"/>
    <x v="6"/>
    <s v="Entregado"/>
    <m/>
    <n v="50"/>
    <n v="50"/>
    <n v="1"/>
  </r>
  <r>
    <x v="11"/>
    <s v="Maria Jose"/>
    <s v="Botero Galviz"/>
    <s v="mariabotga@unisabana.edu.co"/>
    <x v="21"/>
    <d v="2026-02-04T00:00:00"/>
    <x v="6"/>
    <s v="Entregado"/>
    <m/>
    <n v="50"/>
    <n v="50"/>
    <n v="1"/>
  </r>
  <r>
    <x v="12"/>
    <s v="Maria Juliana"/>
    <s v="Mejia Quintero"/>
    <s v="mariamequ@unisabana.edu.co"/>
    <x v="21"/>
    <d v="2026-02-04T00:00:00"/>
    <x v="6"/>
    <s v="Entregado"/>
    <m/>
    <n v="50"/>
    <n v="50"/>
    <n v="1"/>
  </r>
  <r>
    <x v="13"/>
    <s v="Alejandra"/>
    <s v="Leon Vargas"/>
    <s v="alejandraleva@unisabana.edu.co"/>
    <x v="21"/>
    <d v="2026-02-04T00:00:00"/>
    <x v="6"/>
    <s v="Entregado"/>
    <m/>
    <n v="0"/>
    <n v="50"/>
    <n v="0"/>
  </r>
  <r>
    <x v="14"/>
    <s v="Alessandro Di Mauro"/>
    <s v="Bonilla Correa"/>
    <s v="alessandroboco@unisabana.edu.co"/>
    <x v="21"/>
    <d v="2026-02-04T00:00:00"/>
    <x v="6"/>
    <s v="Entregado"/>
    <m/>
    <n v="0"/>
    <n v="50"/>
    <n v="0"/>
  </r>
  <r>
    <x v="15"/>
    <s v="Arianne Mariana"/>
    <s v="Amorocho Quiroga"/>
    <s v="arianneamqu@unisabana.edu.co"/>
    <x v="21"/>
    <d v="2026-02-04T00:00:00"/>
    <x v="6"/>
    <s v="Entregado"/>
    <m/>
    <n v="50"/>
    <n v="50"/>
    <n v="1"/>
  </r>
  <r>
    <x v="16"/>
    <s v="Maria Juliana"/>
    <s v="Herrera Pulido"/>
    <s v="mariahepu@unisabana.edu.co"/>
    <x v="21"/>
    <d v="2026-02-04T00:00:00"/>
    <x v="6"/>
    <s v="Entregado"/>
    <m/>
    <n v="50"/>
    <n v="50"/>
    <n v="1"/>
  </r>
  <r>
    <x v="17"/>
    <s v="Simon Gustavo"/>
    <s v="Restrepo Alvarez"/>
    <s v="simonreal@unisabana.edu.co"/>
    <x v="21"/>
    <d v="2026-02-04T00:00:00"/>
    <x v="6"/>
    <s v="Entregado"/>
    <m/>
    <n v="50"/>
    <n v="50"/>
    <n v="1"/>
  </r>
  <r>
    <x v="18"/>
    <s v="Daniel Felipe"/>
    <s v="Camacho Pedraza"/>
    <s v="danielcampe@unisabana.edu.co"/>
    <x v="21"/>
    <d v="2026-02-04T00:00:00"/>
    <x v="6"/>
    <s v="Entregado"/>
    <m/>
    <n v="50"/>
    <n v="50"/>
    <n v="1"/>
  </r>
  <r>
    <x v="19"/>
    <s v="Mateo"/>
    <s v="Perez Daza"/>
    <s v="mateopeda@unisabana.edu.co"/>
    <x v="21"/>
    <d v="2026-02-04T00:00:00"/>
    <x v="6"/>
    <s v="Entregado"/>
    <m/>
    <n v="50"/>
    <n v="50"/>
    <n v="1"/>
  </r>
  <r>
    <x v="20"/>
    <s v="Matias"/>
    <s v="Mondragon Osorio"/>
    <s v="matiasmoos@unisabana.edu.co"/>
    <x v="21"/>
    <d v="2026-02-04T00:00:00"/>
    <x v="6"/>
    <s v="Entregado"/>
    <m/>
    <n v="50"/>
    <n v="50"/>
    <n v="1"/>
  </r>
  <r>
    <x v="21"/>
    <s v="Juan David"/>
    <s v="Neuta Medina"/>
    <s v="juanneme@unisabana.edu.co"/>
    <x v="21"/>
    <d v="2026-02-04T00:00:00"/>
    <x v="6"/>
    <s v="Entregado"/>
    <m/>
    <n v="50"/>
    <n v="50"/>
    <n v="1"/>
  </r>
  <r>
    <x v="22"/>
    <s v="Laura Fernanda"/>
    <s v="Lopez Parra"/>
    <s v="lauraloppa@unisabana.edu.co"/>
    <x v="21"/>
    <d v="2026-02-04T00:00:00"/>
    <x v="6"/>
    <s v="Entregado"/>
    <m/>
    <n v="50"/>
    <n v="50"/>
    <n v="1"/>
  </r>
  <r>
    <x v="23"/>
    <s v="Lukas"/>
    <s v="Blanco Llanes"/>
    <s v="lukasblll@unisabana.edu.co"/>
    <x v="21"/>
    <d v="2026-02-04T00:00:00"/>
    <x v="6"/>
    <s v="Entregado"/>
    <m/>
    <n v="50"/>
    <n v="50"/>
    <n v="1"/>
  </r>
  <r>
    <x v="24"/>
    <s v="Juan Sebastian"/>
    <s v="Salas Hinojosa"/>
    <s v="juansahi@unisabana.edu.co"/>
    <x v="21"/>
    <d v="2026-02-04T00:00:00"/>
    <x v="6"/>
    <s v="Entregado"/>
    <m/>
    <n v="50"/>
    <n v="50"/>
    <n v="1"/>
  </r>
  <r>
    <x v="25"/>
    <s v="Avril Avril"/>
    <s v="Ariza Quitian"/>
    <s v="avrilarqu@unisabana.edu.co"/>
    <x v="21"/>
    <d v="2026-02-04T00:00:00"/>
    <x v="6"/>
    <s v="Entregado"/>
    <m/>
    <n v="50"/>
    <n v="50"/>
    <n v="1"/>
  </r>
  <r>
    <x v="26"/>
    <s v="Samuel David"/>
    <s v="Simancas Contreras"/>
    <s v="samuelsico@unisabana.edu.co"/>
    <x v="21"/>
    <d v="2026-02-04T00:00:00"/>
    <x v="6"/>
    <s v="Entregado"/>
    <m/>
    <n v="50"/>
    <n v="50"/>
    <n v="1"/>
  </r>
  <r>
    <x v="27"/>
    <s v="Maria Jose"/>
    <s v="Huertas Osorio"/>
    <s v="mariahueos@unisabana.edu.co"/>
    <x v="21"/>
    <d v="2026-02-04T00:00:00"/>
    <x v="6"/>
    <s v="Entregado"/>
    <m/>
    <n v="50"/>
    <n v="50"/>
    <n v="1"/>
  </r>
  <r>
    <x v="28"/>
    <s v="Juan Camilo"/>
    <s v="Leyton Lancheros"/>
    <s v="juanleyla@unisabana.edu.co"/>
    <x v="21"/>
    <d v="2026-02-04T00:00:00"/>
    <x v="6"/>
    <s v="Entregado"/>
    <m/>
    <n v="50"/>
    <n v="50"/>
    <n v="1"/>
  </r>
  <r>
    <x v="29"/>
    <s v="Samuel Mathias"/>
    <s v="Gonzalez Bernal"/>
    <s v="samuelgonbe@unisabana.edu.co"/>
    <x v="21"/>
    <d v="2026-02-04T00:00:00"/>
    <x v="6"/>
    <s v="Entregado"/>
    <m/>
    <n v="50"/>
    <n v="50"/>
    <n v="1"/>
  </r>
  <r>
    <x v="30"/>
    <s v="Valeria"/>
    <s v="Morales"/>
    <s v="valeriamor@unisabana.edu.co"/>
    <x v="21"/>
    <d v="2026-02-04T00:00:00"/>
    <x v="6"/>
    <s v="Entregado"/>
    <m/>
    <n v="50"/>
    <n v="50"/>
    <n v="1"/>
  </r>
  <r>
    <x v="31"/>
    <s v="Samantha"/>
    <s v="Vanegas Russi"/>
    <s v="samanthavaru@unisabana.edu.co"/>
    <x v="21"/>
    <d v="2026-02-04T00:00:00"/>
    <x v="6"/>
    <s v="Entregado"/>
    <m/>
    <n v="50"/>
    <n v="50"/>
    <n v="1"/>
  </r>
  <r>
    <x v="32"/>
    <s v="Juan Jose"/>
    <s v="Caballero Mantilla"/>
    <s v="juancabma@unisabana.edu.co"/>
    <x v="21"/>
    <d v="2026-02-04T00:00:00"/>
    <x v="6"/>
    <s v="Entregado"/>
    <m/>
    <n v="50"/>
    <n v="50"/>
    <n v="1"/>
  </r>
  <r>
    <x v="33"/>
    <s v="Daniel Camilo"/>
    <s v="Lopez Piraquive"/>
    <s v="danielloppi@unisabana.edu.co"/>
    <x v="21"/>
    <d v="2026-02-04T00:00:00"/>
    <x v="6"/>
    <s v="Entregado"/>
    <m/>
    <n v="50"/>
    <n v="50"/>
    <n v="1"/>
  </r>
  <r>
    <x v="34"/>
    <s v="Gabriela"/>
    <s v="Ruiz Perez"/>
    <s v="gabrielarupe@unisabana.edu.co"/>
    <x v="21"/>
    <d v="2026-02-04T00:00:00"/>
    <x v="6"/>
    <s v="Entregado"/>
    <m/>
    <n v="50"/>
    <n v="50"/>
    <n v="1"/>
  </r>
  <r>
    <x v="35"/>
    <s v="Juan Sebastian"/>
    <s v="Perdomo Herrera"/>
    <s v="juanperhe@unisabana.edu.co"/>
    <x v="21"/>
    <d v="2026-02-04T00:00:00"/>
    <x v="6"/>
    <s v="Entregado"/>
    <m/>
    <n v="50"/>
    <n v="50"/>
    <n v="1"/>
  </r>
  <r>
    <x v="36"/>
    <s v="Martin Martin"/>
    <s v="Trujillo Rodriguez"/>
    <s v="martintrro@unisabana.edu.co"/>
    <x v="21"/>
    <d v="2026-02-04T00:00:00"/>
    <x v="6"/>
    <s v="Entregado"/>
    <m/>
    <n v="50"/>
    <n v="50"/>
    <n v="1"/>
  </r>
  <r>
    <x v="37"/>
    <s v="Alan David"/>
    <s v="Rossoff Vanegas"/>
    <s v="alanrova@unisabana.edu.co"/>
    <x v="21"/>
    <d v="2026-02-04T00:00:00"/>
    <x v="6"/>
    <s v="Entregado"/>
    <m/>
    <n v="50"/>
    <n v="50"/>
    <n v="1"/>
  </r>
  <r>
    <x v="38"/>
    <s v="Diego Alejandro"/>
    <s v="Hermida Limas"/>
    <s v="diegoherli@unisabana.edu.co"/>
    <x v="21"/>
    <d v="2026-02-04T00:00:00"/>
    <x v="6"/>
    <s v="Entregado"/>
    <m/>
    <n v="50"/>
    <n v="50"/>
    <n v="1"/>
  </r>
  <r>
    <x v="0"/>
    <s v="Paula Andrea"/>
    <s v="Arciniegas Cardenas"/>
    <s v="paulaarcca@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Paula, excelente trabajo. Destaco la formalidad de tu entrega (encabezado y_x000a_referencias), lo cual demuestra profesionalismo y respeto por la actividad_x000a_académica. _x000a_ Puntos_x000a_     Fuertes: Tu conexión con Negocios Internacionales es precisa._x000a_     Mencionaste &quot;fluctuaciones de la moneda&quot; e &quot;indicadores_x000a_     económicos&quot;; esto es vital porque en este curso aprenderemos a_x000a_     conectar Python con fuentes de datos reales (APIs) para traer la TRM en_x000a_     tiempo real, automatizando lo que hoy quizás haces manual en Excel. El uso_x000a_     de citas (EAN, Oracle) le da solidez a tus argumentos. _x000a_ Próximos_x000a_     Pasos: Mencionaste la &quot;automatización de flujos de trabajo&quot;._x000a_     Mantén esa idea presente, porque es uno de los objetivos de la competencia_x000a_     de Autogestión: que el código trabaje por ti para que tú te dediques a la_x000a_     estrategia. Conclusión: _x000a_Tienes una visión clara de la utilidad de la herramienta. Has cumplido con_x000a_todos los criterios de excelencia. ¡Sigue con ese nivel de rigurosidad!"/>
    <n v="50"/>
    <n v="50"/>
    <n v="1"/>
  </r>
  <r>
    <x v="1"/>
    <s v="Sofia"/>
    <s v="Giraldo Pico"/>
    <s v="sofiagipi@unisabana.edu.co"/>
    <x v="22"/>
    <d v="2026-02-03T00:00:00"/>
    <x v="8"/>
    <s v="Entregado"/>
    <s v="Rúbrica de Calificación _x000a_ Conexión_x000a_     con la Carrera (20/20 pts): Excelente. Identifica aplicaciones_x000a_     precisas en comercio exterior, análisis de exportaciones/importaciones y_x000a_     tasas de cambio. _x000a_ Profundidad_x000a_     Argumentativa (14/15 pts): Muy buena. Entiende que Python no es solo_x000a_     código, sino una estructura mental para resolver problemas complejos. _x000a_ Redacción_x000a_     y Estructura (10/10 pts): Texto fluido, profesional y bien organizado. _x000a_ Seguimiento_x000a_     de Instrucciones (5/5 pts): Cumple con la extensión y responde_x000a_     directamente a la pregunta planteada. Retroalimentación:  Calificación: 40/50  Comentarios: _x000a_Sofía, excelente ensayo. Has captado la esencia de por qué un Administrador de_x000a_Negocios Internacionales en La Sabana debe programar: la ventaja competitiva_x000a_y la toma de decisiones basada en datos. _x000a_ Puntos_x000a_     Fuertes: Destaco tu mención sobre la &quot;comunicación con equipos_x000a_     tecnológicos&quot;. En el mundo real, serás el puente entre el negocio y_x000a_     la tecnología; entender Python te da la autoridad para liderar esos_x000a_     procesos. Tu enfoque en la automatización de indicadores financieros y_x000a_     tasas de cambio es el camino correcto para tu perfil. _x000a_ Oportunidad_x000a_     de Mejora: Para obtener el puntaje perfecto en próximas entregas, te_x000a_     reto a que menciones una librería específica de Python que hayas_x000a_     investigado (como Pandas para el análisis de tablas de exportación_x000a_     o Matplotlib para graficar la inflación). Llevar el argumento de lo_x000a_     general a lo técnico demuestra una autogestión superior.  Conclusión: _x000a_Tu visión sobre la transformación digital y el comercio electrónico es muy_x000a_acertada. Estás preparando tu perfil para roles estratégicos en_x000a_multinacionales. ¡Sigue con esa mentalidad durante el desarrollo de los_x000a_laboratorios!"/>
    <n v="40"/>
    <n v="50"/>
    <n v="0.8"/>
  </r>
  <r>
    <x v="2"/>
    <s v="Valery"/>
    <s v="Linares Hernandez"/>
    <s v="valerylihe@unisabana.edu.co"/>
    <x v="22"/>
    <d v="2026-02-03T00:00:00"/>
    <x v="8"/>
    <s v="Entregado"/>
    <m/>
    <n v="0"/>
    <n v="50"/>
    <n v="0"/>
  </r>
  <r>
    <x v="3"/>
    <s v="Nicolas"/>
    <s v="Torres Calderon"/>
    <s v="nicolastorca@unisabana.edu.co"/>
    <x v="22"/>
    <d v="2026-02-03T00:00:00"/>
    <x v="8"/>
    <s v="Entregado"/>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50/50  Comentarios: _x000a_¡Excelente! Esta es una respuesta de nivel profesional y cumple con todos los_x000a_objetivos de la actividad. _x000a_ Puntos_x000a_     Fuertes: La articulación entre la programación y la Administración de_x000a_     Negocios Internacionales es notable. Mencionas específicamente el valor de_x000a_     Pandas/NumPy, lo cual demuestra comprensión del ecosistema Python,_x000a_     y enlazas la competencia con la meta de la Universidad de La Sabana_x000a_     (&quot;toma de decisiones basada en evidencia&quot;). El desglose por_x000a_     áreas (Análisis de Datos, Finanzas Internacionales, Optimización de_x000a_     Procesos) es metodológicamente robusto. _x000a_ Cumplimiento:_x000a_     La redacción es impecable, y la estructura argumentativa es lógica y cohesiva._x000a_     El texto es convincente y técnico sin caer en generalidades.  Conclusión: _x000a_Has superado la tarea con creces. Tu enfoque en la automatización de tareas_x000a_repetitivas y el análisis de riesgo financiero son exactamente las_x000a_aplicaciones que exploraremos. Tienes una base conceptual sólida para empezar a_x000a_programar."/>
    <n v="50"/>
    <n v="50"/>
    <n v="1"/>
  </r>
  <r>
    <x v="4"/>
    <s v="Cristian"/>
    <s v="Bermudez"/>
    <s v="cristianbe@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0/50  Comentarios: _x000a_Cristian, has tocado puntos neurálgicos de la industria gastronómica moderna. _x000a_ Puntos_x000a_     Fuertes: Mencionas el &quot;análisis de residuos&quot; y el_x000a_     &quot;escalado de recetas&quot; (ingredientes exactos para grandes_x000a_     volúmenes). Estos son problemas clásicos de optimización que resolveremos_x000a_     en clase. Python es perfecto para evitar el desperdicio de materia prima_x000a_     (food cost), que es donde se pierde la rentabilidad en tu sector. _x000a_ Oportunidad_x000a_     de Mejora: La extensión del texto es muy breve respecto a lo_x000a_     solicitado (una página). Aunque las ideas son correctas, te faltó_x000a_     desarrollarlas con mayor profundidad. En la competencia de Autogestión,_x000a_     el cumplimiento riguroso de las instrucciones de entrega (longitud y_x000a_     formato) es vital. _x000a_ Consejo:_x000a_     No veas Python solo como una calculadora de fechas de caducidad; imagínalo_x000a_     como el chef ejecutivo que predice cuántos kilos de insumo comprar_x000a_     basándose en el histórico de ventas del mes pasado.  Conclusión: _x000a_Tienes la visión clara de para qué sirve. Ahora necesitamos trabajar en_x000a_la ejecución y en profundizar esos argumentos. ¡Vamos a programar esas_x000a_soluciones!"/>
    <n v="40"/>
    <n v="50"/>
    <n v="0.8"/>
  </r>
  <r>
    <x v="5"/>
    <s v="Mariana"/>
    <s v="Carmona Romero"/>
    <s v="marianacarrom@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0/50  Comentarios: _x000a_Mariana, muy buen análisis. Lograste algo clave: no solo conectar Python con el_x000a_Mercadeo y la Logística por separado, sino que añadiste la capa_x000a_&quot;Internacional&quot;, que es fundamental en su carrera. Esa visión es muy_x000a_acertada. _x000a_ Puntos_x000a_     Fuertes: Has identificado con precisión las aplicaciones más valiosas:_x000a_     optimización de rutas, análisis del consumidor y comparación de mercados_x000a_     internacionales. La idea de usar Python para automatizar reportes de_x000a_     exportación es un ejemplo perfecto del valor que buscamos. _x000a_ Oportunidades_x000a_     de Mejora: _x000a_ _x000a_  Profundidad:_x000a_      El ensayo es una excelente lista de &quot;qué&quot; se puede hacer. El_x000a_      siguiente paso en tu desarrollo es profundizar en el &quot;porqué&quot;_x000a_      esto representa un cambio fundamental. Por ejemplo, ¿cómo cambia la_x000a_      calidad de una decisión logística cuando se basa en una simulación de_x000a_      costos en Python en lugar de en una estimación manual? _x000a_  Redacción:_x000a_      Presta atención a la redacción y la ortografía (&quot;podeos&quot;,_x000a_      &quot;costros&quot;). En un entorno profesional, la comunicación escrita_x000a_      es tan importante como el análisis técnico. Estructurar el texto en_x000a_      párrafos más definidos le dará más fuerza a tus argumentos. _x000a_  Conclusión: _x000a_Tienes las ideas correctas y claras sobre la aplicación de la herramienta. El_x000a_objetivo de este curso es darte la estructura y la técnica para que esas ideas_x000a_se conviertan en código funcional. ¡Sigue con esa visión!"/>
    <n v="40"/>
    <n v="50"/>
    <n v="0.8"/>
  </r>
  <r>
    <x v="6"/>
    <s v="Mariana"/>
    <s v="Pena Rodriguez"/>
    <s v="marianapero@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Un ensayo excepcional! Tu análisis sobre la aplicación de Python en la_x000a_Gastronomía es profundo y muy creativo, demostrando que has captado_x000a_perfectamente el espíritu del curso: la programación como herramienta de_x000a_decisión y eficiencia. _x000a_ Puntos_x000a_     Fuertes (20/20 en Conexión): Destaco particularmente tres ideas_x000a_     brillantes que superan las expectativas: _x000a_ _x000a_  Costo_x000a_      de Plato (Pricing): Saber si se está ganando dinero con el menú es_x000a_      una decisión financiera crítica que requiere un script de Python. _x000a_  Ajuste_x000a_      Automático de Recetas (Escalabilidad): El uso de Python para ajustar_x000a_      automáticamente cantidades (Regla de Tres) es una aplicación directa y_x000a_      valiosísima. _x000a_  Gestión_x000a_      de Calidad (IoT / Seguridad Alimentaria): Monitorear temperaturas de_x000a_      neveras y dar alertas es una aplicación avanzada que combina Python con_x000a_      hardware (IoT), demostrando visión de futuro. _x000a_ _x000a_ Oportunidad_x000a_     de Mejora (10/10 en Redacción): El texto es claro y muy bien_x000a_     estructurado. La única penalización (1 punto) se da en la redacción,_x000a_     específicamente en el uso inconsistente de la coma en frases como:_x000a_     &quot;lo cual para un chef que sabe usar...&quot;. (Corregir estos_x000a_     pequeños detalles mejorará la calidad percibida de tus informes_x000a_     profesionales).  Conclusión: _x000a_Has superado la tarea con creces, demostrando que la mentalidad de programación_x000a_se aplica a cualquier campo. En las próximas semanas, veremos cómo traducir ese_x000a_&quot;programa para cambiar las cantidades de una receta&quot; en las_x000a_estructuras de código que estamos aprendiendo. ¡Excelente inicio de semestre!"/>
    <n v="50"/>
    <n v="50"/>
    <n v="1"/>
  </r>
  <r>
    <x v="7"/>
    <s v="Isabella"/>
    <s v="Carranza Tapiero"/>
    <s v="isabellacata@unisabana.edu.co"/>
    <x v="22"/>
    <d v="2026-02-03T00:00:00"/>
    <x v="8"/>
    <s v="Entregado"/>
    <m/>
    <n v="0"/>
    <n v="50"/>
    <n v="0"/>
  </r>
  <r>
    <x v="8"/>
    <s v="Samuel David"/>
    <s v="Lozano Holguin"/>
    <s v="samuelloho@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3/50  Comentarios: _x000a_El ensayo es claro, conciso y va directo al punto. La idea central es correcta_x000a_y demuestra que comprendes el valor estratégico de la programación en tu_x000a_carrera. _x000a_ Puntos_x000a_     Fuertes: La frase &quot;no solo a 'mirar números'&quot; es excelente,_x000a_     captura perfectamente la diferencia entre ser un observador pasivo y un_x000a_     analista activo que genera valor. La conclusión sobre ser una_x000a_     &quot;profesional más preparada, moderna y capaz de adaptarse&quot; es muy_x000a_     acertada. _x000a_ Oportunidad_x000a_     de Mejora: El ensayo, aunque correcto, es más un resumen que un_x000a_     análisis profundo. Para alcanzar la máxima calificación, te faltó_x000a_     desarrollar un poco más cada idea. En lugar de solo listar las_x000a_     aplicaciones (&quot;optimizar rutas, controlar inventarios&quot;), podrías_x000a_     haber explicado brevemente el impacto que una de esas_x000a_     optimizaciones tendría en la rentabilidad de una empresa. El seguimiento_x000a_     de la instrucción de una página no se cumplió del todo, lo cual se ve_x000a_     reflejado en ese criterio.  Conclusión: _x000a_La base conceptual está clara y eso es lo más importante. El siguiente paso es_x000a_aprender a argumentar con mayor profundidad y detalle. El reto para el resto_x000a_del semestre será precisamente ese: convertir estas ideas generales en código_x000a_específico y funcional. ¡Buen inicio!"/>
    <n v="43"/>
    <n v="50"/>
    <n v="0.86"/>
  </r>
  <r>
    <x v="9"/>
    <s v="Sebastian"/>
    <s v="Vanoy Gutierrez"/>
    <s v="sebastianvagu@unisabana.edu.co"/>
    <x v="22"/>
    <d v="2026-02-03T00:00:00"/>
    <x v="8"/>
    <s v="Entregado"/>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50/50  Comentarios: _x000a_¡Excelente análisis y profundidad! Este ensayo cumple con creces los criterios_x000a_de la rúbrica y demuestra un entendimiento estratégico de la importancia de la_x000a_programación para un economista moderno. _x000a_ Puntos_x000a_     Fuertes: La articulación es sobresaliente. Has logrado ir más allá de_x000a_     la simple &quot;limpieza de datos&quot; para tocar temas complejos y de_x000a_     alto valor como: _x000a_ _x000a_  Simulaciones_x000a_      de Monte Carlo. _x000a_  Optimización_x000a_      de portafolios internacionales. _x000a_  La_x000a_      idea de que Python es una &quot;extensión práctica del pensamiento_x000a_      económico y cuantitativo&quot;. _x000a_  La_x000a_      visión de la empleabilidad y la necesidad de ser un perfil híbrido_x000a_      que compita con ingenieros y analistas de datos. _x000a_ _x000a_ Autogestión_x000a_     y Rigor: La estructura es impecable, fluida y sin redundancias. Esto_x000a_     refleja una alta capacidad de síntesis y organización, que es la_x000a_     competencia clave que buscamos entrenar.  Conclusión: _x000a_Tu visión sobre la programación en Economía y Finanzas no es opcional, es el_x000a_enfoque correcto. Mantén esta perspectiva durante el semestre, ya que_x000a_implementaremos muchos de estos modelos de series de tiempo y optimización con_x000a_el rigor que has planteado. Tienes una base teórica muy sólida."/>
    <n v="50"/>
    <n v="50"/>
    <n v="1"/>
  </r>
  <r>
    <x v="10"/>
    <s v="Jose Daniel"/>
    <s v="Escobar Hurtado"/>
    <s v="joseeshu@unisabana.edu.co"/>
    <x v="22"/>
    <d v="2026-02-03T00:00:00"/>
    <x v="8"/>
    <s v="Entregado"/>
    <s v="No está el ensayo adjunto."/>
    <n v="0"/>
    <n v="50"/>
    <n v="0"/>
  </r>
  <r>
    <x v="11"/>
    <s v="Maria Jose"/>
    <s v="Botero Galviz"/>
    <s v="mariabotga@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6/50  Comentarios: _x000a_Excelente enfoque. Has dado en el clavo sobre la realidad de la industria_x000a_gastronómica moderna: la rentabilidad está en los datos, no solo en el sabor. _x000a_ Puntos_x000a_     Fuertes: Identificaste aplicaciones críticas como la &quot;Ingeniería_x000a_     de Menú&quot; (saber qué platos son rentables y populares) y el control de_x000a_     desperdicios. Python es la herramienta perfecta para automatizar el costeo_x000a_     de recetas estándar, algo que en Excel suele romperse con facilidad. _x000a_ Oportunidad_x000a_     de Mejora: Debes cuidar la rigurosidad académica en tu_x000a_     redacción. _x000a_ _x000a_  Evita_x000a_      términos coloquiales como &quot;super importante&quot; (úsalo dos veces);_x000a_      opta por &quot;crucial&quot;, &quot;fundamental&quot; o_x000a_      &quot;determinante&quot;. _x000a_  Atención_x000a_      a la ortografía: &quot;Tradicional mente&quot; va junto (Tradicionalmente),_x000a_      &quot;atreves&quot; es del verbo atreverse (a través es lo_x000a_      correcto), y &quot;si no&quot; en ese contexto es sino. _x000a_  La_x000a_      programación requiere precisión, y la escritura académica también. _x000a_  Conclusión: _x000a_Tu visión sobre la gestión administrativa de la cocina es correcta. En este_x000a_curso, te daré las herramientas para que puedas crear scripts que calculen esos_x000a_costos de producción automáticamente. ¡A pulir esa redacción y adelante con el_x000a_código!"/>
    <n v="46"/>
    <n v="50"/>
    <n v="0.92"/>
  </r>
  <r>
    <x v="12"/>
    <s v="Maria Juliana"/>
    <s v="Mejia Quintero"/>
    <s v="mariamequ@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trabajo. Este es un ensayo sobresaliente que demuestra una_x000a_comprensión profunda y madura de cómo la tecnología puede transformar una_x000a_disciplina tradicional como la Gastronomía. _x000a_ Puntos_x000a_     Fuertes: Has ido más allá de las respuestas obvias. Tus argumentos_x000a_     sobre usar Python para reducir el desperdicio de alimentos, estandarizar_x000a_     recetas para garantizar consistencia y evaluar la rentabilidad_x000a_     de un menú son precisamente las aplicaciones de alto valor que busca la_x000a_     industria. La conexión que haces entre la programación y el desarrollo de_x000a_     habilidades como la precisión y el pensamiento lógico es brillante. _x000a_ Oportunidad_x000a_     de Mejora: Dado que has dominado el &quot;qué&quot; y el_x000a_     &quot;porqué&quot;, el siguiente paso en tu desarrollo será el_x000a_     &quot;cómo&quot;. A medida que avancemos, te retaré a que pienses qué tipo_x000a_     de script escribirías para, por ejemplo, analizar el inventario y predecir_x000a_     qué ingredientes se agotarán primero.  Conclusión: _x000a_Has articulado perfectamente la visión de un profesional gastronómico del siglo_x000a_XXI: alguien que combina la técnica culinaria con la inteligencia de datos. Tu_x000a_ensayo es la prueba de que tienes la mentalidad correcta para este curso._x000a_Ahora, vamos a darle las herramientas a esa visión."/>
    <n v="50"/>
    <n v="50"/>
    <n v="1"/>
  </r>
  <r>
    <x v="13"/>
    <s v="Alejandra"/>
    <s v="Leon Vargas"/>
    <s v="alejandraleva@unisabana.edu.co"/>
    <x v="22"/>
    <d v="2026-02-03T00:00:00"/>
    <x v="8"/>
    <s v="Entregado"/>
    <m/>
    <n v="0"/>
    <n v="50"/>
    <n v="0"/>
  </r>
  <r>
    <x v="14"/>
    <s v="Alessandro Di Mauro"/>
    <s v="Bonilla Correa"/>
    <s v="alessandroboco@unisabana.edu.co"/>
    <x v="22"/>
    <d v="2026-02-03T00:00:00"/>
    <x v="8"/>
    <s v="Entregado"/>
    <m/>
    <n v="0"/>
    <n v="50"/>
    <n v="0"/>
  </r>
  <r>
    <x v="15"/>
    <s v="Arianne Mariana"/>
    <s v="Amorocho Quiroga"/>
    <s v="arianneamqu@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7/50  Comentarios: _x000a_Buen trabajo. Has logrado conectar dos mundos que a veces parecen distantes: la_x000a_creatividad del Mercadeo y la precisión de la Logística. _x000a_ Puntos_x000a_     Fuertes: Tu argumento sobre pasar de la &quot;intuición&quot; a los_x000a_     &quot;datos reales&quot; es exactamente el núcleo de este curso_x000a_     (Aprendizaje Basado en Evidencias). Identificaste correctamente los_x000a_     dolores de tu carrera: inventarios, rutas y segmentación de clientes. _x000a_ Oportunidad_x000a_     de Mejora: Para futuras entregas, te invito a ser más técnico en el_x000a_     &quot;cómo&quot;. Por ejemplo, cuando mencionas &quot;analizar rutas de_x000a_     envío&quot;, en Python usaríamos librerías de optimización matemática; o_x000a_     para &quot;lo que las personas compran&quot;, usaríamos Pandas para_x000a_     limpiar esos datos. No te quedes solo en el concepto, empieza a visualizar_x000a_     la herramienta. Conclusión: _x000a_Tienes la mentalidad correcta. Ahora, en las próximas clases, vamos a traducir_x000a_esa teoría de &quot;optimizar inventarios&quot; en código real que lo haga por_x000a_ti. ¡Ánimo con el código!"/>
    <n v="47"/>
    <n v="50"/>
    <n v="0.94"/>
  </r>
  <r>
    <x v="16"/>
    <s v="Maria Juliana"/>
    <s v="Herrera Pulido"/>
    <s v="mariahepu@unisabana.edu.co"/>
    <x v="22"/>
    <d v="2026-02-03T00:00:00"/>
    <x v="8"/>
    <s v="Entregado"/>
    <m/>
    <n v="0"/>
    <n v="50"/>
    <n v="0"/>
  </r>
  <r>
    <x v="17"/>
    <s v="Simon Gustavo"/>
    <s v="Restrepo Alvarez"/>
    <s v="simonreal@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4/50  Comentarios: _x000a_Agradezco tu esfuerzo y la claridad de tu estructura. El ensayo es coherente y_x000a_directo en su defensa de Python en la Administración de Empresas. _x000a_ Puntos_x000a_     Fuertes: Identificaste correctamente el valor de la Automatización_x000a_     de Procesos (liberar tiempo de tareas repetitivas) y la Gestión de_x000a_     Grandes Datos. La mención a la simplicidad y el código_x000a_     abierto demuestra que entendiste por qué Python es la elección ideal_x000a_     para profesionales no técnicos. _x000a_ Oportunidad_x000a_     de Mejora: La argumentación fue correcta pero le faltó una conexión_x000a_     más profunda con la carrera de Administración de Empresas, más allá_x000a_     de las generalidades. ¿Cómo automatiza Python un proceso de Recursos_x000a_     Humanos en una PYME? ¿Qué tipo de patrones busca un_x000a_     administrador en los datos de ventas para reducir el riesgo? Te invito a_x000a_     pensar en el nombre de la librería o la técnica que usarías_x000a_     (ej., Pandas para el análisis, Scripts para la_x000a_     automatización).  Conclusión: _x000a_La base conceptual es sólida y has cumplido con la instrucción principal. El_x000a_reto ahora es llevar estos conceptos a la práctica. Recuerda que en este curso_x000a_entrenamos la Autogestión y eso incluye la capacidad de argumentar con_x000a_precisión técnica."/>
    <n v="44"/>
    <n v="50"/>
    <n v="0.88"/>
  </r>
  <r>
    <x v="18"/>
    <s v="Daniel Felipe"/>
    <s v="Camacho Pedraza"/>
    <s v="danielcampe@unisabana.edu.co"/>
    <x v="22"/>
    <d v="2026-02-03T00:00:00"/>
    <x v="8"/>
    <s v="Entregado"/>
    <m/>
    <n v="0"/>
    <n v="50"/>
    <n v="0"/>
  </r>
  <r>
    <x v="19"/>
    <s v="Mateo"/>
    <s v="Perez Daza"/>
    <s v="mateopeda@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trabajo. Tu ensayo demuestra una comprensión profunda de la ventaja_x000a_competitiva que ofrece Python en el contexto de la Economía y Finanzas_x000a_Internacionales. Cumple con la totalidad de los criterios establecidos. _x000a_ Puntos_x000a_     Fuertes: Lograste conectar la necesidad de gestionar grandes_x000a_     volúmenes de datos (DANE, FMI) con las librerías específicas que_x000a_     usaremos (NumPy y Pandas), lo cual demuestra que has investigado cómo_x000a_     funciona la herramienta. La mención de la reproducibilidad y el uso_x000a_     de modelos matemáticos/estadísticos para simular escenarios son_x000a_     argumentos de alto valor. _x000a_ Motivación_x000a_     (Meta Autogestión): Este nivel de análisis y preparación es un ejemplo_x000a_     de la Autogestión que buscamos desarrollar. Has sentado una base_x000a_     conceptual robusta. Ahora, en el curso, convertiremos estos conceptos_x000a_     (gestión de riesgos, valuación de activos) en código funcional.  Conclusión: _x000a_Un ensayo completo, riguroso y perfectamente alineado con las metas del_x000a_Departamento. ¡Mantén este nivel de compromiso en las clases prácticas!"/>
    <n v="50"/>
    <n v="50"/>
    <n v="1"/>
  </r>
  <r>
    <x v="20"/>
    <s v="Matias"/>
    <s v="Mondragon Osorio"/>
    <s v="matiasmoos@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Análisis de nivel superior, Matías. Este ensayo demuestra una comprensión_x000a_excepcional del objetivo estratégico de este curso. _x000a_ Puntos_x000a_     Fuertes: _x000a_ _x000a_  Visión_x000a_      Gerencial: Has identificado el punto clave: no se trata de ser un_x000a_      desarrollador operativo, sino de ser un gerente que sabe cómo dirigir_x000a_      y validar el trabajo técnico. Tu argumento sobre eliminar la_x000a_      &quot;asimetría de información&quot; al tratar con proveedores es una_x000a_      reflexión madura y muy valiosa en el mundo real. _x000a_  Aplicación_x000a_      Específica: Conectar el aprendizaje directamente a tu proyecto de una_x000a_      empresa de repuestos para motocicletas le da un anclaje práctico y_x000a_      demuestra una autogestión clara de tus metas profesionales. _x000a_  Lenguaje_x000a_      Preciso: Utilizas conceptos como &quot;ventaja competitiva&quot;,_x000a_      &quot;integralidad&quot; y &quot;criterio&quot; de manera muy acertada,_x000a_      demostrando que entiendes el puente entre la tecnología y la estrategia_x000a_      de negocio. _x000a_ _x000a_ Próximo_x000a_     Desafío (Más allá de la nota): Ya que tienes tan clara la visión, el_x000a_     siguiente paso es empezar a pensar en el &quot;qué&quot;. ¿Cuál sería el_x000a_     primer KPI (Indicador Clave de Rendimiento) que te gustaría automatizar o_x000a_     analizar con Python para tu empresa? ¿Rotación de inventario? ¿Segmentación_x000a_     de clientes por tipo de moto? Empecemos a materializar esa visión.  Conclusión: _x000a_Excelente trabajo. Usted no está aquí para ser un programador, está aquí para_x000a_ser un gerente que sabe cómo usar la programación como una palanca estratégica._x000a_Va por excelente camino."/>
    <n v="50"/>
    <n v="50"/>
    <n v="1"/>
  </r>
  <r>
    <x v="21"/>
    <s v="Juan David"/>
    <s v="Neuta Medina"/>
    <s v="juanneme@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38/50  Comentarios: _x000a_ Puntos_x000a_     Fuertes (Profundidad Argumentativa y Redacción): La calidad de la_x000a_     prosa es alta. Tu ensayo se centra exitosamente en el valor cognitivo de_x000a_     la programación: el desarrollo del pensamiento crítico, la abstracción_x000a_     para la creación de modelos, la resolución de problemas lógicos y_x000a_     la capacidad de adaptación (habilidades clave del economista_x000a_     moderno). La inclusión de citas de Descartes y Harari enriquece la_x000a_     reflexión. _x000a_ Área_x000a_     Crítica (Conexión con la Carrera): El ensayo es excelente en la_x000a_     filosofía del aprendizaje, pero débil en la aplicación práctica_x000a_     específica para un Economista y Financiero Internacional. El ensayo se_x000a_     queda en el &quot;para qué sirve pensar como programador&quot; y no_x000a_     aborda el &quot;para qué sirve programar con Python en mi_x000a_     carrera&quot;. _x000a_ _x000a_  Ejemplo_x000a_      de mejora: No mencionas cómo Python te ayuda a simular un modelo de_x000a_      valoración de activos (Monte Carlo), analizar series de tiempo_x000a_      financieras (Pandas, Statsmodels), optimizar portafolios de inversión o_x000a_      manipular bases de datos macroeconómicas (Objetivo clave del curso). Esta_x000a_      conexión explícita es fundamental. _x000a_  Recomendación de Autogestión (Metacognición): Excelente uso de la IA para explorar conceptos filosóficos y_x000a_de soft skills. Sin embargo, la consigna pedía apoyo a la IA para el contenido_x000a_técnico específico de tu carrera. En el futuro, usa la IA para generar_x000a_ejemplos de código o aplicaciones en Finanzas Cuantitativas, y luego usa tu_x000a_pensamiento crítico (el que la programación te ayuda a desarrollar) para_x000a_criticar y validar si la aplicación es realista."/>
    <n v="38"/>
    <n v="50"/>
    <n v="0.76"/>
  </r>
  <r>
    <x v="22"/>
    <s v="Laura Fernanda"/>
    <s v="Lopez Parra"/>
    <s v="lauraloppa@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reflexión. Es refrescante ver un enfoque tan claro sobre la_x000a_Gastronomía como una ciencia de datos y procesos, y no solo como un arte_x000a_culinario. _x000a_ Puntos_x000a_     Fuertes: Has dado en el clavo al mencionar el &quot;Food Tech&quot;_x000a_     y la visión de la gastronomía como un &quot;sistema técnico&quot;. La_x000a_     conexión que haces entre Python y el costeo de recetas o el control_x000a_     de inventarios es exactamente lo que buscamos en la competencia de_x000a_     Autogestión y eficiencia. Un chef que sabe programar sus propios modelos_x000a_     de costos tiene una ventaja competitiva enorme sobre quien depende de un_x000a_     Excel estático. _x000a_ Oportunidad_x000a_     de Mejora: Mantén esa visión interdisciplinaria. A medida que_x000a_     avancemos en el curso, te reto a pensar: ¿Cómo automatizarías ese análisis_x000a_     de menú? ¿Cómo harías que Python te avise cuando un ingrediente está por_x000a_     caducar?  Conclusión: _x000a_Tienes una visión muy madura de tu profesión. Aprovecha este curso para_x000a_construir esas herramientas de Food Tech que mencionas. ¡Gran inicio!"/>
    <n v="50"/>
    <n v="50"/>
    <n v="1"/>
  </r>
  <r>
    <x v="23"/>
    <s v="Lukas"/>
    <s v="Blanco Llanes"/>
    <s v="lukasblll@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reflexión. Has dado en el clavo con uno de los objetivos más_x000a_importantes de este curso: dejar de ser operativos para ser analíticos. _x000a_ Puntos_x000a_     Fuertes: Tu argumento sobre &quot;dirigir la atención al análisis al_x000a_     ciento por ciento y no a la operación&quot; es brillante. Ese es el_x000a_     verdadero valor de Python para un economista: automatizar la_x000a_     &quot;carpintería&quot; (limpieza de datos, reportes repetitivos) para_x000a_     dedicar el cerebro a la estrategia económica. _x000a_ Autogestión_x000a_     y Ética: Valoro mucho la transparencia al citar la herramienta de IA_x000a_     (GPT-5.2). Esto demuestra responsabilidad y honestidad académica,_x000a_     cumpliendo con las reglas de juego del curso. _x000a_ Visión:_x000a_     Tienes muy claro que la competencia no es contra la máquina, sino contra_x000a_     otros economistas que no sepan usarla.  Conclusión: _x000a_Tienes la visión estratégica clara. Ahora, el reto es técnico: vamos a aprender_x000a_a escribir esas líneas de código que mencionas para que esa &quot;ventaja_x000a_profesional&quot; sea una realidad tangible al final del semestre."/>
    <n v="50"/>
    <n v="50"/>
    <n v="1"/>
  </r>
  <r>
    <x v="24"/>
    <s v="Juan Sebastian"/>
    <s v="Salas Hinojosa"/>
    <s v="juansahi@unisabana.edu.co"/>
    <x v="22"/>
    <d v="2026-02-03T00:00:00"/>
    <x v="8"/>
    <s v="Entregado"/>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44/50  Comentarios: _x000a_Excelente trabajo de reflexión. Se valora tu honestidad al reconocer la_x000a_perspectiva inicial (Python como &quot;lejano o innecesario&quot;) y cómo_x000a_evolucionó tu entendimiento hacia su valor a largo plazo. _x000a_ Puntos_x000a_     Fuertes: La conexión que haces entre Python y el desarrollo de una_x000a_     &quot;mentalidad más analítica y organizada&quot; es fundamental, y está_x000a_     directamente alineada con la competencia de Autogestión que_x000a_     impulsamos. También es muy acertado el argumento de que Python es el_x000a_     escalón natural cuando el análisis económico y financiero pasa de ser_x000a_     teórico a trabajar con grandes volúmenes de datos reales_x000a_     (Econometría, Modelos Financieros). _x000a_ Oportunidad_x000a_     de Mejora: Aunque la reflexión es profunda en términos de porqué,_x000a_     la argumentación podría ser más específica en el &quot;para qué&quot;_x000a_     dentro de tu carrera (Criterio 1). ¿Qué hace Python en Finanzas que Excel_x000a_     no puede? Debes mencionar roles concretos: modelos de riesgo_x000a_     (simulación de Monte Carlo), valoración de portafolios, o el uso de_x000a_     librerías como numpy para álgebra lineal.  Conclusión: _x000a_Tienes una base reflexiva sólida que te permitirá aprovechar al máximo el_x000a_curso. La utilidad de Python dejará de ser una promesa a largo plazo en las_x000a_próximas semanas y se convertirá en una herramienta inmediata. ¡Sigue con este_x000a_nivel de análisis!"/>
    <n v="44"/>
    <n v="50"/>
    <n v="0.88"/>
  </r>
  <r>
    <x v="25"/>
    <s v="Avril Avril"/>
    <s v="Ariza Quitian"/>
    <s v="avrilarqu@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2/50  Comentarios: _x000a_Valoro mucho la honestidad con la que inicias tu texto. Es completamente válido_x000a_cuestionar el pensum; esa curiosidad es el primer paso del pensamiento crítico. _x000a_ Puntos_x000a_     Fuertes: Tu estructura es clara y el argumento sobre el &quot;enfoque_x000a_     humano&quot; es vital. Tienes toda la razón: la tecnología en tu carrera_x000a_     debe servir para liberar tiempo operativo (automatizando reportes) y_x000a_     dedicarlo a la gestión de personas y servicios. _x000a_ Oportunidad_x000a_     de Mejora: El ensayo se quedó en un nivel un poco general_x000a_     (&quot;organizar datos&quot;, &quot;hacer cálculos&quot;). Para la_x000a_     próxima, te reto a aterrizar los conceptos a tu carrera específica: En Administración_x000a_     y Servicio, Python es el rey del Customer Experience (CX)._x000a_     Imagina usar Python no solo para &quot;guardar datos&quot;, sino para_x000a_     analizar automáticamente miles de comentarios de clientes y detectar_x000a_     emociones (Sentiment Analysis) para mejorar el servicio. Ahí es donde está_x000a_     tu valor agregado.  Conclusión: _x000a_Buen inicio. Quédate con esta idea: Programamos las máquinas para tener más_x000a_tiempo de ser humanos. Vamos a aprender a automatizar esa_x000a_&quot;carpintería&quot; operativa en clase."/>
    <n v="42"/>
    <n v="50"/>
    <n v="0.84"/>
  </r>
  <r>
    <x v="26"/>
    <s v="Samuel David"/>
    <s v="Simancas Contreras"/>
    <s v="samuelsico@unisabana.edu.co"/>
    <x v="22"/>
    <d v="2026-02-03T00:00:00"/>
    <x v="8"/>
    <s v="Entregado"/>
    <m/>
    <n v="0"/>
    <n v="50"/>
    <n v="0"/>
  </r>
  <r>
    <x v="27"/>
    <s v="Maria Jose"/>
    <s v="Huertas Osorio"/>
    <s v="mariahueos@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reflexión. Has tocado un punto fundamental que conecta tu carrera con_x000a_este curso: el algoritmo como receta. _x000a_ Puntos_x000a_     Fuertes: La analogía que haces entre &quot;una receta requiere pasos_x000a_     precisos y variables (tiempo/temperatura)&quot; y un algoritmo es_x000a_     brillante. Esa es exactamente la lógica de la programación estructurada._x000a_     Además, identificaste áreas críticas de negocio: estandarización de_x000a_     recetas y control de mermas/inventarios, donde Python es mucho más potente_x000a_     que Excel. _x000a_ Oportunidad_x000a_     de Mejora: Tienes un par de errores tipográficos menores_x000a_     (&quot;pasoso&quot;, &quot;se transfieres&quot;). En programación, un_x000a_     carácter mal puesto rompe el código; en la cocina, un gramo de más cambia_x000a_     el sabor. Mantén esa atención al detalle (Sanity Check) también en la_x000a_     escritura.  Conclusión: _x000a_La &quot;Ingeniería de Menú&quot; basada en datos es el futuro de la_x000a_gastronomía rentable. Con lo que aprenderemos, podrás automatizar esos costos_x000a_de recetas en segundos. ¡Buen trabajo!"/>
    <n v="50"/>
    <n v="50"/>
    <n v="1"/>
  </r>
  <r>
    <x v="28"/>
    <s v="Juan Camilo"/>
    <s v="Leyton Lancheros"/>
    <s v="juanleyla@unisabana.edu.co"/>
    <x v="22"/>
    <d v="2026-02-03T00:00:00"/>
    <x v="8"/>
    <s v="Entregado"/>
    <m/>
    <n v="0"/>
    <n v="50"/>
    <n v="0"/>
  </r>
  <r>
    <x v="29"/>
    <s v="Samuel Mathias"/>
    <s v="Gonzalez Bernal"/>
    <s v="samuelgonbe@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ste es un ensayo sobresaliente. Demuestra un nivel de investigación y_x000a_comprensión que va más allá de lo esperado para una tarea introductoria. _x000a_ Puntos_x000a_     Fuertes: _x000a_ _x000a_  Especificidad_x000a_      Técnica: No te limitaste a generalidades. Mencionaste bibliotecas (BeautifulSoup,_x000a_      Pandas, NumPy), APIs (Yahoo Finance) y técnicas avanzadas (web scraping, simulación_x000a_      de Monte Carlo, trading algorítmico). Esto demuestra una conexión real y_x000a_      profunda con la aplicación profesional. _x000a_  Argumento_x000a_      Estratégico: Tu concepto del &quot;analista aumentado&quot; es_x000a_      brillante y captura perfectamente la filosofía de este curso. Comprendes_x000a_      que la meta no es reemplazar al humano, sino potenciar su capacidad de_x000a_      análisis y decisión. _x000a_  Redacción_x000a_      Profesional: El título es excelente y la estructura del ensayo es_x000a_      lógica y persuasiva. El lenguaje es el de un profesional que ya está_x000a_      pensando en el mercado laboral. _x000a_ _x000a_ Oportunidad_x000a_     de Mejora: _x000a_ _x000a_  En este_x000a_      caso, la única &quot;oportunidad de mejora&quot; no es una corrección,_x000a_      sino una invitación: te reto a que, a lo largo del semestre, intentes_x000a_      aplicar al menos una de estas técnicas avanzadas que mencionaste (como un_x000a_      pequeño web scraper o una simulación simple) en el proyecto final._x000a_      Has puesto el listón alto; ahora el desafío es traducirlo a código. _x000a_  Conclusión: _x000a_Has captado la visión del curso desde el día uno. Este es precisamente el_x000a_perfil de profesional que buscamos formar en la EICEA: analítico, estratégico y_x000a_tecnológicamente competente. Excelente trabajo."/>
    <n v="50"/>
    <n v="50"/>
    <n v="1"/>
  </r>
  <r>
    <x v="30"/>
    <s v="Valeria"/>
    <s v="Morales"/>
    <s v="valeriamor@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ensayo. Tu texto es maduro, bien estructurado y demuestra una_x000a_comprensión clara de la ventaja competitiva que Python representa en el_x000a_campo de Economía y Finanzas Internacionales. _x000a_ Puntos_x000a_     Fuertes (20/20 + 15/15): Respondes directamente a las necesidades del_x000a_     mercado financiero: la recopilación, organización y análisis de grandes_x000a_     cantidades de información (Big Data). El concepto de aplicar la_x000a_     programación para que los temas &quot;no se queden únicamente en la_x000a_     teoría&quot; es un reflejo directo del enfoque de nuestro curso. _x000a_ Oportunidad_x000a_     de Mejora (-1 punto por formalidad): El texto es casi impecable. Solo_x000a_     como recomendación para trabajos futuros, siempre intenta mencionar una o_x000a_     dos herramientas clave (ej. Pandas para manejo de datos o NumPy_x000a_     para cálculos matriciales) cuando hables de análisis, lo que eleva la_x000a_     profundidad técnica de tu argumento.  Conclusión: _x000a_Tu perspectiva como futura profesional en Finanzas es clara y ambiciosa. Tienes_x000a_la motivación correcta para lograr la excelencia en este curso. Sigamos_x000a_enfocados en transformar esta visión en código funcional. ¡Adelante!"/>
    <n v="50"/>
    <n v="50"/>
    <n v="1"/>
  </r>
  <r>
    <x v="31"/>
    <s v="Samantha"/>
    <s v="Vanegas Russi"/>
    <s v="samanthavaru@unisabana.edu.co"/>
    <x v="22"/>
    <d v="2026-02-03T00:00:00"/>
    <x v="8"/>
    <s v="Entregado"/>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45/50  Comentarios: _x000a_El ensayo es claro, bien estructurado y demuestra una comprensión sólida de la_x000a_relevancia de Python en su campo. Cumple con la extensión requerida y la_x000a_redacción es fluida. _x000a_ Puntos_x000a_     Fuertes (Criterios 1 y 2): Resaltas acertadamente la necesidad de_x000a_     tomar decisiones &quot;basadas en datos&quot; y mencionas la_x000a_     automatización de &quot;tareas repetitivas&quot; en logística. Esta es la_x000a_     esencia de la Autogestión que buscamos desarrollar: eficiencia a_x000a_     través de la tecnología. _x000a_ Oportunidad_x000a_     de Mejora (Criterio 2): Al igual que tu compañero, la argumentación es_x000a_     fuerte en el &quot;qué&quot; (optimizar rutas, analizar datos), pero aún_x000a_     le falta un pequeño paso al &quot;cómo técnico&quot;. La próxima vez,_x000a_     intenta vincular tu idea con una herramienta concreta que vamos a usar._x000a_     Por ejemplo: “En lugar de solo planificar rutas, Python nos permitirá_x000a_     usar modelos de optimización para encontrar la ruta más barata en_x000a_     tiempo real”. _x000a_ Motivación:_x000a_     Tu conclusión es clave: No buscas ser ingeniero, buscas adquirir una competencia_x000a_     digital que te hará destacar como profesional en Administración y_x000a_     Logística. ¡Esa es la visión estratégica correcta para este curso! Sigue así. Estás en la ruta correcta para lograr la_x000a_Autogestión técnica y el éxito profesional."/>
    <n v="45"/>
    <n v="50"/>
    <n v="0.9"/>
  </r>
  <r>
    <x v="32"/>
    <s v="Juan Jose"/>
    <s v="Caballero Mantilla"/>
    <s v="juancabma@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7/50  Comentarios: _x000a_Excelente enfoque. Has tocado un punto crítico en la Logística Internacional:_x000a_la &quot;reducción del margen de error&quot;. _x000a_ Puntos_x000a_     Fuertes: Identificas con claridad que Python no es solo para crear_x000a_     software, sino para automatizar tareas operativas (inventarios,_x000a_     seguimiento de envíos). Esa visión de eficiencia es exactamente lo que_x000a_     buscamos en la competencia de Autogestión y en la toma de decisiones. _x000a_ Oportunidad_x000a_     de Mejora: Mencionas el &quot;análisis de costos&quot;. En las_x000a_     próximas semanas, cuando veamos variables y operaciones matemáticas, te_x000a_     reto a que pienses cómo traducirías una fórmula de costos de transporte en_x000a_     una función de Python. Pasar del concepto a la ejecución es el siguiente_x000a_     paso.  Conclusión: _x000a_Tienes clara la utilidad de la herramienta para tu perfil profesional. Ahora es_x000a_momento de perderle el miedo al código y empezar a construir esos scripts de_x000a_automatización."/>
    <n v="47"/>
    <n v="50"/>
    <n v="0.94"/>
  </r>
  <r>
    <x v="33"/>
    <s v="Daniel Camilo"/>
    <s v="Lopez Piraquive"/>
    <s v="danielloppi@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5/50  Comentarios: _x000a_Excelente análisis, Daniel. Tu ensayo demuestra una comprensión clara del valor_x000a_estratégico que tiene la programación en el campo de la Economía y las Finanzas_x000a_Internacionales. _x000a_ Puntos_x000a_     Fuertes: Has conectado de manera muy efectiva la habilidad técnica con_x000a_     el resultado profesional: una ventaja competitiva en el mercado laboral y_x000a_     una mejor remuneración. Tu redacción es impecable y la estructura del_x000a_     ensayo es lógica y coherente. _x000a_ Oportunidad_x000a_     de Mejora: El argumento es sólido, pero para alcanzar la excelencia,_x000a_     te animo a profundizar en ejemplos más concretos. Por ejemplo, en lugar de_x000a_     decir &quot;analizar el comercio internacional&quot;, podrías visualizar_x000a_     una tarea como &quot;crear un script que descargue automáticamente los_x000a_     datos de la balanza comercial y genere un pronóstico de_x000a_     exportaciones&quot;. La clave está en pasar de la idea general a la_x000a_     aplicación específica.  Conclusión: _x000a_Has identificado perfectamente el &quot;qué&quot; (analizar datos) y el_x000a_&quot;porqué&quot; (ser más competitivo). Este semestre, nuestro objetivo será_x000a_darte las herramientas para dominar el &quot;cómo&quot;. ¡Muy buen trabajo!"/>
    <n v="45"/>
    <n v="50"/>
    <n v="0.9"/>
  </r>
  <r>
    <x v="34"/>
    <s v="Gabriela"/>
    <s v="Ruiz Perez"/>
    <s v="gabrielarupe@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38/50  Comentarios: _x000a_Aprecio tu esfuerzo por encontrar la utilidad de Python en una carrera poco_x000a_tradicional para la programación. Partes de una premisa acertada: la_x000a_Gastronomía es un negocio, y todo negocio se beneficia de la eficiencia. _x000a_ Puntos_x000a_     Fuertes (18/20 en Conexión): Logras identificar áreas clave como costos,_x000a_     inventarios y preferencias de clientes. Estos son problemas_x000a_     de optimización y datos perfectos para Python. _x000a_ Oportunidad_x000a_     de Mejora (10/15 en Profundidad): La argumentación es correcta, pero_x000a_     se queda en la superficie. Para la próxima entrega, debes explicar cómo_x000a_     Python mejora esto. Por ejemplo: ¿Cómo podría Python predecir la demanda_x000a_     de un plato (reduciendo desperdicio de inventario)? ¿O cómo optimizaría la_x000a_     rotación del personal en la cocina según el flujo de pedidos? Se espera_x000a_     una justificación más profunda sobre el rol de la data y la automatización_x000a_     en el sector. _x000a_ Redacción_x000a_     (7/10): Hay errores menores de ortografía (ej. &quot;Phyton&quot; por_x000a_     &quot;Python&quot;) y fallas en la cohesión de las frases que restan_x000a_     claridad. Es su responsabilidad revisar el texto.  Conclusión: _x000a_El ensayo demuestra el potencial de aplicación, lo cual es positivo. Sin_x000a_embargo, para cumplir con el estándar de rigurosidad del curso, necesitas_x000a_elevar el nivel de la justificación (el porqué técnico) y asegurar la_x000a_pulcritud en la redacción. ¡Utiliza esta experiencia para mejorar en la próxima_x000a_entrega!"/>
    <n v="38"/>
    <n v="50"/>
    <n v="0.76"/>
  </r>
  <r>
    <x v="35"/>
    <s v="Juan Sebastian"/>
    <s v="Perdomo Herrera"/>
    <s v="juanperhe@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8/50  Comentarios: _x000a_Excelente trabajo. Tu ensayo demuestra una profunda comprensión de cómo el_x000a_pensamiento algorítmico trasciende los límites disciplinares. Aunque tu carrera_x000a_no es de Economía o Administración, lograste integrar el valor de Python a la_x000a_perfección en un campo altamente creativo. _x000a_ Puntos_x000a_     Fuertes: La conexión entre el pensamiento lógico (necesario para_x000a_     ajustar recetas y optimizar tiempos) y el manejo de datos para la reducción_x000a_     de desperdicios y el control de costos es un argumento de gran_x000a_     valor económico y logístico, aplicable a cualquier emprendimiento_x000a_     culinario. Muestras visión al tocar el tema de la innovación y la_x000a_     gastronomía molecular. _x000a_ Oportunidad_x000a_     de Mejora: Para futuros trabajos, te sugiero nombrar una librería o_x000a_     una técnica específica. Por ejemplo, en &quot;análisis de ventas&quot;,_x000a_     podrías mencionar la necesidad de usar Pandas para analizar_x000a_     tendencias de consumo. Darle un toque técnico al argumento lo hace_x000a_     irrefutable.  Conclusión: _x000a_Este tipo de pensamiento es el que buscamos en el curso: usar la programación_x000a_como una herramienta para optimizar cualquier proceso. Tu enfoque en la gestión_x000a_y la rentabilidad es impecable. ¡Felicidades por la calidad del análisis!"/>
    <n v="48"/>
    <n v="50"/>
    <n v="0.96"/>
  </r>
  <r>
    <x v="36"/>
    <s v="Martin Martin"/>
    <s v="Trujillo Rodriguez"/>
    <s v="martintrro@unisabana.edu.co"/>
    <x v="22"/>
    <d v="2026-02-03T00:00:00"/>
    <x v="8"/>
    <s v="Entregado"/>
    <s v="Rúbrica de Calificación   _x000a_ _x000a_  _x000a_  Criterio _x000a_  _x000a_  _x000a_  Puntaje Máximo _x000a_  _x000a_ _x000a_ _x000a_  _x000a_  1. Conexión con la Carrera (Identifica aplicaciones_x000a_  específicas de Python en su campo de estudio). _x000a_  _x000a_  _x000a_  20 pts _x000a_  _x000a_ _x000a_ _x000a_  _x000a_  2. Profundidad Argumentativa (Explica el porqué_x000a_  y el cómo la programación aporta valor). _x000a_  _x000a_  _x000a_  15 pts _x000a_  _x000a_ _x000a_ _x000a_  _x000a_  3. Redacción y Estructura (Claridad, cohesión y_x000a_  ortografía). _x000a_  _x000a_  _x000a_  10 pts _x000a_  _x000a_ _x000a_ _x000a_  _x000a_  4. Seguimiento de Instrucciones (Cumplimiento de la_x000a_  extensión y respuesta a la pregunta central). _x000a_  _x000a_  _x000a_  5 pts _x000a_  _x000a_ _x000a_ _x000a_  _x000a_  Puntaje Total _x000a_  _x000a_  _x000a_  50 pts _x000a_  _x000a_ Retroalimentación:  Calificación: 41/50  Comentarios: _x000a_Aprecio el esfuerzo por conectar la programación con un campo tan creativo como_x000a_la gastronomía. Tu perspectiva es interesante y apunta a áreas clave de_x000a_optimización en la industria alimenticia. _x000a_ Puntos_x000a_     Fuertes: Identificaste correctamente la automatización de procesos_x000a_     (pedidos a cocina sin comanda) y la eficiencia del servicio (ejemplo_x000a_     McDonald’s). El argumento de la carta virtual es válido y se_x000a_     conecta con el front-end de un software. _x000a_ Oportunidad_x000a_     de Mejora: La argumentación se queda en la capa de la automatización_x000a_     de servicio, pero no profundiza en el valor analítico que Python_x000a_     ofrece. Para alcanzar la excelencia, debes pensar en: _x000a_ _x000a_  Inventario_x000a_      y Pérdidas: ¿Cómo usaría Python para predecir la demanda de_x000a_      ingredientes y minimizar el desperdicio (costo)? _x000a_  Calidad_x000a_      y Datos: ¿Cómo usaría Python para analizar la temperatura de cocción_x000a_      histórica y asegurar la consistencia del sabor? _x000a_  Análisis_x000a_      Sensorial: ¿Cómo procesaría encuestas de satisfacción o datos de_x000a_      ventas para optimizar el menú? _x000a_ Tu ensayo tiene un gran componente de Gestión de_x000a_Servicios. Te reto a integrar el componente de Gestión de Datos en_x000a_la próxima entrega.  Conclusión: _x000a_Buen inicio. Reconoces la necesidad de la tecnología. Ahora, vamos a programar_x000a_para que el código te dé la ventaja competitiva en la cocina y en la_x000a_administración del negocio."/>
    <n v="41"/>
    <n v="50"/>
    <n v="0.82"/>
  </r>
  <r>
    <x v="37"/>
    <s v="Alan David"/>
    <s v="Rossoff Vanegas"/>
    <s v="alanrova@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44/50  Comentarios: _x000a_Excelente enfoque. Tu ensayo demuestra una comprensión clara del valor_x000a_estratégico de Python, especialmente en el ámbito de las Finanzas_x000a_Internacionales y la Econometría. _x000a_ Puntos_x000a_     Fuertes: La mención explícita de temas avanzados como series de_x000a_     tiempo, modelos ARIMA/VAR y el trabajo con índices bursátiles (SYP500,_x000a_     COLCAP) muestra que has investigado la aplicación directa y de alto_x000a_     valor de Python en tu énfasis. Es un argumento fuerte y técnico. _x000a_ Oportunidad_x000a_     de Mejora: La redacción es fluida, pero faltó un desarrollo más_x000a_     profundo en la sección de &quot;análisis de mercados financieros&quot;._x000a_     ¿Qué librerías (ej. yfinance, Pandas) harían posible_x000a_     descargar, limpiar y analizar las tasas de cambio o los precios de las_x000a_     acciones? La próxima vez, intenta vincular el problema real (el modelo)_x000a_     con la herramienta técnica (el módulo/librería de Python). Asegúrate_x000a_     también de revisar la ortografía para un 50/50.  Conclusión: _x000a_Tu visión sobre la relevancia de Python en Finanzas Internacionales es muy_x000a_acertada y se alinea perfectamente con los objetivos del Departamento de_x000a_Economía. El futuro analista financiero ya no puede depender solo de R o Stata;_x000a_la flexibilidad de Python es clave para la innovación. ¡Continúa con este nivel_x000a_de profundidad!"/>
    <n v="44"/>
    <n v="50"/>
    <n v="0.88"/>
  </r>
  <r>
    <x v="38"/>
    <s v="Diego Alejandro"/>
    <s v="Hermida Limas"/>
    <s v="diegoherli@unisabana.edu.co"/>
    <x v="22"/>
    <d v="2026-02-03T00:00:00"/>
    <x v="8"/>
    <s v="Entregado"/>
    <s v="Rúbrica de Calificación   Para garantizar la equidad en la evaluación de este ensayo_x000a_(Total: 50 puntos), se han aplicado los siguientes criterios:  _x000a_ Conexión_x000a_     con la Carrera (20 pts): Identifica aplicaciones específicas de Python_x000a_     en su campo de estudio (no generalidades). _x000a_ Profundidad_x000a_     Argumentativa (15 pts): Explica el porqué y el cómo la_x000a_     programación aporta valor (toma de decisiones basada en datos vs._x000a_     intuición). _x000a_ Redacción_x000a_     y Estructura (10 pts): Claridad, cohesión y ortografía. _x000a_ Seguimiento_x000a_     de Instrucciones (5 pts): Cumplimiento de la extensión y respuesta a_x000a_     la pregunta central. Retroalimentación:  Calificación: 50/50  Comentarios: _x000a_Excelente trabajo. Este ensayo es un ejemplo claro de cómo conectar la teoría_x000a_académica con la aplicación práctica y estratégica en el entorno empresarial_x000a_actual. _x000a_ Puntos_x000a_     Fuertes: _x000a_ _x000a_  Argumento_x000a_      Estratégico: No solo enumeras tareas, sino que argumentas el valor de_x000a_      la automatización y la optimización como una ventaja_x000a_      competitiva, lo cual es un nivel de análisis superior. _x000a_  Estructura_x000a_      y Claridad: La redacción es profesional, el ensayo está perfectamente_x000a_      estructurado y los argumentos fluyen de manera lógica y convincente. _x000a_  Integridad_x000a_      Académica: La inclusión de referencias, y en particular la cita_x000a_      explícita a la IA como herramienta de apoyo, demuestra una excelente_x000a_      comprensión del uso responsable de la tecnología y una notable honestidad_x000a_      intelectual. _x000a_ _x000a_ Próximo_x000a_     Desafío Intelectual: _x000a_ _x000a_  Has_x000a_      identificado brillantemente el &quot;qué&quot; y el &quot;porqué&quot;._x000a_      El siguiente paso en tu desarrollo será pensar en el &quot;con qué&quot;._x000a_      Cuando hablas de &quot;previsión de la demanda&quot;, empieza a_x000a_      preguntarte: ¿qué datos necesitaría (ventas históricas, estacionalidad,_x000a_      datos macroeconómicos)? ¿Qué librería de Python podría usar (como Prophet_x000a_      o Scikit-learn)? _x000a_  Conclusión: _x000a_Has establecido un estándar muy alto para el curso. Estoy seguro de que_x000a_transformarás esta visión estratégica en código funcional a lo largo del_x000a_semestre. ¡Felicidades!"/>
    <n v="50"/>
    <n v="50"/>
    <n v="1"/>
  </r>
  <r>
    <x v="0"/>
    <s v="Paula Andrea"/>
    <s v="Arciniegas Cardenas"/>
    <s v="paulaarcca@unisabana.edu.co"/>
    <x v="23"/>
    <d v="2026-01-28T00:00:00"/>
    <x v="6"/>
    <s v="Entregado"/>
    <m/>
    <n v="50"/>
    <n v="50"/>
    <n v="1"/>
  </r>
  <r>
    <x v="1"/>
    <s v="Sofia"/>
    <s v="Giraldo Pico"/>
    <s v="sofiagipi@unisabana.edu.co"/>
    <x v="23"/>
    <d v="2026-01-28T00:00:00"/>
    <x v="6"/>
    <s v="Entregado"/>
    <m/>
    <n v="50"/>
    <n v="50"/>
    <n v="1"/>
  </r>
  <r>
    <x v="2"/>
    <s v="Valery"/>
    <s v="Linares Hernandez"/>
    <s v="valerylihe@unisabana.edu.co"/>
    <x v="23"/>
    <d v="2026-01-28T00:00:00"/>
    <x v="6"/>
    <s v="Entregado"/>
    <m/>
    <n v="50"/>
    <n v="50"/>
    <n v="1"/>
  </r>
  <r>
    <x v="3"/>
    <s v="Nicolas"/>
    <s v="Torres Calderon"/>
    <s v="nicolastorca@unisabana.edu.co"/>
    <x v="23"/>
    <d v="2026-01-28T00:00:00"/>
    <x v="6"/>
    <s v="Entregado"/>
    <m/>
    <n v="50"/>
    <n v="50"/>
    <n v="1"/>
  </r>
  <r>
    <x v="4"/>
    <s v="Cristian"/>
    <s v="Bermudez"/>
    <s v="cristianbe@unisabana.edu.co"/>
    <x v="23"/>
    <d v="2026-01-28T00:00:00"/>
    <x v="6"/>
    <s v="Entregado"/>
    <m/>
    <n v="50"/>
    <n v="50"/>
    <n v="1"/>
  </r>
  <r>
    <x v="5"/>
    <s v="Mariana"/>
    <s v="Carmona Romero"/>
    <s v="marianacarrom@unisabana.edu.co"/>
    <x v="23"/>
    <d v="2026-01-28T00:00:00"/>
    <x v="6"/>
    <s v="Entregado"/>
    <m/>
    <n v="50"/>
    <n v="50"/>
    <n v="1"/>
  </r>
  <r>
    <x v="6"/>
    <s v="Mariana"/>
    <s v="Pena Rodriguez"/>
    <s v="marianapero@unisabana.edu.co"/>
    <x v="23"/>
    <d v="2026-01-28T00:00:00"/>
    <x v="6"/>
    <s v="Entregado"/>
    <m/>
    <n v="50"/>
    <n v="50"/>
    <n v="1"/>
  </r>
  <r>
    <x v="7"/>
    <s v="Isabella"/>
    <s v="Carranza Tapiero"/>
    <s v="isabellacata@unisabana.edu.co"/>
    <x v="23"/>
    <d v="2026-01-28T00:00:00"/>
    <x v="6"/>
    <s v="Entregado"/>
    <m/>
    <n v="50"/>
    <n v="50"/>
    <n v="1"/>
  </r>
  <r>
    <x v="8"/>
    <s v="Samuel David"/>
    <s v="Lozano Holguin"/>
    <s v="samuelloho@unisabana.edu.co"/>
    <x v="23"/>
    <d v="2026-01-28T00:00:00"/>
    <x v="6"/>
    <s v="Entregado"/>
    <m/>
    <n v="50"/>
    <n v="50"/>
    <n v="1"/>
  </r>
  <r>
    <x v="9"/>
    <s v="Sebastian"/>
    <s v="Vanoy Gutierrez"/>
    <s v="sebastianvagu@unisabana.edu.co"/>
    <x v="23"/>
    <d v="2026-01-28T00:00:00"/>
    <x v="6"/>
    <s v="Entregado"/>
    <m/>
    <n v="50"/>
    <n v="50"/>
    <n v="1"/>
  </r>
  <r>
    <x v="10"/>
    <s v="Jose Daniel"/>
    <s v="Escobar Hurtado"/>
    <s v="joseeshu@unisabana.edu.co"/>
    <x v="23"/>
    <d v="2026-01-28T00:00:00"/>
    <x v="6"/>
    <s v="Entregado"/>
    <m/>
    <n v="50"/>
    <n v="50"/>
    <n v="1"/>
  </r>
  <r>
    <x v="11"/>
    <s v="Maria Jose"/>
    <s v="Botero Galviz"/>
    <s v="mariabotga@unisabana.edu.co"/>
    <x v="23"/>
    <d v="2026-01-28T00:00:00"/>
    <x v="6"/>
    <s v="Entregado"/>
    <m/>
    <n v="50"/>
    <n v="50"/>
    <n v="1"/>
  </r>
  <r>
    <x v="12"/>
    <s v="Maria Juliana"/>
    <s v="Mejia Quintero"/>
    <s v="mariamequ@unisabana.edu.co"/>
    <x v="23"/>
    <d v="2026-01-28T00:00:00"/>
    <x v="6"/>
    <s v="Entregado"/>
    <m/>
    <n v="50"/>
    <n v="50"/>
    <n v="1"/>
  </r>
  <r>
    <x v="13"/>
    <s v="Alejandra"/>
    <s v="Leon Vargas"/>
    <s v="alejandraleva@unisabana.edu.co"/>
    <x v="23"/>
    <d v="2026-01-28T00:00:00"/>
    <x v="6"/>
    <s v="Entregado"/>
    <m/>
    <n v="50"/>
    <n v="50"/>
    <n v="1"/>
  </r>
  <r>
    <x v="14"/>
    <s v="Alessandro Di Mauro"/>
    <s v="Bonilla Correa"/>
    <s v="alessandroboco@unisabana.edu.co"/>
    <x v="23"/>
    <d v="2026-01-28T00:00:00"/>
    <x v="6"/>
    <s v="Entregado"/>
    <m/>
    <n v="50"/>
    <n v="50"/>
    <n v="1"/>
  </r>
  <r>
    <x v="15"/>
    <s v="Arianne Mariana"/>
    <s v="Amorocho Quiroga"/>
    <s v="arianneamqu@unisabana.edu.co"/>
    <x v="23"/>
    <d v="2026-01-28T00:00:00"/>
    <x v="6"/>
    <s v="Entregado"/>
    <m/>
    <n v="50"/>
    <n v="50"/>
    <n v="1"/>
  </r>
  <r>
    <x v="16"/>
    <s v="Maria Juliana"/>
    <s v="Herrera Pulido"/>
    <s v="mariahepu@unisabana.edu.co"/>
    <x v="23"/>
    <d v="2026-01-28T00:00:00"/>
    <x v="6"/>
    <s v="Entregado"/>
    <m/>
    <n v="50"/>
    <n v="50"/>
    <n v="1"/>
  </r>
  <r>
    <x v="17"/>
    <s v="Simon Gustavo"/>
    <s v="Restrepo Alvarez"/>
    <s v="simonreal@unisabana.edu.co"/>
    <x v="23"/>
    <d v="2026-01-28T00:00:00"/>
    <x v="6"/>
    <s v="Entregado"/>
    <m/>
    <n v="50"/>
    <n v="50"/>
    <n v="1"/>
  </r>
  <r>
    <x v="18"/>
    <s v="Daniel Felipe"/>
    <s v="Camacho Pedraza"/>
    <s v="danielcampe@unisabana.edu.co"/>
    <x v="23"/>
    <d v="2026-01-28T00:00:00"/>
    <x v="6"/>
    <s v="Entregado"/>
    <m/>
    <n v="50"/>
    <n v="50"/>
    <n v="1"/>
  </r>
  <r>
    <x v="19"/>
    <s v="Mateo"/>
    <s v="Perez Daza"/>
    <s v="mateopeda@unisabana.edu.co"/>
    <x v="23"/>
    <d v="2026-01-28T00:00:00"/>
    <x v="6"/>
    <s v="Entregado"/>
    <m/>
    <n v="50"/>
    <n v="50"/>
    <n v="1"/>
  </r>
  <r>
    <x v="20"/>
    <s v="Matias"/>
    <s v="Mondragon Osorio"/>
    <s v="matiasmoos@unisabana.edu.co"/>
    <x v="23"/>
    <d v="2026-01-28T00:00:00"/>
    <x v="6"/>
    <s v="Entregado"/>
    <m/>
    <n v="50"/>
    <n v="50"/>
    <n v="1"/>
  </r>
  <r>
    <x v="21"/>
    <s v="Juan David"/>
    <s v="Neuta Medina"/>
    <s v="juanneme@unisabana.edu.co"/>
    <x v="23"/>
    <d v="2026-01-28T00:00:00"/>
    <x v="6"/>
    <s v="Entregado"/>
    <m/>
    <n v="50"/>
    <n v="50"/>
    <n v="1"/>
  </r>
  <r>
    <x v="22"/>
    <s v="Laura Fernanda"/>
    <s v="Lopez Parra"/>
    <s v="lauraloppa@unisabana.edu.co"/>
    <x v="23"/>
    <d v="2026-01-28T00:00:00"/>
    <x v="6"/>
    <s v="Entregado"/>
    <m/>
    <n v="50"/>
    <n v="50"/>
    <n v="1"/>
  </r>
  <r>
    <x v="23"/>
    <s v="Lukas"/>
    <s v="Blanco Llanes"/>
    <s v="lukasblll@unisabana.edu.co"/>
    <x v="23"/>
    <d v="2026-01-28T00:00:00"/>
    <x v="6"/>
    <s v="Entregado"/>
    <m/>
    <n v="50"/>
    <n v="50"/>
    <n v="1"/>
  </r>
  <r>
    <x v="24"/>
    <s v="Juan Sebastian"/>
    <s v="Salas Hinojosa"/>
    <s v="juansahi@unisabana.edu.co"/>
    <x v="23"/>
    <d v="2026-01-28T00:00:00"/>
    <x v="6"/>
    <s v="Entregado"/>
    <m/>
    <n v="50"/>
    <n v="50"/>
    <n v="1"/>
  </r>
  <r>
    <x v="25"/>
    <s v="Avril Avril"/>
    <s v="Ariza Quitian"/>
    <s v="avrilarqu@unisabana.edu.co"/>
    <x v="23"/>
    <d v="2026-01-28T00:00:00"/>
    <x v="6"/>
    <s v="Entregado"/>
    <m/>
    <n v="50"/>
    <n v="50"/>
    <n v="1"/>
  </r>
  <r>
    <x v="26"/>
    <s v="Samuel David"/>
    <s v="Simancas Contreras"/>
    <s v="samuelsico@unisabana.edu.co"/>
    <x v="23"/>
    <d v="2026-01-28T00:00:00"/>
    <x v="6"/>
    <s v="Entregado"/>
    <m/>
    <n v="50"/>
    <n v="50"/>
    <n v="1"/>
  </r>
  <r>
    <x v="27"/>
    <s v="Maria Jose"/>
    <s v="Huertas Osorio"/>
    <s v="mariahueos@unisabana.edu.co"/>
    <x v="23"/>
    <d v="2026-01-28T00:00:00"/>
    <x v="6"/>
    <s v="Entregado"/>
    <m/>
    <n v="50"/>
    <n v="50"/>
    <n v="1"/>
  </r>
  <r>
    <x v="28"/>
    <s v="Juan Camilo"/>
    <s v="Leyton Lancheros"/>
    <s v="juanleyla@unisabana.edu.co"/>
    <x v="23"/>
    <d v="2026-01-28T00:00:00"/>
    <x v="6"/>
    <s v="Entregado"/>
    <m/>
    <n v="50"/>
    <n v="50"/>
    <n v="1"/>
  </r>
  <r>
    <x v="29"/>
    <s v="Samuel Mathias"/>
    <s v="Gonzalez Bernal"/>
    <s v="samuelgonbe@unisabana.edu.co"/>
    <x v="23"/>
    <d v="2026-01-28T00:00:00"/>
    <x v="6"/>
    <s v="Entregado"/>
    <m/>
    <n v="50"/>
    <n v="50"/>
    <n v="1"/>
  </r>
  <r>
    <x v="30"/>
    <s v="Valeria"/>
    <s v="Morales"/>
    <s v="valeriamor@unisabana.edu.co"/>
    <x v="23"/>
    <d v="2026-01-28T00:00:00"/>
    <x v="6"/>
    <s v="Entregado"/>
    <m/>
    <n v="50"/>
    <n v="50"/>
    <n v="1"/>
  </r>
  <r>
    <x v="31"/>
    <s v="Samantha"/>
    <s v="Vanegas Russi"/>
    <s v="samanthavaru@unisabana.edu.co"/>
    <x v="23"/>
    <d v="2026-01-28T00:00:00"/>
    <x v="6"/>
    <s v="Entregado"/>
    <m/>
    <n v="50"/>
    <n v="50"/>
    <n v="1"/>
  </r>
  <r>
    <x v="32"/>
    <s v="Juan Jose"/>
    <s v="Caballero Mantilla"/>
    <s v="juancabma@unisabana.edu.co"/>
    <x v="23"/>
    <d v="2026-01-28T00:00:00"/>
    <x v="6"/>
    <s v="Entregado"/>
    <m/>
    <n v="50"/>
    <n v="50"/>
    <n v="1"/>
  </r>
  <r>
    <x v="33"/>
    <s v="Daniel Camilo"/>
    <s v="Lopez Piraquive"/>
    <s v="danielloppi@unisabana.edu.co"/>
    <x v="23"/>
    <d v="2026-01-28T00:00:00"/>
    <x v="6"/>
    <s v="Entregado"/>
    <m/>
    <n v="50"/>
    <n v="50"/>
    <n v="1"/>
  </r>
  <r>
    <x v="34"/>
    <s v="Gabriela"/>
    <s v="Ruiz Perez"/>
    <s v="gabrielarupe@unisabana.edu.co"/>
    <x v="23"/>
    <d v="2026-01-28T00:00:00"/>
    <x v="6"/>
    <s v="Entregado"/>
    <m/>
    <n v="50"/>
    <n v="50"/>
    <n v="1"/>
  </r>
  <r>
    <x v="35"/>
    <s v="Juan Sebastian"/>
    <s v="Perdomo Herrera"/>
    <s v="juanperhe@unisabana.edu.co"/>
    <x v="23"/>
    <d v="2026-01-28T00:00:00"/>
    <x v="6"/>
    <s v="Entregado"/>
    <m/>
    <n v="50"/>
    <n v="50"/>
    <n v="1"/>
  </r>
  <r>
    <x v="36"/>
    <s v="Martin Martin"/>
    <s v="Trujillo Rodriguez"/>
    <s v="martintrro@unisabana.edu.co"/>
    <x v="23"/>
    <d v="2026-01-28T00:00:00"/>
    <x v="6"/>
    <s v="Entregado"/>
    <m/>
    <n v="50"/>
    <n v="50"/>
    <n v="1"/>
  </r>
  <r>
    <x v="37"/>
    <s v="Alan David"/>
    <s v="Rossoff Vanegas"/>
    <s v="alanrova@unisabana.edu.co"/>
    <x v="23"/>
    <d v="2026-01-28T00:00:00"/>
    <x v="6"/>
    <s v="Entregado"/>
    <m/>
    <n v="50"/>
    <n v="50"/>
    <n v="1"/>
  </r>
  <r>
    <x v="38"/>
    <s v="Diego Alejandro"/>
    <s v="Hermida Limas"/>
    <s v="diegoherli@unisabana.edu.co"/>
    <x v="23"/>
    <d v="2026-01-28T00:00:00"/>
    <x v="6"/>
    <s v="Entregado"/>
    <m/>
    <n v="50"/>
    <n v="5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2DC860-087E-4EEF-B7AA-515CE839613C}" name="TablaDiná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F46" firstHeaderRow="1" firstDataRow="2" firstDataCol="1"/>
  <pivotFields count="12">
    <pivotField axis="axisRow" showAll="0">
      <items count="42">
        <item x="39"/>
        <item x="13"/>
        <item x="14"/>
        <item x="15"/>
        <item x="25"/>
        <item x="4"/>
        <item x="33"/>
        <item x="35"/>
        <item x="18"/>
        <item x="27"/>
        <item x="40"/>
        <item x="36"/>
        <item x="7"/>
        <item x="10"/>
        <item x="29"/>
        <item x="21"/>
        <item x="34"/>
        <item x="37"/>
        <item x="24"/>
        <item x="22"/>
        <item x="23"/>
        <item x="11"/>
        <item x="28"/>
        <item x="16"/>
        <item x="12"/>
        <item x="5"/>
        <item x="6"/>
        <item x="38"/>
        <item x="19"/>
        <item x="20"/>
        <item x="3"/>
        <item x="0"/>
        <item x="32"/>
        <item x="8"/>
        <item x="26"/>
        <item x="30"/>
        <item x="9"/>
        <item x="17"/>
        <item x="1"/>
        <item x="31"/>
        <item x="2"/>
        <item t="default"/>
      </items>
    </pivotField>
    <pivotField showAll="0"/>
    <pivotField showAll="0"/>
    <pivotField showAll="0"/>
    <pivotField showAll="0"/>
    <pivotField numFmtId="14" showAll="0"/>
    <pivotField axis="axisCol" showAll="0">
      <items count="6">
        <item h="1" x="2"/>
        <item x="4"/>
        <item x="3"/>
        <item x="0"/>
        <item x="1"/>
        <item t="default"/>
      </items>
    </pivotField>
    <pivotField showAll="0"/>
    <pivotField showAll="0"/>
    <pivotField dataField="1" numFmtId="1" showAll="0"/>
    <pivotField numFmtId="1" showAll="0"/>
    <pivotField numFmtId="9" showAll="0"/>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6"/>
  </colFields>
  <colItems count="5">
    <i>
      <x v="1"/>
    </i>
    <i>
      <x v="2"/>
    </i>
    <i>
      <x v="3"/>
    </i>
    <i>
      <x v="4"/>
    </i>
    <i t="grand">
      <x/>
    </i>
  </colItems>
  <dataFields count="1">
    <dataField name="Promedio de Puntos" fld="9" subtotal="average" baseField="0" baseItem="0" numFmtId="1"/>
  </dataFields>
  <formats count="30">
    <format dxfId="371">
      <pivotArea type="all" dataOnly="0" outline="0" fieldPosition="0"/>
    </format>
    <format dxfId="370">
      <pivotArea outline="0" collapsedLevelsAreSubtotals="1" fieldPosition="0"/>
    </format>
    <format dxfId="369">
      <pivotArea type="origin" dataOnly="0" labelOnly="1" outline="0" fieldPosition="0"/>
    </format>
    <format dxfId="368">
      <pivotArea field="6" type="button" dataOnly="0" labelOnly="1" outline="0" axis="axisCol" fieldPosition="0"/>
    </format>
    <format dxfId="367">
      <pivotArea type="topRight" dataOnly="0" labelOnly="1" outline="0" fieldPosition="0"/>
    </format>
    <format dxfId="366">
      <pivotArea field="0" type="button" dataOnly="0" labelOnly="1" outline="0" axis="axisRow" fieldPosition="0"/>
    </format>
    <format dxfId="365">
      <pivotArea dataOnly="0" labelOnly="1" fieldPosition="0">
        <references count="1">
          <reference field="0" count="0"/>
        </references>
      </pivotArea>
    </format>
    <format dxfId="364">
      <pivotArea dataOnly="0" labelOnly="1" grandRow="1" outline="0" fieldPosition="0"/>
    </format>
    <format dxfId="363">
      <pivotArea dataOnly="0" labelOnly="1" fieldPosition="0">
        <references count="1">
          <reference field="6" count="0"/>
        </references>
      </pivotArea>
    </format>
    <format dxfId="362">
      <pivotArea dataOnly="0" labelOnly="1" grandCol="1" outline="0" fieldPosition="0"/>
    </format>
    <format dxfId="361">
      <pivotArea type="all" dataOnly="0" outline="0" fieldPosition="0"/>
    </format>
    <format dxfId="360">
      <pivotArea outline="0" collapsedLevelsAreSubtotals="1" fieldPosition="0"/>
    </format>
    <format dxfId="359">
      <pivotArea type="origin" dataOnly="0" labelOnly="1" outline="0" fieldPosition="0"/>
    </format>
    <format dxfId="358">
      <pivotArea field="6" type="button" dataOnly="0" labelOnly="1" outline="0" axis="axisCol" fieldPosition="0"/>
    </format>
    <format dxfId="357">
      <pivotArea type="topRight" dataOnly="0" labelOnly="1" outline="0" fieldPosition="0"/>
    </format>
    <format dxfId="356">
      <pivotArea field="0" type="button" dataOnly="0" labelOnly="1" outline="0" axis="axisRow" fieldPosition="0"/>
    </format>
    <format dxfId="355">
      <pivotArea dataOnly="0" labelOnly="1" fieldPosition="0">
        <references count="1">
          <reference field="0" count="0"/>
        </references>
      </pivotArea>
    </format>
    <format dxfId="354">
      <pivotArea dataOnly="0" labelOnly="1" grandRow="1" outline="0" fieldPosition="0"/>
    </format>
    <format dxfId="353">
      <pivotArea dataOnly="0" labelOnly="1" fieldPosition="0">
        <references count="1">
          <reference field="6" count="0"/>
        </references>
      </pivotArea>
    </format>
    <format dxfId="352">
      <pivotArea dataOnly="0" labelOnly="1" grandCol="1" outline="0" fieldPosition="0"/>
    </format>
    <format dxfId="351">
      <pivotArea type="all" dataOnly="0" outline="0" fieldPosition="0"/>
    </format>
    <format dxfId="350">
      <pivotArea outline="0" collapsedLevelsAreSubtotals="1" fieldPosition="0"/>
    </format>
    <format dxfId="349">
      <pivotArea type="origin" dataOnly="0" labelOnly="1" outline="0" fieldPosition="0"/>
    </format>
    <format dxfId="348">
      <pivotArea field="6" type="button" dataOnly="0" labelOnly="1" outline="0" axis="axisCol" fieldPosition="0"/>
    </format>
    <format dxfId="347">
      <pivotArea type="topRight" dataOnly="0" labelOnly="1" outline="0" fieldPosition="0"/>
    </format>
    <format dxfId="346">
      <pivotArea field="0" type="button" dataOnly="0" labelOnly="1" outline="0" axis="axisRow" fieldPosition="0"/>
    </format>
    <format dxfId="345">
      <pivotArea dataOnly="0" labelOnly="1" fieldPosition="0">
        <references count="1">
          <reference field="0" count="0"/>
        </references>
      </pivotArea>
    </format>
    <format dxfId="344">
      <pivotArea dataOnly="0" labelOnly="1" grandRow="1" outline="0" fieldPosition="0"/>
    </format>
    <format dxfId="343">
      <pivotArea dataOnly="0" labelOnly="1" fieldPosition="0">
        <references count="1">
          <reference field="6" count="0"/>
        </references>
      </pivotArea>
    </format>
    <format dxfId="34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3E7050-26D9-4B5F-9D65-957C487005EC}" name="TablaDiná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L47" firstHeaderRow="1" firstDataRow="3" firstDataCol="1"/>
  <pivotFields count="12">
    <pivotField axis="axisRow" showAll="0">
      <items count="42">
        <item x="39"/>
        <item x="13"/>
        <item x="14"/>
        <item x="15"/>
        <item x="25"/>
        <item x="4"/>
        <item x="33"/>
        <item x="35"/>
        <item x="18"/>
        <item x="27"/>
        <item x="40"/>
        <item x="36"/>
        <item x="7"/>
        <item x="10"/>
        <item x="29"/>
        <item x="21"/>
        <item x="34"/>
        <item x="37"/>
        <item x="24"/>
        <item x="22"/>
        <item x="23"/>
        <item x="11"/>
        <item x="28"/>
        <item x="16"/>
        <item x="12"/>
        <item x="5"/>
        <item x="6"/>
        <item x="38"/>
        <item x="19"/>
        <item x="20"/>
        <item x="3"/>
        <item x="0"/>
        <item x="32"/>
        <item x="8"/>
        <item x="26"/>
        <item x="30"/>
        <item x="9"/>
        <item x="17"/>
        <item x="1"/>
        <item x="31"/>
        <item x="2"/>
        <item t="default"/>
      </items>
    </pivotField>
    <pivotField showAll="0"/>
    <pivotField showAll="0"/>
    <pivotField showAll="0"/>
    <pivotField axis="axisCol" showAll="0">
      <items count="11">
        <item h="1" x="9"/>
        <item h="1" x="7"/>
        <item h="1" x="6"/>
        <item h="1" x="3"/>
        <item x="0"/>
        <item x="8"/>
        <item x="5"/>
        <item x="2"/>
        <item x="1"/>
        <item x="4"/>
        <item t="default"/>
      </items>
    </pivotField>
    <pivotField numFmtId="14" showAll="0"/>
    <pivotField axis="axisCol" showAll="0">
      <items count="6">
        <item h="1" x="2"/>
        <item x="4"/>
        <item x="3"/>
        <item x="0"/>
        <item x="1"/>
        <item t="default"/>
      </items>
    </pivotField>
    <pivotField showAll="0"/>
    <pivotField showAll="0"/>
    <pivotField dataField="1" numFmtId="1" showAll="0"/>
    <pivotField numFmtId="1" showAll="0"/>
    <pivotField numFmtId="9" showAll="0"/>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2">
    <field x="6"/>
    <field x="4"/>
  </colFields>
  <colItems count="11">
    <i>
      <x v="1"/>
      <x v="5"/>
    </i>
    <i r="1">
      <x v="6"/>
    </i>
    <i t="default">
      <x v="1"/>
    </i>
    <i>
      <x v="2"/>
      <x v="9"/>
    </i>
    <i t="default">
      <x v="2"/>
    </i>
    <i>
      <x v="3"/>
      <x v="4"/>
    </i>
    <i t="default">
      <x v="3"/>
    </i>
    <i>
      <x v="4"/>
      <x v="7"/>
    </i>
    <i r="1">
      <x v="8"/>
    </i>
    <i t="default">
      <x v="4"/>
    </i>
    <i t="grand">
      <x/>
    </i>
  </colItems>
  <dataFields count="1">
    <dataField name="Suma de Puntos" fld="9" baseField="0" baseItem="5" numFmtId="1"/>
  </dataFields>
  <formats count="30">
    <format dxfId="341">
      <pivotArea type="all" dataOnly="0" outline="0" fieldPosition="0"/>
    </format>
    <format dxfId="340">
      <pivotArea outline="0" collapsedLevelsAreSubtotals="1" fieldPosition="0"/>
    </format>
    <format dxfId="339">
      <pivotArea type="origin" dataOnly="0" labelOnly="1" outline="0" fieldPosition="0"/>
    </format>
    <format dxfId="338">
      <pivotArea field="6" type="button" dataOnly="0" labelOnly="1" outline="0" axis="axisCol" fieldPosition="0"/>
    </format>
    <format dxfId="337">
      <pivotArea type="topRight" dataOnly="0" labelOnly="1" outline="0" fieldPosition="0"/>
    </format>
    <format dxfId="336">
      <pivotArea field="0" type="button" dataOnly="0" labelOnly="1" outline="0" axis="axisRow" fieldPosition="0"/>
    </format>
    <format dxfId="335">
      <pivotArea dataOnly="0" labelOnly="1" fieldPosition="0">
        <references count="1">
          <reference field="0" count="0"/>
        </references>
      </pivotArea>
    </format>
    <format dxfId="334">
      <pivotArea dataOnly="0" labelOnly="1" grandRow="1" outline="0" fieldPosition="0"/>
    </format>
    <format dxfId="333">
      <pivotArea dataOnly="0" labelOnly="1" fieldPosition="0">
        <references count="1">
          <reference field="6" count="0"/>
        </references>
      </pivotArea>
    </format>
    <format dxfId="332">
      <pivotArea dataOnly="0" labelOnly="1" grandCol="1" outline="0" fieldPosition="0"/>
    </format>
    <format dxfId="331">
      <pivotArea type="all" dataOnly="0" outline="0" fieldPosition="0"/>
    </format>
    <format dxfId="330">
      <pivotArea outline="0" collapsedLevelsAreSubtotals="1" fieldPosition="0"/>
    </format>
    <format dxfId="329">
      <pivotArea type="origin" dataOnly="0" labelOnly="1" outline="0" fieldPosition="0"/>
    </format>
    <format dxfId="328">
      <pivotArea field="6" type="button" dataOnly="0" labelOnly="1" outline="0" axis="axisCol" fieldPosition="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dataOnly="0" labelOnly="1" fieldPosition="0">
        <references count="1">
          <reference field="6" count="0"/>
        </references>
      </pivotArea>
    </format>
    <format dxfId="322">
      <pivotArea dataOnly="0" labelOnly="1" grandCol="1" outline="0" fieldPosition="0"/>
    </format>
    <format dxfId="321">
      <pivotArea type="all" dataOnly="0" outline="0" fieldPosition="0"/>
    </format>
    <format dxfId="320">
      <pivotArea outline="0" collapsedLevelsAreSubtotals="1" fieldPosition="0"/>
    </format>
    <format dxfId="319">
      <pivotArea type="origin" dataOnly="0" labelOnly="1" outline="0" fieldPosition="0"/>
    </format>
    <format dxfId="318">
      <pivotArea field="6" type="button" dataOnly="0" labelOnly="1" outline="0" axis="axisCol" fieldPosition="0"/>
    </format>
    <format dxfId="317">
      <pivotArea type="topRight" dataOnly="0" labelOnly="1" outline="0" fieldPosition="0"/>
    </format>
    <format dxfId="316">
      <pivotArea field="0" type="button" dataOnly="0" labelOnly="1" outline="0" axis="axisRow" fieldPosition="0"/>
    </format>
    <format dxfId="315">
      <pivotArea dataOnly="0" labelOnly="1" fieldPosition="0">
        <references count="1">
          <reference field="0" count="0"/>
        </references>
      </pivotArea>
    </format>
    <format dxfId="314">
      <pivotArea dataOnly="0" labelOnly="1" grandRow="1" outline="0" fieldPosition="0"/>
    </format>
    <format dxfId="313">
      <pivotArea dataOnly="0" labelOnly="1" fieldPosition="0">
        <references count="1">
          <reference field="6" count="0"/>
        </references>
      </pivotArea>
    </format>
    <format dxfId="3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E2B8E4-ED68-4A67-9B25-A4B14EED120D}" name="TablaDinámica1" cacheId="7"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location ref="A4:E47" firstHeaderRow="1" firstDataRow="2" firstDataCol="1" rowPageCount="1" colPageCount="1"/>
  <pivotFields count="12">
    <pivotField axis="axisRow" showAll="0">
      <items count="42">
        <item x="39"/>
        <item x="13"/>
        <item x="14"/>
        <item x="15"/>
        <item x="25"/>
        <item x="4"/>
        <item x="33"/>
        <item x="35"/>
        <item x="18"/>
        <item x="27"/>
        <item x="40"/>
        <item x="36"/>
        <item x="7"/>
        <item x="10"/>
        <item x="29"/>
        <item x="21"/>
        <item x="34"/>
        <item x="37"/>
        <item x="24"/>
        <item x="22"/>
        <item x="23"/>
        <item x="11"/>
        <item x="28"/>
        <item x="16"/>
        <item x="12"/>
        <item x="5"/>
        <item x="6"/>
        <item x="38"/>
        <item x="19"/>
        <item x="20"/>
        <item x="3"/>
        <item x="0"/>
        <item x="32"/>
        <item x="8"/>
        <item x="26"/>
        <item x="30"/>
        <item x="9"/>
        <item x="17"/>
        <item x="1"/>
        <item x="31"/>
        <item x="2"/>
        <item t="default"/>
      </items>
    </pivotField>
    <pivotField showAll="0"/>
    <pivotField showAll="0"/>
    <pivotField showAll="0"/>
    <pivotField axis="axisCol" multipleItemSelectionAllowed="1" showAll="0">
      <items count="11">
        <item x="9"/>
        <item x="7"/>
        <item x="6"/>
        <item x="3"/>
        <item x="0"/>
        <item x="8"/>
        <item x="5"/>
        <item x="2"/>
        <item x="1"/>
        <item x="4"/>
        <item t="default"/>
      </items>
    </pivotField>
    <pivotField numFmtId="14" showAll="0"/>
    <pivotField axis="axisPage" multipleItemSelectionAllowed="1" showAll="0">
      <items count="6">
        <item x="2"/>
        <item h="1" x="4"/>
        <item h="1" x="3"/>
        <item h="1" x="0"/>
        <item h="1" x="1"/>
        <item t="default"/>
      </items>
    </pivotField>
    <pivotField showAll="0"/>
    <pivotField showAll="0"/>
    <pivotField dataField="1" numFmtId="1" showAll="0"/>
    <pivotField numFmtId="1" showAll="0"/>
    <pivotField numFmtId="9" showAll="0"/>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4"/>
  </colFields>
  <colItems count="4">
    <i>
      <x/>
    </i>
    <i>
      <x v="1"/>
    </i>
    <i>
      <x v="2"/>
    </i>
    <i>
      <x v="3"/>
    </i>
  </colItems>
  <pageFields count="1">
    <pageField fld="6" hier="-1"/>
  </pageFields>
  <dataFields count="1">
    <dataField name="Promedio de Puntos" fld="9" subtotal="average" baseField="0" baseItem="1" numFmtId="1"/>
  </dataFields>
  <formats count="30">
    <format dxfId="309">
      <pivotArea type="all" dataOnly="0" outline="0" fieldPosition="0"/>
    </format>
    <format dxfId="308">
      <pivotArea outline="0" collapsedLevelsAreSubtotals="1" fieldPosition="0"/>
    </format>
    <format dxfId="307">
      <pivotArea type="origin" dataOnly="0" labelOnly="1" outline="0" fieldPosition="0"/>
    </format>
    <format dxfId="306">
      <pivotArea field="6" type="button" dataOnly="0" labelOnly="1" outline="0" axis="axisPage" fieldPosition="0"/>
    </format>
    <format dxfId="305">
      <pivotArea type="topRight" dataOnly="0" labelOnly="1" outline="0" fieldPosition="0"/>
    </format>
    <format dxfId="304">
      <pivotArea field="0" type="button" dataOnly="0" labelOnly="1" outline="0" axis="axisRow" fieldPosition="0"/>
    </format>
    <format dxfId="303">
      <pivotArea dataOnly="0" labelOnly="1" fieldPosition="0">
        <references count="1">
          <reference field="0" count="0"/>
        </references>
      </pivotArea>
    </format>
    <format dxfId="302">
      <pivotArea dataOnly="0" labelOnly="1" grandRow="1" outline="0" fieldPosition="0"/>
    </format>
    <format dxfId="301">
      <pivotArea dataOnly="0" labelOnly="1" fieldPosition="0">
        <references count="1">
          <reference field="6" count="0"/>
        </references>
      </pivotArea>
    </format>
    <format dxfId="300">
      <pivotArea dataOnly="0" labelOnly="1" grandCol="1" outline="0" fieldPosition="0"/>
    </format>
    <format dxfId="299">
      <pivotArea type="all" dataOnly="0" outline="0" fieldPosition="0"/>
    </format>
    <format dxfId="298">
      <pivotArea outline="0" collapsedLevelsAreSubtotals="1" fieldPosition="0"/>
    </format>
    <format dxfId="297">
      <pivotArea type="origin" dataOnly="0" labelOnly="1" outline="0" fieldPosition="0"/>
    </format>
    <format dxfId="296">
      <pivotArea field="6" type="button" dataOnly="0" labelOnly="1" outline="0" axis="axisPage" fieldPosition="0"/>
    </format>
    <format dxfId="295">
      <pivotArea type="topRight" dataOnly="0" labelOnly="1" outline="0" fieldPosition="0"/>
    </format>
    <format dxfId="294">
      <pivotArea field="0" type="button" dataOnly="0" labelOnly="1" outline="0" axis="axisRow" fieldPosition="0"/>
    </format>
    <format dxfId="293">
      <pivotArea dataOnly="0" labelOnly="1" fieldPosition="0">
        <references count="1">
          <reference field="0" count="0"/>
        </references>
      </pivotArea>
    </format>
    <format dxfId="292">
      <pivotArea dataOnly="0" labelOnly="1" grandRow="1" outline="0" fieldPosition="0"/>
    </format>
    <format dxfId="291">
      <pivotArea dataOnly="0" labelOnly="1" fieldPosition="0">
        <references count="1">
          <reference field="6" count="0"/>
        </references>
      </pivotArea>
    </format>
    <format dxfId="290">
      <pivotArea dataOnly="0" labelOnly="1" grandCol="1" outline="0" fieldPosition="0"/>
    </format>
    <format dxfId="289">
      <pivotArea type="all" dataOnly="0" outline="0" fieldPosition="0"/>
    </format>
    <format dxfId="288">
      <pivotArea outline="0" collapsedLevelsAreSubtotals="1" fieldPosition="0"/>
    </format>
    <format dxfId="287">
      <pivotArea type="origin" dataOnly="0" labelOnly="1" outline="0" fieldPosition="0"/>
    </format>
    <format dxfId="286">
      <pivotArea field="6" type="button" dataOnly="0" labelOnly="1" outline="0" axis="axisPage" fieldPosition="0"/>
    </format>
    <format dxfId="285">
      <pivotArea type="topRight" dataOnly="0" labelOnly="1" outline="0" fieldPosition="0"/>
    </format>
    <format dxfId="284">
      <pivotArea field="0" type="button" dataOnly="0" labelOnly="1" outline="0" axis="axisRow" fieldPosition="0"/>
    </format>
    <format dxfId="283">
      <pivotArea dataOnly="0" labelOnly="1" fieldPosition="0">
        <references count="1">
          <reference field="0" count="0"/>
        </references>
      </pivotArea>
    </format>
    <format dxfId="282">
      <pivotArea dataOnly="0" labelOnly="1" grandRow="1" outline="0" fieldPosition="0"/>
    </format>
    <format dxfId="281">
      <pivotArea dataOnly="0" labelOnly="1" fieldPosition="0">
        <references count="1">
          <reference field="6" count="0"/>
        </references>
      </pivotArea>
    </format>
    <format dxfId="280">
      <pivotArea dataOnly="0" labelOnly="1" grandCol="1" outline="0" fieldPosition="0"/>
    </format>
  </formats>
  <conditionalFormats count="1">
    <conditionalFormat priority="2">
      <pivotAreas count="1">
        <pivotArea type="data" collapsedLevelsAreSubtotals="1" fieldPosition="0">
          <references count="2">
            <reference field="4294967294" count="1" selected="0">
              <x v="0"/>
            </reference>
            <reference field="0" count="41">
              <x v="0"/>
              <x v="1"/>
              <x v="2"/>
              <x v="3"/>
              <x v="4"/>
              <x v="5"/>
              <x v="6"/>
              <x v="7"/>
              <x v="8"/>
              <x v="9"/>
              <x v="10"/>
              <x v="11"/>
              <x v="12"/>
              <x v="13"/>
              <x v="14"/>
              <x v="15"/>
              <x v="16"/>
              <x v="17"/>
              <x v="18"/>
              <x v="19"/>
              <x v="20"/>
              <x v="21"/>
              <x v="22"/>
              <x v="23"/>
              <x v="24"/>
              <x v="25"/>
              <x v="26"/>
              <x v="27"/>
              <x v="28"/>
              <x v="29"/>
              <x v="30"/>
              <x v="31"/>
              <x v="32"/>
              <x v="33"/>
              <x v="34"/>
              <x v="35"/>
              <x v="36"/>
              <x v="37"/>
              <x v="38"/>
              <x v="39"/>
              <x v="4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58AC16-C5CD-4D71-8FF9-F9FAEC099363}" name="TablaDinámica1" cacheId="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Nombre">
  <location ref="A3:E44" firstHeaderRow="1" firstDataRow="2" firstDataCol="1"/>
  <pivotFields count="12">
    <pivotField axis="axisRow" showAll="0">
      <items count="40">
        <item x="37"/>
        <item x="13"/>
        <item x="14"/>
        <item x="15"/>
        <item x="25"/>
        <item x="4"/>
        <item x="33"/>
        <item x="18"/>
        <item x="38"/>
        <item x="34"/>
        <item x="7"/>
        <item x="10"/>
        <item x="28"/>
        <item x="21"/>
        <item x="32"/>
        <item x="35"/>
        <item x="24"/>
        <item x="22"/>
        <item x="23"/>
        <item x="11"/>
        <item x="27"/>
        <item x="16"/>
        <item x="12"/>
        <item x="5"/>
        <item x="6"/>
        <item x="36"/>
        <item x="19"/>
        <item x="20"/>
        <item x="3"/>
        <item x="0"/>
        <item x="31"/>
        <item x="8"/>
        <item x="26"/>
        <item x="29"/>
        <item x="9"/>
        <item x="17"/>
        <item x="1"/>
        <item x="30"/>
        <item x="2"/>
        <item t="default"/>
      </items>
    </pivotField>
    <pivotField showAll="0"/>
    <pivotField showAll="0"/>
    <pivotField showAll="0"/>
    <pivotField showAll="0"/>
    <pivotField numFmtId="14" showAll="0"/>
    <pivotField axis="axisCol" showAll="0">
      <items count="10">
        <item h="1" x="6"/>
        <item h="1" x="8"/>
        <item h="1" x="7"/>
        <item h="1" x="4"/>
        <item h="1" x="5"/>
        <item x="2"/>
        <item x="3"/>
        <item x="0"/>
        <item h="1" x="1"/>
        <item t="default"/>
      </items>
    </pivotField>
    <pivotField showAll="0"/>
    <pivotField showAll="0"/>
    <pivotField dataField="1" numFmtId="1" showAll="0"/>
    <pivotField numFmtId="1" showAll="0"/>
    <pivotField numFmtId="9"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6"/>
  </colFields>
  <colItems count="4">
    <i>
      <x v="5"/>
    </i>
    <i>
      <x v="6"/>
    </i>
    <i>
      <x v="7"/>
    </i>
    <i t="grand">
      <x/>
    </i>
  </colItems>
  <dataFields count="1">
    <dataField name="Promedio de Puntos" fld="9" subtotal="average" baseField="0" baseItem="0" numFmtId="1"/>
  </dataFields>
  <formats count="30">
    <format dxfId="279">
      <pivotArea type="all" dataOnly="0" outline="0" fieldPosition="0"/>
    </format>
    <format dxfId="278">
      <pivotArea outline="0" collapsedLevelsAreSubtotals="1" fieldPosition="0"/>
    </format>
    <format dxfId="277">
      <pivotArea type="origin" dataOnly="0" labelOnly="1" outline="0" fieldPosition="0"/>
    </format>
    <format dxfId="276">
      <pivotArea field="6" type="button" dataOnly="0" labelOnly="1" outline="0" axis="axisCol" fieldPosition="0"/>
    </format>
    <format dxfId="275">
      <pivotArea type="topRight" dataOnly="0" labelOnly="1" outline="0" fieldPosition="0"/>
    </format>
    <format dxfId="274">
      <pivotArea field="0" type="button" dataOnly="0" labelOnly="1" outline="0" axis="axisRow" fieldPosition="0"/>
    </format>
    <format dxfId="273">
      <pivotArea dataOnly="0" labelOnly="1" fieldPosition="0">
        <references count="1">
          <reference field="0" count="0"/>
        </references>
      </pivotArea>
    </format>
    <format dxfId="272">
      <pivotArea dataOnly="0" labelOnly="1" grandRow="1" outline="0" fieldPosition="0"/>
    </format>
    <format dxfId="271">
      <pivotArea dataOnly="0" labelOnly="1" fieldPosition="0">
        <references count="1">
          <reference field="6" count="0"/>
        </references>
      </pivotArea>
    </format>
    <format dxfId="270">
      <pivotArea dataOnly="0" labelOnly="1" grandCol="1" outline="0" fieldPosition="0"/>
    </format>
    <format dxfId="269">
      <pivotArea type="all" dataOnly="0" outline="0" fieldPosition="0"/>
    </format>
    <format dxfId="268">
      <pivotArea outline="0" collapsedLevelsAreSubtotals="1" fieldPosition="0"/>
    </format>
    <format dxfId="267">
      <pivotArea type="origin" dataOnly="0" labelOnly="1" outline="0" fieldPosition="0"/>
    </format>
    <format dxfId="266">
      <pivotArea field="6" type="button" dataOnly="0" labelOnly="1" outline="0" axis="axisCol" fieldPosition="0"/>
    </format>
    <format dxfId="265">
      <pivotArea type="topRight" dataOnly="0" labelOnly="1" outline="0" fieldPosition="0"/>
    </format>
    <format dxfId="264">
      <pivotArea field="0" type="button" dataOnly="0" labelOnly="1" outline="0" axis="axisRow" fieldPosition="0"/>
    </format>
    <format dxfId="263">
      <pivotArea dataOnly="0" labelOnly="1" fieldPosition="0">
        <references count="1">
          <reference field="0" count="0"/>
        </references>
      </pivotArea>
    </format>
    <format dxfId="262">
      <pivotArea dataOnly="0" labelOnly="1" grandRow="1" outline="0" fieldPosition="0"/>
    </format>
    <format dxfId="261">
      <pivotArea dataOnly="0" labelOnly="1" fieldPosition="0">
        <references count="1">
          <reference field="6" count="0"/>
        </references>
      </pivotArea>
    </format>
    <format dxfId="260">
      <pivotArea dataOnly="0" labelOnly="1" grandCol="1" outline="0" fieldPosition="0"/>
    </format>
    <format dxfId="259">
      <pivotArea type="all" dataOnly="0" outline="0" fieldPosition="0"/>
    </format>
    <format dxfId="258">
      <pivotArea outline="0" collapsedLevelsAreSubtotals="1" fieldPosition="0"/>
    </format>
    <format dxfId="257">
      <pivotArea type="origin" dataOnly="0" labelOnly="1" outline="0" fieldPosition="0"/>
    </format>
    <format dxfId="256">
      <pivotArea field="6" type="button" dataOnly="0" labelOnly="1" outline="0" axis="axisCol" fieldPosition="0"/>
    </format>
    <format dxfId="255">
      <pivotArea type="topRight" dataOnly="0" labelOnly="1" outline="0" fieldPosition="0"/>
    </format>
    <format dxfId="254">
      <pivotArea field="0" type="button" dataOnly="0" labelOnly="1" outline="0" axis="axisRow" fieldPosition="0"/>
    </format>
    <format dxfId="253">
      <pivotArea dataOnly="0" labelOnly="1" fieldPosition="0">
        <references count="1">
          <reference field="0" count="0"/>
        </references>
      </pivotArea>
    </format>
    <format dxfId="252">
      <pivotArea dataOnly="0" labelOnly="1" grandRow="1" outline="0" fieldPosition="0"/>
    </format>
    <format dxfId="251">
      <pivotArea dataOnly="0" labelOnly="1" fieldPosition="0">
        <references count="1">
          <reference field="6" count="0"/>
        </references>
      </pivotArea>
    </format>
    <format dxfId="2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8CA289-E1B9-4303-8FA1-D0EDB99521C9}" name="TablaDinámica3" cacheId="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Nombre">
  <location ref="A3:O45" firstHeaderRow="1" firstDataRow="3" firstDataCol="1"/>
  <pivotFields count="12">
    <pivotField axis="axisRow" showAll="0">
      <items count="40">
        <item x="37"/>
        <item x="13"/>
        <item x="14"/>
        <item x="15"/>
        <item x="25"/>
        <item x="4"/>
        <item x="33"/>
        <item x="18"/>
        <item x="38"/>
        <item x="34"/>
        <item x="7"/>
        <item x="10"/>
        <item x="28"/>
        <item x="21"/>
        <item x="32"/>
        <item x="35"/>
        <item x="24"/>
        <item x="22"/>
        <item x="23"/>
        <item x="11"/>
        <item x="27"/>
        <item x="16"/>
        <item x="12"/>
        <item x="5"/>
        <item x="6"/>
        <item x="36"/>
        <item x="19"/>
        <item x="20"/>
        <item x="3"/>
        <item x="0"/>
        <item x="31"/>
        <item x="8"/>
        <item x="26"/>
        <item x="29"/>
        <item x="9"/>
        <item x="17"/>
        <item x="1"/>
        <item x="30"/>
        <item x="2"/>
        <item t="default"/>
      </items>
    </pivotField>
    <pivotField showAll="0"/>
    <pivotField showAll="0"/>
    <pivotField showAll="0"/>
    <pivotField axis="axisCol" showAll="0">
      <items count="25">
        <item x="23"/>
        <item x="21"/>
        <item x="20"/>
        <item x="17"/>
        <item x="13"/>
        <item x="9"/>
        <item x="4"/>
        <item x="1"/>
        <item x="14"/>
        <item x="19"/>
        <item x="12"/>
        <item x="11"/>
        <item x="10"/>
        <item x="8"/>
        <item x="6"/>
        <item x="5"/>
        <item x="3"/>
        <item x="2"/>
        <item x="22"/>
        <item x="16"/>
        <item x="15"/>
        <item x="7"/>
        <item x="0"/>
        <item x="18"/>
        <item t="default"/>
      </items>
    </pivotField>
    <pivotField numFmtId="14" showAll="0"/>
    <pivotField axis="axisCol" showAll="0">
      <items count="10">
        <item h="1" x="6"/>
        <item h="1" x="8"/>
        <item h="1" x="7"/>
        <item h="1" x="4"/>
        <item h="1" x="5"/>
        <item x="2"/>
        <item x="3"/>
        <item x="0"/>
        <item h="1" x="1"/>
        <item t="default"/>
      </items>
    </pivotField>
    <pivotField showAll="0"/>
    <pivotField showAll="0"/>
    <pivotField dataField="1" numFmtId="1" showAll="0"/>
    <pivotField numFmtId="1" showAll="0"/>
    <pivotField numFmtId="9"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2">
    <field x="6"/>
    <field x="4"/>
  </colFields>
  <colItems count="14">
    <i>
      <x v="5"/>
      <x v="10"/>
    </i>
    <i r="1">
      <x v="11"/>
    </i>
    <i r="1">
      <x v="12"/>
    </i>
    <i r="1">
      <x v="13"/>
    </i>
    <i r="1">
      <x v="14"/>
    </i>
    <i r="1">
      <x v="15"/>
    </i>
    <i r="1">
      <x v="16"/>
    </i>
    <i r="1">
      <x v="17"/>
    </i>
    <i t="default">
      <x v="5"/>
    </i>
    <i>
      <x v="6"/>
      <x v="21"/>
    </i>
    <i t="default">
      <x v="6"/>
    </i>
    <i>
      <x v="7"/>
      <x v="22"/>
    </i>
    <i t="default">
      <x v="7"/>
    </i>
    <i t="grand">
      <x/>
    </i>
  </colItems>
  <dataFields count="1">
    <dataField name="Promedio de Puntos" fld="9" subtotal="average" baseField="0" baseItem="0" numFmtId="1"/>
  </dataFields>
  <formats count="30">
    <format dxfId="249">
      <pivotArea type="all" dataOnly="0" outline="0" fieldPosition="0"/>
    </format>
    <format dxfId="248">
      <pivotArea outline="0" collapsedLevelsAreSubtotals="1" fieldPosition="0"/>
    </format>
    <format dxfId="247">
      <pivotArea type="origin" dataOnly="0" labelOnly="1" outline="0" fieldPosition="0"/>
    </format>
    <format dxfId="246">
      <pivotArea field="6" type="button" dataOnly="0" labelOnly="1" outline="0" axis="axisCol" fieldPosition="0"/>
    </format>
    <format dxfId="245">
      <pivotArea type="topRight" dataOnly="0" labelOnly="1" outline="0" fieldPosition="0"/>
    </format>
    <format dxfId="244">
      <pivotArea field="0" type="button" dataOnly="0" labelOnly="1" outline="0" axis="axisRow" fieldPosition="0"/>
    </format>
    <format dxfId="243">
      <pivotArea dataOnly="0" labelOnly="1" fieldPosition="0">
        <references count="1">
          <reference field="0" count="0"/>
        </references>
      </pivotArea>
    </format>
    <format dxfId="242">
      <pivotArea dataOnly="0" labelOnly="1" grandRow="1" outline="0" fieldPosition="0"/>
    </format>
    <format dxfId="241">
      <pivotArea dataOnly="0" labelOnly="1" fieldPosition="0">
        <references count="1">
          <reference field="6" count="0"/>
        </references>
      </pivotArea>
    </format>
    <format dxfId="240">
      <pivotArea dataOnly="0" labelOnly="1" grandCol="1" outline="0" fieldPosition="0"/>
    </format>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6" type="button" dataOnly="0" labelOnly="1" outline="0" axis="axisCol" fieldPosition="0"/>
    </format>
    <format dxfId="235">
      <pivotArea type="topRight" dataOnly="0" labelOnly="1" outline="0" fieldPosition="0"/>
    </format>
    <format dxfId="234">
      <pivotArea field="0" type="button" dataOnly="0" labelOnly="1" outline="0" axis="axisRow" fieldPosition="0"/>
    </format>
    <format dxfId="233">
      <pivotArea dataOnly="0" labelOnly="1" fieldPosition="0">
        <references count="1">
          <reference field="0" count="0"/>
        </references>
      </pivotArea>
    </format>
    <format dxfId="232">
      <pivotArea dataOnly="0" labelOnly="1" grandRow="1" outline="0" fieldPosition="0"/>
    </format>
    <format dxfId="231">
      <pivotArea dataOnly="0" labelOnly="1" fieldPosition="0">
        <references count="1">
          <reference field="6" count="0"/>
        </references>
      </pivotArea>
    </format>
    <format dxfId="230">
      <pivotArea dataOnly="0" labelOnly="1" grandCol="1" outline="0" fieldPosition="0"/>
    </format>
    <format dxfId="229">
      <pivotArea type="all" dataOnly="0" outline="0" fieldPosition="0"/>
    </format>
    <format dxfId="228">
      <pivotArea outline="0" collapsedLevelsAreSubtotals="1" fieldPosition="0"/>
    </format>
    <format dxfId="227">
      <pivotArea type="origin" dataOnly="0" labelOnly="1" outline="0" fieldPosition="0"/>
    </format>
    <format dxfId="226">
      <pivotArea field="6" type="button" dataOnly="0" labelOnly="1" outline="0" axis="axisCol" fieldPosition="0"/>
    </format>
    <format dxfId="225">
      <pivotArea type="topRight" dataOnly="0" labelOnly="1" outline="0" fieldPosition="0"/>
    </format>
    <format dxfId="224">
      <pivotArea field="0" type="button" dataOnly="0" labelOnly="1" outline="0" axis="axisRow" fieldPosition="0"/>
    </format>
    <format dxfId="223">
      <pivotArea dataOnly="0" labelOnly="1" fieldPosition="0">
        <references count="1">
          <reference field="0" count="0"/>
        </references>
      </pivotArea>
    </format>
    <format dxfId="222">
      <pivotArea dataOnly="0" labelOnly="1" grandRow="1" outline="0" fieldPosition="0"/>
    </format>
    <format dxfId="221">
      <pivotArea dataOnly="0" labelOnly="1" fieldPosition="0">
        <references count="1">
          <reference field="6" count="0"/>
        </references>
      </pivotArea>
    </format>
    <format dxfId="22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DB80EA-5099-4445-9CB6-A80D05DF9677}" name="TablaDinámica1" cacheId="13"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rowHeaderCaption="Nombre">
  <location ref="A4:E45" firstHeaderRow="1" firstDataRow="2" firstDataCol="1" rowPageCount="1" colPageCount="1"/>
  <pivotFields count="12">
    <pivotField axis="axisRow" showAll="0">
      <items count="40">
        <item x="37"/>
        <item x="13"/>
        <item x="14"/>
        <item x="15"/>
        <item x="25"/>
        <item x="4"/>
        <item x="33"/>
        <item x="18"/>
        <item x="38"/>
        <item x="34"/>
        <item x="7"/>
        <item x="10"/>
        <item x="28"/>
        <item x="21"/>
        <item x="32"/>
        <item x="35"/>
        <item x="24"/>
        <item x="22"/>
        <item x="23"/>
        <item x="11"/>
        <item x="27"/>
        <item x="16"/>
        <item x="12"/>
        <item x="5"/>
        <item x="6"/>
        <item x="36"/>
        <item x="19"/>
        <item x="20"/>
        <item x="3"/>
        <item x="0"/>
        <item x="31"/>
        <item x="8"/>
        <item x="26"/>
        <item x="29"/>
        <item x="9"/>
        <item x="17"/>
        <item x="1"/>
        <item x="30"/>
        <item x="2"/>
        <item t="default"/>
      </items>
    </pivotField>
    <pivotField showAll="0"/>
    <pivotField showAll="0"/>
    <pivotField showAll="0"/>
    <pivotField axis="axisCol" multipleItemSelectionAllowed="1" showAll="0">
      <items count="25">
        <item x="23"/>
        <item x="21"/>
        <item x="20"/>
        <item x="17"/>
        <item x="14"/>
        <item x="22"/>
        <item x="19"/>
        <item x="16"/>
        <item x="15"/>
        <item x="18"/>
        <item x="0"/>
        <item x="1"/>
        <item x="2"/>
        <item x="3"/>
        <item x="4"/>
        <item x="5"/>
        <item x="6"/>
        <item x="7"/>
        <item x="8"/>
        <item x="9"/>
        <item x="10"/>
        <item x="11"/>
        <item x="12"/>
        <item x="13"/>
        <item t="default"/>
      </items>
    </pivotField>
    <pivotField numFmtId="14" showAll="0"/>
    <pivotField axis="axisPage" multipleItemSelectionAllowed="1" showAll="0">
      <items count="10">
        <item h="1" x="6"/>
        <item h="1" x="8"/>
        <item h="1" x="7"/>
        <item h="1" x="4"/>
        <item h="1" x="5"/>
        <item h="1" x="0"/>
        <item x="1"/>
        <item h="1" x="2"/>
        <item h="1" x="3"/>
        <item t="default"/>
      </items>
    </pivotField>
    <pivotField showAll="0"/>
    <pivotField showAll="0"/>
    <pivotField dataField="1" numFmtId="1" showAll="0"/>
    <pivotField numFmtId="1" showAll="0"/>
    <pivotField numFmtId="9"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4"/>
  </colFields>
  <colItems count="4">
    <i>
      <x v="11"/>
    </i>
    <i>
      <x v="14"/>
    </i>
    <i>
      <x v="19"/>
    </i>
    <i>
      <x v="23"/>
    </i>
  </colItems>
  <pageFields count="1">
    <pageField fld="6" hier="-1"/>
  </pageFields>
  <dataFields count="1">
    <dataField name="Promedio de Puntos" fld="9" subtotal="average" baseField="0" baseItem="1" numFmtId="1"/>
  </dataFields>
  <formats count="30">
    <format dxfId="216">
      <pivotArea type="all" dataOnly="0" outline="0" fieldPosition="0"/>
    </format>
    <format dxfId="215">
      <pivotArea outline="0" collapsedLevelsAreSubtotals="1" fieldPosition="0"/>
    </format>
    <format dxfId="214">
      <pivotArea type="origin" dataOnly="0" labelOnly="1" outline="0" fieldPosition="0"/>
    </format>
    <format dxfId="213">
      <pivotArea field="6" type="button" dataOnly="0" labelOnly="1" outline="0" axis="axisPage" fieldPosition="0"/>
    </format>
    <format dxfId="212">
      <pivotArea type="topRight" dataOnly="0" labelOnly="1" outline="0" fieldPosition="0"/>
    </format>
    <format dxfId="211">
      <pivotArea field="0" type="button" dataOnly="0" labelOnly="1" outline="0" axis="axisRow" fieldPosition="0"/>
    </format>
    <format dxfId="210">
      <pivotArea dataOnly="0" labelOnly="1" fieldPosition="0">
        <references count="1">
          <reference field="0" count="0"/>
        </references>
      </pivotArea>
    </format>
    <format dxfId="209">
      <pivotArea dataOnly="0" labelOnly="1" grandRow="1" outline="0" fieldPosition="0"/>
    </format>
    <format dxfId="208">
      <pivotArea dataOnly="0" labelOnly="1" fieldPosition="0">
        <references count="1">
          <reference field="6" count="0"/>
        </references>
      </pivotArea>
    </format>
    <format dxfId="207">
      <pivotArea dataOnly="0" labelOnly="1" grandCol="1" outline="0" fieldPosition="0"/>
    </format>
    <format dxfId="206">
      <pivotArea type="all" dataOnly="0" outline="0" fieldPosition="0"/>
    </format>
    <format dxfId="205">
      <pivotArea outline="0" collapsedLevelsAreSubtotals="1" fieldPosition="0"/>
    </format>
    <format dxfId="204">
      <pivotArea type="origin" dataOnly="0" labelOnly="1" outline="0" fieldPosition="0"/>
    </format>
    <format dxfId="203">
      <pivotArea field="6" type="button" dataOnly="0" labelOnly="1" outline="0" axis="axisPage" fieldPosition="0"/>
    </format>
    <format dxfId="202">
      <pivotArea type="topRight" dataOnly="0" labelOnly="1" outline="0" fieldPosition="0"/>
    </format>
    <format dxfId="201">
      <pivotArea field="0" type="button" dataOnly="0" labelOnly="1" outline="0" axis="axisRow" fieldPosition="0"/>
    </format>
    <format dxfId="200">
      <pivotArea dataOnly="0" labelOnly="1" fieldPosition="0">
        <references count="1">
          <reference field="0" count="0"/>
        </references>
      </pivotArea>
    </format>
    <format dxfId="199">
      <pivotArea dataOnly="0" labelOnly="1" grandRow="1" outline="0" fieldPosition="0"/>
    </format>
    <format dxfId="198">
      <pivotArea dataOnly="0" labelOnly="1" fieldPosition="0">
        <references count="1">
          <reference field="6" count="0"/>
        </references>
      </pivotArea>
    </format>
    <format dxfId="197">
      <pivotArea dataOnly="0" labelOnly="1" grandCol="1" outline="0" fieldPosition="0"/>
    </format>
    <format dxfId="196">
      <pivotArea type="all" dataOnly="0" outline="0" fieldPosition="0"/>
    </format>
    <format dxfId="195">
      <pivotArea outline="0" collapsedLevelsAreSubtotals="1" fieldPosition="0"/>
    </format>
    <format dxfId="194">
      <pivotArea type="origin" dataOnly="0" labelOnly="1" outline="0" fieldPosition="0"/>
    </format>
    <format dxfId="193">
      <pivotArea field="6" type="button" dataOnly="0" labelOnly="1" outline="0" axis="axisPage" fieldPosition="0"/>
    </format>
    <format dxfId="192">
      <pivotArea type="topRight" dataOnly="0" labelOnly="1" outline="0" fieldPosition="0"/>
    </format>
    <format dxfId="191">
      <pivotArea field="0" type="button" dataOnly="0" labelOnly="1" outline="0" axis="axisRow" fieldPosition="0"/>
    </format>
    <format dxfId="190">
      <pivotArea dataOnly="0" labelOnly="1" fieldPosition="0">
        <references count="1">
          <reference field="0" count="0"/>
        </references>
      </pivotArea>
    </format>
    <format dxfId="189">
      <pivotArea dataOnly="0" labelOnly="1" grandRow="1" outline="0" fieldPosition="0"/>
    </format>
    <format dxfId="188">
      <pivotArea dataOnly="0" labelOnly="1" fieldPosition="0">
        <references count="1">
          <reference field="6" count="0"/>
        </references>
      </pivotArea>
    </format>
    <format dxfId="187">
      <pivotArea dataOnly="0" labelOnly="1" grandCol="1" outline="0" fieldPosition="0"/>
    </format>
  </formats>
  <conditionalFormats count="1">
    <conditionalFormat priority="4">
      <pivotAreas count="1">
        <pivotArea type="data" collapsedLevelsAreSubtotals="1" fieldPosition="0">
          <references count="2">
            <reference field="4294967294" count="1" selected="0">
              <x v="0"/>
            </reference>
            <reference field="0" count="39">
              <x v="0"/>
              <x v="1"/>
              <x v="2"/>
              <x v="3"/>
              <x v="4"/>
              <x v="5"/>
              <x v="6"/>
              <x v="7"/>
              <x v="8"/>
              <x v="9"/>
              <x v="10"/>
              <x v="11"/>
              <x v="12"/>
              <x v="13"/>
              <x v="14"/>
              <x v="15"/>
              <x v="16"/>
              <x v="17"/>
              <x v="18"/>
              <x v="19"/>
              <x v="20"/>
              <x v="21"/>
              <x v="22"/>
              <x v="23"/>
              <x v="24"/>
              <x v="25"/>
              <x v="26"/>
              <x v="27"/>
              <x v="28"/>
              <x v="29"/>
              <x v="30"/>
              <x v="31"/>
              <x v="32"/>
              <x v="33"/>
              <x v="34"/>
              <x v="35"/>
              <x v="36"/>
              <x v="37"/>
              <x v="3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617ACBF-2D7D-43C4-91CB-9F5CBD434E57}" sourceName="Nombre complet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ments" xr10:uid="{DD368DBF-8008-4A67-A980-F67D7C7D53F7}" sourceName="Tareas">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91D11A1F-47EA-4BBB-B674-352742B3931E}" sourceName="Nombre completo">
  <extLst>
    <x:ext xmlns:x15="http://schemas.microsoft.com/office/spreadsheetml/2010/11/main" uri="{2F2917AC-EB37-4324-AD4E-5DD8C200BD13}">
      <x15:tableSlicerCache tableId="2"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ments1" xr10:uid="{8D0B89A4-F814-42D8-9ABB-33F19903811C}" sourceName="Tareas">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completo" xr10:uid="{F0FC3D99-1C03-4800-ADB1-A6A04A31286E}" cache="Slicer_Name" caption="Nombre completo" rowHeight="241300"/>
  <slicer name="Tareas" xr10:uid="{098203EB-0C9E-45AA-91EE-417439E20B4F}" cache="Slicer_Assignments" caption="Tarea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completo 1" xr10:uid="{0D33ACAB-F6A7-4AAA-83D5-DE7B14F042E1}" cache="Slicer_Name1" caption="Nombre completo" rowHeight="241300"/>
  <slicer name="Tareas 1" xr10:uid="{3A2D1CDE-E30E-4A51-B878-21385F16931B}" cache="Slicer_Assignments1" caption="Tarea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01087-090E-4405-8CBC-12C74025C1A3}" name="table" displayName="table" ref="D2:O412" totalsRowShown="0" headerRowDxfId="388" dataDxfId="386" headerRowBorderDxfId="387" tableBorderDxfId="385" totalsRowBorderDxfId="384">
  <autoFilter ref="D2:O412" xr:uid="{03001087-090E-4405-8CBC-12C74025C1A3}"/>
  <tableColumns count="12">
    <tableColumn id="1" xr3:uid="{00000000-0010-0000-0000-000001000000}" name="Nombre completo" dataDxfId="383"/>
    <tableColumn id="2" xr3:uid="{00000000-0010-0000-0000-000002000000}" name="Nombre" dataDxfId="382"/>
    <tableColumn id="3" xr3:uid="{00000000-0010-0000-0000-000003000000}" name="Apellidos" dataDxfId="381"/>
    <tableColumn id="4" xr3:uid="{00000000-0010-0000-0000-000004000000}" name="Dirección de correo electrónico" dataDxfId="380"/>
    <tableColumn id="5" xr3:uid="{00000000-0010-0000-0000-000005000000}" name="Tareas" dataDxfId="379"/>
    <tableColumn id="6" xr3:uid="{00000000-0010-0000-0000-000006000000}" name="Fecha de vencimiento" dataDxfId="378"/>
    <tableColumn id="7" xr3:uid="{00000000-0010-0000-0000-000007000000}" name="Etiqueta" dataDxfId="377"/>
    <tableColumn id="8" xr3:uid="{00000000-0010-0000-0000-000008000000}" name="Estado" dataDxfId="376"/>
    <tableColumn id="9" xr3:uid="{00000000-0010-0000-0000-000009000000}" name="Comentarios" dataDxfId="375"/>
    <tableColumn id="10" xr3:uid="{00000000-0010-0000-0000-00000A000000}" name="Puntos" dataDxfId="374"/>
    <tableColumn id="11" xr3:uid="{00000000-0010-0000-0000-00000B000000}" name="Puntos máximos" dataDxfId="373"/>
    <tableColumn id="12" xr3:uid="{00000000-0010-0000-0000-00000C000000}" name="Porcentaje" dataDxfId="37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800C44-980B-45CD-AAE5-B0C71BBFAE51}" name="table3" displayName="table3" ref="D2:O977" totalsRowShown="0">
  <autoFilter ref="D2:O977" xr:uid="{03001087-090E-4405-8CBC-12C74025C1A3}">
    <filterColumn colId="0">
      <filters>
        <filter val="Sofia Giraldo Pico"/>
      </filters>
    </filterColumn>
    <filterColumn colId="4">
      <filters>
        <filter val="🚀 Entrega Final Taller Corte 2"/>
      </filters>
    </filterColumn>
  </autoFilter>
  <tableColumns count="12">
    <tableColumn id="1" xr3:uid="{00000000-0010-0000-0000-000001000000}" name="Nombre completo"/>
    <tableColumn id="2" xr3:uid="{00000000-0010-0000-0000-000002000000}" name="Nombre"/>
    <tableColumn id="3" xr3:uid="{00000000-0010-0000-0000-000003000000}" name="Apellidos"/>
    <tableColumn id="4" xr3:uid="{00000000-0010-0000-0000-000004000000}" name="Dirección de correo"/>
    <tableColumn id="5" xr3:uid="{00000000-0010-0000-0000-000005000000}" name="Tareas"/>
    <tableColumn id="6" xr3:uid="{00000000-0010-0000-0000-000006000000}" name="Fecha de vencimiento"/>
    <tableColumn id="7" xr3:uid="{00000000-0010-0000-0000-000007000000}" name="Etiqueta"/>
    <tableColumn id="8" xr3:uid="{00000000-0010-0000-0000-000008000000}" name="Estado"/>
    <tableColumn id="9" xr3:uid="{00000000-0010-0000-0000-000009000000}" name="Comentarios"/>
    <tableColumn id="10" xr3:uid="{00000000-0010-0000-0000-00000A000000}" name="Puntos"/>
    <tableColumn id="11" xr3:uid="{00000000-0010-0000-0000-00000B000000}" name="Puntos máximos"/>
    <tableColumn id="12" xr3:uid="{00000000-0010-0000-0000-00000C000000}" name="Porcentaje"/>
  </tableColumns>
  <tableStyleInfo name="Assignments Export"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2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4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2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413" Type="http://schemas.microsoft.com/office/2007/relationships/slicer" Target="../slicers/slicer1.xml"/><Relationship Id="rId2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3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2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2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4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3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3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2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2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4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3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4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2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4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2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11" Type="http://schemas.openxmlformats.org/officeDocument/2006/relationships/drawing" Target="../drawings/drawing1.xml"/><Relationship Id="rId1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12" Type="http://schemas.openxmlformats.org/officeDocument/2006/relationships/table" Target="../tables/table1.xml"/><Relationship Id="rId1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2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2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3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2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4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2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3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2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2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1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4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2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2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2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3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1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2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4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3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6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76" Type="http://schemas.openxmlformats.org/officeDocument/2006/relationships/drawing" Target="../drawings/drawing2.xml"/><Relationship Id="rId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6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8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9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1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4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8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2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8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2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5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8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7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2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9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2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9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2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8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5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5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1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4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8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6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4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9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9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2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5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9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4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5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4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2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2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8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7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9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2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6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2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5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2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6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4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5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9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8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7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6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1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6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6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2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8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1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2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8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8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6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7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3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2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7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7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2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9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2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9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9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7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4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6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9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3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2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9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6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9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2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5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1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7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4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9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5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5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3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4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2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2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6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5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8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6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4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5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9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9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6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1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7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5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6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6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8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2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4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5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6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0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16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3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6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2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4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6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7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9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9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4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7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5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2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2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2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5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6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0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4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7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9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5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3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5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5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6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2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8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7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6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8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6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7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3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5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8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7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4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7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6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9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5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1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9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9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8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978" Type="http://schemas.microsoft.com/office/2007/relationships/slicer" Target="../slicers/slicer2.xml"/><Relationship Id="rId7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4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3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8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0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5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8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1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4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4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2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9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5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3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2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9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6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2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5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1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7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4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5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4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3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6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8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5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0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9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6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4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4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5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1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3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4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9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90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7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6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4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6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5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7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5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5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6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2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5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1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7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6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3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2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8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7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7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8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5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8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4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7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3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5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6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9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8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2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977" Type="http://schemas.openxmlformats.org/officeDocument/2006/relationships/table" Target="../tables/table2.xml"/><Relationship Id="rId1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8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0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1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4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7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8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4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7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3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4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5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8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2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2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7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5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2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2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9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6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9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7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2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5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7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4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7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6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9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2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3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8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1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3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4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6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8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2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3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1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7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3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6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6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8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90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2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89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3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6983e80-7785-42be-857a-e8436117f393%5C%22%5D%7D%5D%7D,%5C%22action%5C%22%3A%5C%22navigate%5C%22,%5C%22view%5C%22%3A%5C%22assignment-viewer%5C%22,%5C%22deeplinkType%5C%22%3A3%7D%22,%22channelId%22%3Anull%7D" TargetMode="External"/><Relationship Id="rId1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5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6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9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1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4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06e7d4-4f6a-48fe-af4c-15e94ff9401c%5C%22%5D%7D%5D%7D,%5C%22action%5C%22%3A%5C%22navigate%5C%22,%5C%22view%5C%22%3A%5C%22assignment-viewer%5C%22,%5C%22deeplinkType%5C%22%3A3%7D%22,%22channelId%22%3Anull%7D" TargetMode="External"/><Relationship Id="rId8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5163e49-8547-4aed-9700-86fbc37c3425%5C%22%5D%7D%5D%7D,%5C%22action%5C%22%3A%5C%22navigate%5C%22,%5C%22view%5C%22%3A%5C%22assignment-viewer%5C%22,%5C%22deeplinkType%5C%22%3A3%7D%22,%22channelId%22%3Anull%7D" TargetMode="External"/><Relationship Id="rId6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9ae2206-b1a4-4d9e-9922-0157bd47739a%5C%22%5D%7D%5D%7D,%5C%22action%5C%22%3A%5C%22navigate%5C%22,%5C%22view%5C%22%3A%5C%22assignment-viewer%5C%22,%5C%22deeplinkType%5C%22%3A3%7D%22,%22channelId%22%3Anull%7D" TargetMode="External"/><Relationship Id="rId91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4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ef608c12-cff2-4a2d-a5e3-2887283fddd6%5C%22%5D%7D%5D%7D,%5C%22action%5C%22%3A%5C%22navigate%5C%22,%5C%22view%5C%22%3A%5C%22assignment-viewer%5C%22,%5C%22deeplinkType%5C%22%3A3%7D%22,%22channelId%22%3Anull%7D" TargetMode="External"/><Relationship Id="rId3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5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97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6a2b9d9-f39a-4039-b3f9-33638bbaf3c4%5C%22%5D%7D%5D%7D,%5C%22action%5C%22%3A%5C%22navigate%5C%22,%5C%22view%5C%22%3A%5C%22assignment-viewer%5C%22,%5C%22deeplinkType%5C%22%3A3%7D%22,%22channelId%22%3Anull%7D" TargetMode="External"/><Relationship Id="rId1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0193b49e-a674-47e8-af2f-ad1f8283eb1d%5C%22%5D%7D%5D%7D,%5C%22action%5C%22%3A%5C%22navigate%5C%22,%5C%22view%5C%22%3A%5C%22assignment-viewer%5C%22,%5C%22deeplinkType%5C%22%3A3%7D%22,%22channelId%22%3Anull%7D" TargetMode="External"/><Relationship Id="rId47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5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2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56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7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20b42ba-2cb2-48cf-9383-682ff1e60d82%5C%22%5D%7D%5D%7D,%5C%22action%5C%22%3A%5C%22navigate%5C%22,%5C%22view%5C%22%3A%5C%22assignment-viewer%5C%22,%5C%22deeplinkType%5C%22%3A3%7D%22,%22channelId%22%3Anull%7D" TargetMode="External"/><Relationship Id="rId33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429"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3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4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7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8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0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1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3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4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5a1666cb-2b37-42d9-85de-8f5a8930c77f%5C%22%5D%7D%5D%7D,%5C%22action%5C%22%3A%5C%22navigate%5C%22,%5C%22view%5C%22%3A%5C%22assignment-viewer%5C%22,%5C%22deeplinkType%5C%22%3A3%7D%22,%22channelId%22%3Anull%7D" TargetMode="External"/><Relationship Id="rId78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0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64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5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b57191c4-cc2b-471d-8a1e-b2463e1d64cf%5C%22%5D%7D%5D%7D,%5C%22action%5C%22%3A%5C%22navigate%5C%22,%5C%22view%5C%22%3A%5C%22assignment-viewer%5C%22,%5C%22deeplinkType%5C%22%3A3%7D%22,%22channelId%22%3Anull%7D" TargetMode="External"/><Relationship Id="rId28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49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50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20f26ca3-0ad7-478b-b041-fddd4e3cdb6d%5C%22%5D%7D%5D%7D,%5C%22action%5C%22%3A%5C%22navigate%5C%22,%5C%22view%5C%22%3A%5C%22assignment-viewer%5C%22,%5C%22deeplinkType%5C%22%3A3%7D%22,%22channelId%22%3Anull%7D" TargetMode="External"/><Relationship Id="rId71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21"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5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caa5fb9-6af7-4a44-834a-f57a61e842e7%5C%22%5D%7D%5D%7D,%5C%22action%5C%22%3A%5C%22navigate%5C%22,%5C%22view%5C%22%3A%5C%22assignment-viewer%5C%22,%5C%22deeplinkType%5C%22%3A3%7D%22,%22channelId%22%3Anull%7D" TargetMode="External"/><Relationship Id="rId146"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4d9ef283-8952-4983-aece-2c477cf4661b%5C%22%5D%7D%5D%7D,%5C%22action%5C%22%3A%5C%22navigate%5C%22,%5C%22view%5C%22%3A%5C%22assignment-viewer%5C%22,%5C%22deeplinkType%5C%22%3A3%7D%22,%22channelId%22%3Anull%7D" TargetMode="External"/><Relationship Id="rId35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 Id="rId56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7195037-62e7-4bba-aa57-20d31400bfd8%5C%22%5D%7D%5D%7D,%5C%22action%5C%22%3A%5C%22navigate%5C%22,%5C%22view%5C%22%3A%5C%22assignment-viewer%5C%22,%5C%22deeplinkType%5C%22%3A3%7D%22,%22channelId%22%3Anull%7D" TargetMode="External"/><Relationship Id="rId79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6e939eb9-a125-4d68-8020-139aeccc38bb%5C%22%5D%7D%5D%7D,%5C%22action%5C%22%3A%5C%22navigate%5C%22,%5C%22view%5C%22%3A%5C%22assignment-viewer%5C%22,%5C%22deeplinkType%5C%22%3A3%7D%22,%22channelId%22%3A%2219%3AWSYxgCHBOqt-ORbSlaOfOlOBYUc1-ZXDa6cVvxGaQqg1@thread.tacv2%22%7D" TargetMode="External"/><Relationship Id="rId213"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8327bf06-907b-48ca-bf4c-c2fb9294b2bb%5C%22%5D%7D%5D%7D,%5C%22action%5C%22%3A%5C%22navigate%5C%22,%5C%22view%5C%22%3A%5C%22assignment-viewer%5C%22,%5C%22deeplinkType%5C%22%3A3%7D%22,%22channelId%22%3Anull%7D" TargetMode="External"/><Relationship Id="rId420"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be3e8fb-8439-4452-8fec-e3c102ceaa96%5C%22%5D%7D%5D%7D,%5C%22action%5C%22%3A%5C%22navigate%5C%22,%5C%22view%5C%22%3A%5C%22assignment-viewer%5C%22,%5C%22deeplinkType%5C%22%3A3%7D%22,%22channelId%22%3Anull%7D" TargetMode="External"/><Relationship Id="rId65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c65940b2-f5a2-4de3-959f-6786410f98c5%5C%22%5D%7D%5D%7D,%5C%22action%5C%22%3A%5C%22navigate%5C%22,%5C%22view%5C%22%3A%5C%22assignment-viewer%5C%22,%5C%22deeplinkType%5C%22%3A3%7D%22,%22channelId%22%3Anull%7D" TargetMode="External"/><Relationship Id="rId86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e1d89ed-e76d-4fad-bd7e-da1763b745bf%5C%22%5D%7D%5D%7D,%5C%22action%5C%22%3A%5C%22navigate%5C%22,%5C%22view%5C%22%3A%5C%22assignment-viewer%5C%22,%5C%22deeplinkType%5C%22%3A3%7D%22,%22channelId%22%3Anull%7D" TargetMode="External"/><Relationship Id="rId29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1fab4b58-3e43-4436-a356-8fd5e7eb0ea6%5C%22%5D%7D%5D%7D,%5C%22action%5C%22%3A%5C%22navigate%5C%22,%5C%22view%5C%22%3A%5C%22assignment-viewer%5C%22,%5C%22deeplinkType%5C%22%3A3%7D%22,%22channelId%22%3Anull%7D" TargetMode="External"/><Relationship Id="rId518"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7133d82a-55ca-40aa-959f-0841534a1bb1%5C%22%5D%7D%5D%7D,%5C%22action%5C%22%3A%5C%22navigate%5C%22,%5C%22view%5C%22%3A%5C%22assignment-viewer%5C%22,%5C%22deeplinkType%5C%22%3A3%7D%22,%22channelId%22%3Anull%7D" TargetMode="External"/><Relationship Id="rId725"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dc3bb4b3-76a0-4960-ae06-e1e3171e3829%5C%22%5D%7D%5D%7D,%5C%22action%5C%22%3A%5C%22navigate%5C%22,%5C%22view%5C%22%3A%5C%22assignment-viewer%5C%22,%5C%22deeplinkType%5C%22%3A3%7D%22,%22channelId%22%3Anull%7D" TargetMode="External"/><Relationship Id="rId932"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a301fa67-8122-46a8-bc72-e5941a51d1ce%5C%22%5D%7D%5D%7D,%5C%22action%5C%22%3A%5C%22navigate%5C%22,%5C%22view%5C%22%3A%5C%22assignment-viewer%5C%22,%5C%22deeplinkType%5C%22%3A3%7D%22,%22channelId%22%3Anull%7D" TargetMode="External"/><Relationship Id="rId157"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3d7e3fcf-2d2f-4a69-98fe-555d13eab5ea%5C%22%5D%7D%5D%7D,%5C%22action%5C%22%3A%5C%22navigate%5C%22,%5C%22view%5C%22%3A%5C%22assignment-viewer%5C%22,%5C%22deeplinkType%5C%22%3A3%7D%22,%22channelId%22%3Anull%7D" TargetMode="External"/><Relationship Id="rId364" Type="http://schemas.openxmlformats.org/officeDocument/2006/relationships/hyperlink" Target="https://teams.microsoft.com/l/entity/66aeee93-507d-479a-a3ef-8f494af43945/classroom?context=%7B%22subEntityId%22%3A%22%7B%5C%22version%5C%22%3A%5C%221.0%5C%22,%5C%22config%5C%22%3A%7B%5C%22classes%5C%22%3A%5B%7B%5C%22id%5C%22%3A%5C%220f0e04e2-7638-405b-ab63-47ed798a62e1%5C%22,%5C%22assignmentIds%5C%22%3A%5B%5C%229364872c-24e4-4ceb-90d1-a49dbd1f4b42%5C%22%5D%7D%5D%7D,%5C%22action%5C%22%3A%5C%22navigate%5C%22,%5C%22view%5C%22%3A%5C%22assignment-viewer%5C%22,%5C%22deeplinkType%5C%22%3A3%7D%22,%22channelId%22%3Anull%7D"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Q412"/>
  <sheetViews>
    <sheetView workbookViewId="0">
      <pane xSplit="3" ySplit="2" topLeftCell="D3" activePane="bottomRight" state="frozen"/>
      <selection pane="topRight" activeCell="D1" sqref="D1"/>
      <selection pane="bottomLeft" activeCell="A3" sqref="A3"/>
      <selection pane="bottomRight" activeCell="D7" sqref="D7"/>
    </sheetView>
  </sheetViews>
  <sheetFormatPr baseColWidth="10" defaultColWidth="8.69921875" defaultRowHeight="16.8" x14ac:dyDescent="0.4"/>
  <cols>
    <col min="1" max="1" width="3" style="19" customWidth="1"/>
    <col min="2" max="2" width="30" style="19" customWidth="1"/>
    <col min="3" max="3" width="3" style="19" customWidth="1"/>
    <col min="4" max="4" width="34.796875" style="19" customWidth="1"/>
    <col min="5" max="5" width="20" style="19" customWidth="1"/>
    <col min="6" max="6" width="25" style="19" customWidth="1"/>
    <col min="7" max="8" width="30" style="19" customWidth="1"/>
    <col min="9" max="11" width="16" style="19" customWidth="1"/>
    <col min="12" max="12" width="25" style="19" customWidth="1"/>
    <col min="13" max="15" width="8" style="19" customWidth="1"/>
    <col min="16" max="16384" width="8.69921875" style="19"/>
  </cols>
  <sheetData>
    <row r="1" spans="1:17" s="41" customFormat="1" ht="37.5" customHeight="1" x14ac:dyDescent="0.4">
      <c r="A1" s="40"/>
      <c r="B1" s="40"/>
      <c r="C1" s="40"/>
      <c r="D1" s="40" t="s">
        <v>10</v>
      </c>
      <c r="E1" s="40"/>
      <c r="F1" s="40"/>
      <c r="G1" s="40"/>
      <c r="H1" s="40"/>
      <c r="I1" s="40"/>
      <c r="J1" s="40"/>
      <c r="K1" s="40"/>
      <c r="L1" s="40"/>
      <c r="M1" s="40"/>
      <c r="N1" s="40"/>
      <c r="O1" s="40"/>
    </row>
    <row r="2" spans="1:17" x14ac:dyDescent="0.4">
      <c r="D2" s="22" t="s">
        <v>11</v>
      </c>
      <c r="E2" s="23" t="s">
        <v>12</v>
      </c>
      <c r="F2" s="23" t="s">
        <v>13</v>
      </c>
      <c r="G2" s="23" t="s">
        <v>14</v>
      </c>
      <c r="H2" s="23" t="s">
        <v>15</v>
      </c>
      <c r="I2" s="23" t="s">
        <v>16</v>
      </c>
      <c r="J2" s="23" t="s">
        <v>17</v>
      </c>
      <c r="K2" s="23" t="s">
        <v>18</v>
      </c>
      <c r="L2" s="23" t="s">
        <v>19</v>
      </c>
      <c r="M2" s="23" t="s">
        <v>20</v>
      </c>
      <c r="N2" s="23" t="s">
        <v>21</v>
      </c>
      <c r="O2" s="24" t="s">
        <v>22</v>
      </c>
      <c r="P2" s="19" t="s">
        <v>23</v>
      </c>
    </row>
    <row r="3" spans="1:17" x14ac:dyDescent="0.4">
      <c r="D3" s="25" t="s">
        <v>24</v>
      </c>
      <c r="E3" s="2" t="s">
        <v>25</v>
      </c>
      <c r="F3" s="2" t="s">
        <v>26</v>
      </c>
      <c r="G3" s="2" t="s">
        <v>27</v>
      </c>
      <c r="H3" s="26" t="s">
        <v>0</v>
      </c>
      <c r="I3" s="27">
        <v>46078</v>
      </c>
      <c r="J3" s="2" t="s">
        <v>28</v>
      </c>
      <c r="K3" s="2" t="s">
        <v>29</v>
      </c>
      <c r="L3" s="28" t="s">
        <v>30</v>
      </c>
      <c r="M3" s="3">
        <v>50</v>
      </c>
      <c r="N3" s="3">
        <v>50</v>
      </c>
      <c r="O3" s="29">
        <v>1</v>
      </c>
      <c r="Q3" s="19" t="s">
        <v>23</v>
      </c>
    </row>
    <row r="4" spans="1:17" x14ac:dyDescent="0.4">
      <c r="D4" s="25" t="s">
        <v>31</v>
      </c>
      <c r="E4" s="2" t="s">
        <v>32</v>
      </c>
      <c r="F4" s="2" t="s">
        <v>33</v>
      </c>
      <c r="G4" s="2" t="s">
        <v>34</v>
      </c>
      <c r="H4" s="26" t="s">
        <v>0</v>
      </c>
      <c r="I4" s="27">
        <v>46078</v>
      </c>
      <c r="J4" s="2" t="s">
        <v>28</v>
      </c>
      <c r="K4" s="2" t="s">
        <v>29</v>
      </c>
      <c r="L4" s="28" t="s">
        <v>35</v>
      </c>
      <c r="M4" s="3">
        <v>50</v>
      </c>
      <c r="N4" s="3">
        <v>50</v>
      </c>
      <c r="O4" s="29">
        <v>1</v>
      </c>
      <c r="Q4" s="19" t="s">
        <v>23</v>
      </c>
    </row>
    <row r="5" spans="1:17" x14ac:dyDescent="0.4">
      <c r="D5" s="25" t="s">
        <v>36</v>
      </c>
      <c r="E5" s="2" t="s">
        <v>37</v>
      </c>
      <c r="F5" s="2" t="s">
        <v>38</v>
      </c>
      <c r="G5" s="2" t="s">
        <v>39</v>
      </c>
      <c r="H5" s="26" t="s">
        <v>0</v>
      </c>
      <c r="I5" s="27">
        <v>46078</v>
      </c>
      <c r="J5" s="2" t="s">
        <v>28</v>
      </c>
      <c r="K5" s="2" t="s">
        <v>29</v>
      </c>
      <c r="L5" s="28" t="s">
        <v>40</v>
      </c>
      <c r="M5" s="3">
        <v>60</v>
      </c>
      <c r="N5" s="3">
        <v>50</v>
      </c>
      <c r="O5" s="29">
        <v>1.2</v>
      </c>
      <c r="Q5" s="19" t="s">
        <v>23</v>
      </c>
    </row>
    <row r="6" spans="1:17" x14ac:dyDescent="0.4">
      <c r="D6" s="25" t="s">
        <v>41</v>
      </c>
      <c r="E6" s="2" t="s">
        <v>42</v>
      </c>
      <c r="F6" s="2" t="s">
        <v>43</v>
      </c>
      <c r="G6" s="2" t="s">
        <v>44</v>
      </c>
      <c r="H6" s="26" t="s">
        <v>0</v>
      </c>
      <c r="I6" s="27">
        <v>46078</v>
      </c>
      <c r="J6" s="2" t="s">
        <v>28</v>
      </c>
      <c r="K6" s="2" t="s">
        <v>29</v>
      </c>
      <c r="L6" s="28" t="s">
        <v>45</v>
      </c>
      <c r="M6" s="3">
        <v>50</v>
      </c>
      <c r="N6" s="3">
        <v>50</v>
      </c>
      <c r="O6" s="29">
        <v>1</v>
      </c>
      <c r="Q6" s="19" t="s">
        <v>23</v>
      </c>
    </row>
    <row r="7" spans="1:17" x14ac:dyDescent="0.4">
      <c r="D7" s="25" t="s">
        <v>46</v>
      </c>
      <c r="E7" s="2" t="s">
        <v>47</v>
      </c>
      <c r="F7" s="2" t="s">
        <v>48</v>
      </c>
      <c r="G7" s="2" t="s">
        <v>49</v>
      </c>
      <c r="H7" s="26" t="s">
        <v>0</v>
      </c>
      <c r="I7" s="27">
        <v>46078</v>
      </c>
      <c r="J7" s="2" t="s">
        <v>28</v>
      </c>
      <c r="K7" s="2" t="s">
        <v>29</v>
      </c>
      <c r="L7" s="28" t="s">
        <v>50</v>
      </c>
      <c r="M7" s="3">
        <v>50</v>
      </c>
      <c r="N7" s="3">
        <v>50</v>
      </c>
      <c r="O7" s="29">
        <v>1</v>
      </c>
      <c r="Q7" s="19" t="s">
        <v>23</v>
      </c>
    </row>
    <row r="8" spans="1:17" x14ac:dyDescent="0.4">
      <c r="D8" s="25" t="s">
        <v>51</v>
      </c>
      <c r="E8" s="2" t="s">
        <v>52</v>
      </c>
      <c r="F8" s="2" t="s">
        <v>53</v>
      </c>
      <c r="G8" s="2" t="s">
        <v>54</v>
      </c>
      <c r="H8" s="26" t="s">
        <v>0</v>
      </c>
      <c r="I8" s="27">
        <v>46078</v>
      </c>
      <c r="J8" s="2" t="s">
        <v>28</v>
      </c>
      <c r="K8" s="2" t="s">
        <v>29</v>
      </c>
      <c r="L8" s="28" t="s">
        <v>55</v>
      </c>
      <c r="M8" s="3">
        <v>50</v>
      </c>
      <c r="N8" s="3">
        <v>50</v>
      </c>
      <c r="O8" s="29">
        <v>1</v>
      </c>
      <c r="Q8" s="19" t="s">
        <v>23</v>
      </c>
    </row>
    <row r="9" spans="1:17" x14ac:dyDescent="0.4">
      <c r="D9" s="25" t="s">
        <v>56</v>
      </c>
      <c r="E9" s="2" t="s">
        <v>52</v>
      </c>
      <c r="F9" s="2" t="s">
        <v>57</v>
      </c>
      <c r="G9" s="2" t="s">
        <v>58</v>
      </c>
      <c r="H9" s="26" t="s">
        <v>0</v>
      </c>
      <c r="I9" s="27">
        <v>46078</v>
      </c>
      <c r="J9" s="2" t="s">
        <v>28</v>
      </c>
      <c r="K9" s="2" t="s">
        <v>29</v>
      </c>
      <c r="L9" s="28" t="s">
        <v>59</v>
      </c>
      <c r="M9" s="3">
        <v>60</v>
      </c>
      <c r="N9" s="3">
        <v>50</v>
      </c>
      <c r="O9" s="29">
        <v>1.2</v>
      </c>
      <c r="Q9" s="19" t="s">
        <v>23</v>
      </c>
    </row>
    <row r="10" spans="1:17" x14ac:dyDescent="0.4">
      <c r="D10" s="25" t="s">
        <v>60</v>
      </c>
      <c r="E10" s="2" t="s">
        <v>61</v>
      </c>
      <c r="F10" s="2" t="s">
        <v>62</v>
      </c>
      <c r="G10" s="2" t="s">
        <v>63</v>
      </c>
      <c r="H10" s="26" t="s">
        <v>0</v>
      </c>
      <c r="I10" s="27">
        <v>46078</v>
      </c>
      <c r="J10" s="2" t="s">
        <v>28</v>
      </c>
      <c r="K10" s="2" t="s">
        <v>29</v>
      </c>
      <c r="L10" s="28" t="s">
        <v>64</v>
      </c>
      <c r="M10" s="3">
        <v>50</v>
      </c>
      <c r="N10" s="3">
        <v>50</v>
      </c>
      <c r="O10" s="29">
        <v>1</v>
      </c>
      <c r="Q10" s="19" t="s">
        <v>23</v>
      </c>
    </row>
    <row r="11" spans="1:17" x14ac:dyDescent="0.4">
      <c r="D11" s="25" t="s">
        <v>65</v>
      </c>
      <c r="E11" s="2" t="s">
        <v>66</v>
      </c>
      <c r="F11" s="2" t="s">
        <v>67</v>
      </c>
      <c r="G11" s="2" t="s">
        <v>68</v>
      </c>
      <c r="H11" s="26" t="s">
        <v>0</v>
      </c>
      <c r="I11" s="27">
        <v>46078</v>
      </c>
      <c r="J11" s="2" t="s">
        <v>28</v>
      </c>
      <c r="K11" s="2" t="s">
        <v>29</v>
      </c>
      <c r="L11" s="28" t="s">
        <v>69</v>
      </c>
      <c r="M11" s="3">
        <v>43</v>
      </c>
      <c r="N11" s="3">
        <v>50</v>
      </c>
      <c r="O11" s="29">
        <v>0.86</v>
      </c>
      <c r="Q11" s="19" t="s">
        <v>23</v>
      </c>
    </row>
    <row r="12" spans="1:17" x14ac:dyDescent="0.4">
      <c r="D12" s="25" t="s">
        <v>70</v>
      </c>
      <c r="E12" s="2" t="s">
        <v>71</v>
      </c>
      <c r="F12" s="2" t="s">
        <v>72</v>
      </c>
      <c r="G12" s="2" t="s">
        <v>73</v>
      </c>
      <c r="H12" s="26" t="s">
        <v>0</v>
      </c>
      <c r="I12" s="27">
        <v>46078</v>
      </c>
      <c r="J12" s="2" t="s">
        <v>28</v>
      </c>
      <c r="K12" s="2" t="s">
        <v>29</v>
      </c>
      <c r="L12" s="28" t="s">
        <v>74</v>
      </c>
      <c r="M12" s="3">
        <v>43</v>
      </c>
      <c r="N12" s="3">
        <v>50</v>
      </c>
      <c r="O12" s="29">
        <v>0.86</v>
      </c>
      <c r="Q12" s="19" t="s">
        <v>23</v>
      </c>
    </row>
    <row r="13" spans="1:17" x14ac:dyDescent="0.4">
      <c r="D13" s="25" t="s">
        <v>75</v>
      </c>
      <c r="E13" s="2" t="s">
        <v>76</v>
      </c>
      <c r="F13" s="2" t="s">
        <v>77</v>
      </c>
      <c r="G13" s="2" t="s">
        <v>78</v>
      </c>
      <c r="H13" s="26" t="s">
        <v>0</v>
      </c>
      <c r="I13" s="27">
        <v>46078</v>
      </c>
      <c r="J13" s="2" t="s">
        <v>28</v>
      </c>
      <c r="K13" s="2" t="s">
        <v>29</v>
      </c>
      <c r="L13" s="28" t="s">
        <v>79</v>
      </c>
      <c r="M13" s="3">
        <v>50</v>
      </c>
      <c r="N13" s="3">
        <v>50</v>
      </c>
      <c r="O13" s="29">
        <v>1</v>
      </c>
      <c r="Q13" s="19" t="s">
        <v>23</v>
      </c>
    </row>
    <row r="14" spans="1:17" x14ac:dyDescent="0.4">
      <c r="D14" s="30" t="s">
        <v>80</v>
      </c>
      <c r="E14" s="2" t="s">
        <v>81</v>
      </c>
      <c r="F14" s="2" t="s">
        <v>82</v>
      </c>
      <c r="G14" s="2" t="s">
        <v>83</v>
      </c>
      <c r="H14" s="26" t="s">
        <v>0</v>
      </c>
      <c r="I14" s="27">
        <v>46078</v>
      </c>
      <c r="J14" s="2" t="s">
        <v>28</v>
      </c>
      <c r="K14" s="2" t="s">
        <v>29</v>
      </c>
      <c r="L14" s="28" t="s">
        <v>84</v>
      </c>
      <c r="M14" s="3">
        <v>60</v>
      </c>
      <c r="N14" s="3">
        <v>50</v>
      </c>
      <c r="O14" s="29">
        <v>1.2</v>
      </c>
      <c r="Q14" s="19" t="s">
        <v>23</v>
      </c>
    </row>
    <row r="15" spans="1:17" x14ac:dyDescent="0.4">
      <c r="D15" s="25" t="s">
        <v>85</v>
      </c>
      <c r="E15" s="2" t="s">
        <v>86</v>
      </c>
      <c r="F15" s="2" t="s">
        <v>87</v>
      </c>
      <c r="G15" s="2" t="s">
        <v>88</v>
      </c>
      <c r="H15" s="26" t="s">
        <v>0</v>
      </c>
      <c r="I15" s="27">
        <v>46078</v>
      </c>
      <c r="J15" s="2" t="s">
        <v>28</v>
      </c>
      <c r="K15" s="2" t="s">
        <v>29</v>
      </c>
      <c r="L15" s="28" t="s">
        <v>55</v>
      </c>
      <c r="M15" s="3">
        <v>50</v>
      </c>
      <c r="N15" s="3">
        <v>50</v>
      </c>
      <c r="O15" s="29">
        <v>1</v>
      </c>
      <c r="Q15" s="19" t="s">
        <v>23</v>
      </c>
    </row>
    <row r="16" spans="1:17" x14ac:dyDescent="0.4">
      <c r="D16" s="25" t="s">
        <v>89</v>
      </c>
      <c r="E16" s="2" t="s">
        <v>90</v>
      </c>
      <c r="F16" s="2" t="s">
        <v>91</v>
      </c>
      <c r="G16" s="2" t="s">
        <v>92</v>
      </c>
      <c r="H16" s="26" t="s">
        <v>0</v>
      </c>
      <c r="I16" s="27">
        <v>46078</v>
      </c>
      <c r="J16" s="2" t="s">
        <v>28</v>
      </c>
      <c r="K16" s="2" t="s">
        <v>29</v>
      </c>
      <c r="L16" s="28" t="s">
        <v>93</v>
      </c>
      <c r="M16" s="3">
        <v>50</v>
      </c>
      <c r="N16" s="3">
        <v>50</v>
      </c>
      <c r="O16" s="29">
        <v>1</v>
      </c>
      <c r="Q16" s="19" t="s">
        <v>23</v>
      </c>
    </row>
    <row r="17" spans="4:17" x14ac:dyDescent="0.4">
      <c r="D17" s="25" t="s">
        <v>94</v>
      </c>
      <c r="E17" s="2" t="s">
        <v>95</v>
      </c>
      <c r="F17" s="2" t="s">
        <v>96</v>
      </c>
      <c r="G17" s="2" t="s">
        <v>97</v>
      </c>
      <c r="H17" s="26" t="s">
        <v>0</v>
      </c>
      <c r="I17" s="27">
        <v>46078</v>
      </c>
      <c r="J17" s="2" t="s">
        <v>28</v>
      </c>
      <c r="K17" s="2" t="s">
        <v>29</v>
      </c>
      <c r="L17" s="28" t="s">
        <v>98</v>
      </c>
      <c r="M17" s="3">
        <v>45</v>
      </c>
      <c r="N17" s="3">
        <v>50</v>
      </c>
      <c r="O17" s="29">
        <v>0.9</v>
      </c>
      <c r="Q17" s="19" t="s">
        <v>23</v>
      </c>
    </row>
    <row r="18" spans="4:17" x14ac:dyDescent="0.4">
      <c r="D18" s="25" t="s">
        <v>99</v>
      </c>
      <c r="E18" s="2" t="s">
        <v>100</v>
      </c>
      <c r="F18" s="2" t="s">
        <v>101</v>
      </c>
      <c r="G18" s="2" t="s">
        <v>102</v>
      </c>
      <c r="H18" s="26" t="s">
        <v>0</v>
      </c>
      <c r="I18" s="27">
        <v>46078</v>
      </c>
      <c r="J18" s="2" t="s">
        <v>28</v>
      </c>
      <c r="K18" s="2" t="s">
        <v>29</v>
      </c>
      <c r="L18" s="28" t="s">
        <v>103</v>
      </c>
      <c r="M18" s="3">
        <v>60</v>
      </c>
      <c r="N18" s="3">
        <v>50</v>
      </c>
      <c r="O18" s="29">
        <v>1.2</v>
      </c>
      <c r="Q18" s="19" t="s">
        <v>23</v>
      </c>
    </row>
    <row r="19" spans="4:17" x14ac:dyDescent="0.4">
      <c r="D19" s="25" t="s">
        <v>104</v>
      </c>
      <c r="E19" s="2" t="s">
        <v>86</v>
      </c>
      <c r="F19" s="2" t="s">
        <v>105</v>
      </c>
      <c r="G19" s="2" t="s">
        <v>106</v>
      </c>
      <c r="H19" s="26" t="s">
        <v>0</v>
      </c>
      <c r="I19" s="27">
        <v>46078</v>
      </c>
      <c r="J19" s="2" t="s">
        <v>28</v>
      </c>
      <c r="K19" s="2" t="s">
        <v>29</v>
      </c>
      <c r="L19" s="28" t="s">
        <v>55</v>
      </c>
      <c r="M19" s="3">
        <v>50</v>
      </c>
      <c r="N19" s="3">
        <v>50</v>
      </c>
      <c r="O19" s="29">
        <v>1</v>
      </c>
      <c r="Q19" s="19" t="s">
        <v>23</v>
      </c>
    </row>
    <row r="20" spans="4:17" x14ac:dyDescent="0.4">
      <c r="D20" s="25" t="s">
        <v>107</v>
      </c>
      <c r="E20" s="2" t="s">
        <v>108</v>
      </c>
      <c r="F20" s="2" t="s">
        <v>109</v>
      </c>
      <c r="G20" s="2" t="s">
        <v>110</v>
      </c>
      <c r="H20" s="26" t="s">
        <v>0</v>
      </c>
      <c r="I20" s="27">
        <v>46078</v>
      </c>
      <c r="J20" s="2" t="s">
        <v>28</v>
      </c>
      <c r="K20" s="2" t="s">
        <v>29</v>
      </c>
      <c r="L20" s="28" t="s">
        <v>111</v>
      </c>
      <c r="M20" s="3">
        <v>48</v>
      </c>
      <c r="N20" s="3">
        <v>50</v>
      </c>
      <c r="O20" s="29">
        <v>0.96</v>
      </c>
      <c r="Q20" s="19" t="s">
        <v>23</v>
      </c>
    </row>
    <row r="21" spans="4:17" x14ac:dyDescent="0.4">
      <c r="D21" s="25" t="s">
        <v>112</v>
      </c>
      <c r="E21" s="2" t="s">
        <v>113</v>
      </c>
      <c r="F21" s="2" t="s">
        <v>114</v>
      </c>
      <c r="G21" s="2" t="s">
        <v>115</v>
      </c>
      <c r="H21" s="26" t="s">
        <v>0</v>
      </c>
      <c r="I21" s="27">
        <v>46078</v>
      </c>
      <c r="J21" s="2" t="s">
        <v>28</v>
      </c>
      <c r="K21" s="2" t="s">
        <v>29</v>
      </c>
      <c r="L21" s="28" t="s">
        <v>116</v>
      </c>
      <c r="M21" s="3">
        <v>55</v>
      </c>
      <c r="N21" s="3">
        <v>50</v>
      </c>
      <c r="O21" s="29">
        <v>1.1000000000000001</v>
      </c>
      <c r="Q21" s="19" t="s">
        <v>23</v>
      </c>
    </row>
    <row r="22" spans="4:17" x14ac:dyDescent="0.4">
      <c r="D22" s="25" t="s">
        <v>117</v>
      </c>
      <c r="E22" s="2" t="s">
        <v>118</v>
      </c>
      <c r="F22" s="2" t="s">
        <v>119</v>
      </c>
      <c r="G22" s="2" t="s">
        <v>120</v>
      </c>
      <c r="H22" s="26" t="s">
        <v>0</v>
      </c>
      <c r="I22" s="27">
        <v>46078</v>
      </c>
      <c r="J22" s="2" t="s">
        <v>28</v>
      </c>
      <c r="K22" s="2" t="s">
        <v>29</v>
      </c>
      <c r="L22" s="28" t="s">
        <v>121</v>
      </c>
      <c r="M22" s="3">
        <v>48</v>
      </c>
      <c r="N22" s="3">
        <v>50</v>
      </c>
      <c r="O22" s="29">
        <v>0.96</v>
      </c>
      <c r="Q22" s="19" t="s">
        <v>23</v>
      </c>
    </row>
    <row r="23" spans="4:17" x14ac:dyDescent="0.4">
      <c r="D23" s="25" t="s">
        <v>122</v>
      </c>
      <c r="E23" s="2" t="s">
        <v>123</v>
      </c>
      <c r="F23" s="2" t="s">
        <v>124</v>
      </c>
      <c r="G23" s="2" t="s">
        <v>125</v>
      </c>
      <c r="H23" s="26" t="s">
        <v>0</v>
      </c>
      <c r="I23" s="27">
        <v>46078</v>
      </c>
      <c r="J23" s="2" t="s">
        <v>28</v>
      </c>
      <c r="K23" s="2" t="s">
        <v>29</v>
      </c>
      <c r="L23" s="28" t="s">
        <v>126</v>
      </c>
      <c r="M23" s="3">
        <v>60</v>
      </c>
      <c r="N23" s="3">
        <v>50</v>
      </c>
      <c r="O23" s="29">
        <v>1.2</v>
      </c>
      <c r="Q23" s="19" t="s">
        <v>23</v>
      </c>
    </row>
    <row r="24" spans="4:17" x14ac:dyDescent="0.4">
      <c r="D24" s="25" t="s">
        <v>127</v>
      </c>
      <c r="E24" s="2" t="s">
        <v>128</v>
      </c>
      <c r="F24" s="2" t="s">
        <v>129</v>
      </c>
      <c r="G24" s="2" t="s">
        <v>130</v>
      </c>
      <c r="H24" s="26" t="s">
        <v>0</v>
      </c>
      <c r="I24" s="27">
        <v>46078</v>
      </c>
      <c r="J24" s="2" t="s">
        <v>28</v>
      </c>
      <c r="K24" s="2" t="s">
        <v>29</v>
      </c>
      <c r="L24" s="28" t="s">
        <v>131</v>
      </c>
      <c r="M24" s="3">
        <v>50</v>
      </c>
      <c r="N24" s="3">
        <v>50</v>
      </c>
      <c r="O24" s="29">
        <v>1</v>
      </c>
      <c r="Q24" s="19" t="s">
        <v>23</v>
      </c>
    </row>
    <row r="25" spans="4:17" x14ac:dyDescent="0.4">
      <c r="D25" s="25" t="s">
        <v>132</v>
      </c>
      <c r="E25" s="2" t="s">
        <v>133</v>
      </c>
      <c r="F25" s="2" t="s">
        <v>134</v>
      </c>
      <c r="G25" s="2" t="s">
        <v>135</v>
      </c>
      <c r="H25" s="26" t="s">
        <v>0</v>
      </c>
      <c r="I25" s="27">
        <v>46078</v>
      </c>
      <c r="J25" s="2" t="s">
        <v>28</v>
      </c>
      <c r="K25" s="2" t="s">
        <v>29</v>
      </c>
      <c r="L25" s="28" t="s">
        <v>136</v>
      </c>
      <c r="M25" s="3">
        <v>50</v>
      </c>
      <c r="N25" s="3">
        <v>50</v>
      </c>
      <c r="O25" s="29">
        <v>1</v>
      </c>
      <c r="Q25" s="19" t="s">
        <v>23</v>
      </c>
    </row>
    <row r="26" spans="4:17" x14ac:dyDescent="0.4">
      <c r="D26" s="25" t="s">
        <v>137</v>
      </c>
      <c r="E26" s="2" t="s">
        <v>138</v>
      </c>
      <c r="F26" s="2" t="s">
        <v>139</v>
      </c>
      <c r="G26" s="2" t="s">
        <v>140</v>
      </c>
      <c r="H26" s="26" t="s">
        <v>0</v>
      </c>
      <c r="I26" s="27">
        <v>46078</v>
      </c>
      <c r="J26" s="2" t="s">
        <v>28</v>
      </c>
      <c r="K26" s="2" t="s">
        <v>29</v>
      </c>
      <c r="L26" s="28" t="s">
        <v>141</v>
      </c>
      <c r="M26" s="3">
        <v>65</v>
      </c>
      <c r="N26" s="3">
        <v>50</v>
      </c>
      <c r="O26" s="29">
        <v>1.3</v>
      </c>
      <c r="Q26" s="19" t="s">
        <v>23</v>
      </c>
    </row>
    <row r="27" spans="4:17" x14ac:dyDescent="0.4">
      <c r="D27" s="25" t="s">
        <v>142</v>
      </c>
      <c r="E27" s="2" t="s">
        <v>143</v>
      </c>
      <c r="F27" s="2" t="s">
        <v>144</v>
      </c>
      <c r="G27" s="2" t="s">
        <v>145</v>
      </c>
      <c r="H27" s="26" t="s">
        <v>0</v>
      </c>
      <c r="I27" s="27">
        <v>46078</v>
      </c>
      <c r="J27" s="2" t="s">
        <v>28</v>
      </c>
      <c r="K27" s="2" t="s">
        <v>29</v>
      </c>
      <c r="L27" s="28" t="s">
        <v>146</v>
      </c>
      <c r="M27" s="3">
        <v>60</v>
      </c>
      <c r="N27" s="3">
        <v>50</v>
      </c>
      <c r="O27" s="29">
        <v>1.2</v>
      </c>
      <c r="Q27" s="19" t="s">
        <v>23</v>
      </c>
    </row>
    <row r="28" spans="4:17" x14ac:dyDescent="0.4">
      <c r="D28" s="25" t="s">
        <v>147</v>
      </c>
      <c r="E28" s="2" t="s">
        <v>148</v>
      </c>
      <c r="F28" s="2" t="s">
        <v>149</v>
      </c>
      <c r="G28" s="2" t="s">
        <v>150</v>
      </c>
      <c r="H28" s="26" t="s">
        <v>0</v>
      </c>
      <c r="I28" s="27">
        <v>46078</v>
      </c>
      <c r="J28" s="2" t="s">
        <v>28</v>
      </c>
      <c r="K28" s="2" t="s">
        <v>29</v>
      </c>
      <c r="L28" s="28" t="s">
        <v>151</v>
      </c>
      <c r="M28" s="3">
        <v>55</v>
      </c>
      <c r="N28" s="3">
        <v>50</v>
      </c>
      <c r="O28" s="29">
        <v>1.1000000000000001</v>
      </c>
      <c r="Q28" s="19" t="s">
        <v>23</v>
      </c>
    </row>
    <row r="29" spans="4:17" x14ac:dyDescent="0.4">
      <c r="D29" s="25" t="s">
        <v>152</v>
      </c>
      <c r="E29" s="2" t="s">
        <v>66</v>
      </c>
      <c r="F29" s="2" t="s">
        <v>153</v>
      </c>
      <c r="G29" s="2" t="s">
        <v>154</v>
      </c>
      <c r="H29" s="26" t="s">
        <v>0</v>
      </c>
      <c r="I29" s="27">
        <v>46078</v>
      </c>
      <c r="J29" s="2" t="s">
        <v>28</v>
      </c>
      <c r="K29" s="2" t="s">
        <v>29</v>
      </c>
      <c r="L29" s="28" t="s">
        <v>155</v>
      </c>
      <c r="M29" s="3">
        <v>55</v>
      </c>
      <c r="N29" s="3">
        <v>50</v>
      </c>
      <c r="O29" s="29">
        <v>1.1000000000000001</v>
      </c>
      <c r="Q29" s="19" t="s">
        <v>23</v>
      </c>
    </row>
    <row r="30" spans="4:17" x14ac:dyDescent="0.4">
      <c r="D30" s="25" t="s">
        <v>156</v>
      </c>
      <c r="E30" s="2" t="s">
        <v>157</v>
      </c>
      <c r="F30" s="2" t="s">
        <v>158</v>
      </c>
      <c r="G30" s="2" t="s">
        <v>159</v>
      </c>
      <c r="H30" s="26" t="s">
        <v>0</v>
      </c>
      <c r="I30" s="27">
        <v>46078</v>
      </c>
      <c r="J30" s="2" t="s">
        <v>28</v>
      </c>
      <c r="K30" s="2" t="s">
        <v>29</v>
      </c>
      <c r="L30" s="28"/>
      <c r="M30" s="3">
        <v>0</v>
      </c>
      <c r="N30" s="3">
        <v>50</v>
      </c>
      <c r="O30" s="29">
        <v>0</v>
      </c>
      <c r="Q30" s="19" t="s">
        <v>23</v>
      </c>
    </row>
    <row r="31" spans="4:17" x14ac:dyDescent="0.4">
      <c r="D31" s="25" t="s">
        <v>160</v>
      </c>
      <c r="E31" s="2" t="s">
        <v>81</v>
      </c>
      <c r="F31" s="2" t="s">
        <v>161</v>
      </c>
      <c r="G31" s="2" t="s">
        <v>162</v>
      </c>
      <c r="H31" s="26" t="s">
        <v>0</v>
      </c>
      <c r="I31" s="27">
        <v>46078</v>
      </c>
      <c r="J31" s="2" t="s">
        <v>28</v>
      </c>
      <c r="K31" s="2" t="s">
        <v>29</v>
      </c>
      <c r="L31" s="28" t="s">
        <v>98</v>
      </c>
      <c r="M31" s="3">
        <v>45</v>
      </c>
      <c r="N31" s="3">
        <v>50</v>
      </c>
      <c r="O31" s="29">
        <v>0.9</v>
      </c>
      <c r="Q31" s="19" t="s">
        <v>23</v>
      </c>
    </row>
    <row r="32" spans="4:17" x14ac:dyDescent="0.4">
      <c r="D32" s="25" t="s">
        <v>163</v>
      </c>
      <c r="E32" s="2" t="s">
        <v>164</v>
      </c>
      <c r="F32" s="2" t="s">
        <v>165</v>
      </c>
      <c r="G32" s="2" t="s">
        <v>166</v>
      </c>
      <c r="H32" s="26" t="s">
        <v>0</v>
      </c>
      <c r="I32" s="27">
        <v>46078</v>
      </c>
      <c r="J32" s="2" t="s">
        <v>28</v>
      </c>
      <c r="K32" s="2" t="s">
        <v>29</v>
      </c>
      <c r="L32" s="28" t="s">
        <v>167</v>
      </c>
      <c r="M32" s="3">
        <v>50</v>
      </c>
      <c r="N32" s="3">
        <v>50</v>
      </c>
      <c r="O32" s="29">
        <v>1</v>
      </c>
      <c r="Q32" s="19" t="s">
        <v>23</v>
      </c>
    </row>
    <row r="33" spans="4:17" x14ac:dyDescent="0.4">
      <c r="D33" s="25" t="s">
        <v>168</v>
      </c>
      <c r="E33" s="2" t="s">
        <v>169</v>
      </c>
      <c r="F33" s="2" t="s">
        <v>170</v>
      </c>
      <c r="G33" s="2" t="s">
        <v>171</v>
      </c>
      <c r="H33" s="26" t="s">
        <v>0</v>
      </c>
      <c r="I33" s="27">
        <v>46078</v>
      </c>
      <c r="J33" s="2" t="s">
        <v>28</v>
      </c>
      <c r="K33" s="2" t="s">
        <v>29</v>
      </c>
      <c r="L33" s="28" t="s">
        <v>172</v>
      </c>
      <c r="M33" s="3">
        <v>43</v>
      </c>
      <c r="N33" s="3">
        <v>50</v>
      </c>
      <c r="O33" s="29">
        <v>0.86</v>
      </c>
      <c r="Q33" s="19" t="s">
        <v>23</v>
      </c>
    </row>
    <row r="34" spans="4:17" x14ac:dyDescent="0.4">
      <c r="D34" s="25" t="s">
        <v>173</v>
      </c>
      <c r="E34" s="2" t="s">
        <v>174</v>
      </c>
      <c r="F34" s="2" t="s">
        <v>175</v>
      </c>
      <c r="G34" s="2" t="s">
        <v>176</v>
      </c>
      <c r="H34" s="26" t="s">
        <v>0</v>
      </c>
      <c r="I34" s="27">
        <v>46078</v>
      </c>
      <c r="J34" s="2" t="s">
        <v>28</v>
      </c>
      <c r="K34" s="2" t="s">
        <v>29</v>
      </c>
      <c r="L34" s="28" t="s">
        <v>177</v>
      </c>
      <c r="M34" s="3">
        <v>50</v>
      </c>
      <c r="N34" s="3">
        <v>50</v>
      </c>
      <c r="O34" s="29">
        <v>1</v>
      </c>
      <c r="Q34" s="19" t="s">
        <v>23</v>
      </c>
    </row>
    <row r="35" spans="4:17" x14ac:dyDescent="0.4">
      <c r="D35" s="25" t="s">
        <v>178</v>
      </c>
      <c r="E35" s="2" t="s">
        <v>179</v>
      </c>
      <c r="F35" s="2" t="s">
        <v>180</v>
      </c>
      <c r="G35" s="2" t="s">
        <v>181</v>
      </c>
      <c r="H35" s="26" t="s">
        <v>0</v>
      </c>
      <c r="I35" s="27">
        <v>46078</v>
      </c>
      <c r="J35" s="2" t="s">
        <v>28</v>
      </c>
      <c r="K35" s="2" t="s">
        <v>29</v>
      </c>
      <c r="L35" s="28" t="s">
        <v>182</v>
      </c>
      <c r="M35" s="3">
        <v>55</v>
      </c>
      <c r="N35" s="3">
        <v>50</v>
      </c>
      <c r="O35" s="29">
        <v>1.1000000000000001</v>
      </c>
      <c r="Q35" s="19" t="s">
        <v>23</v>
      </c>
    </row>
    <row r="36" spans="4:17" x14ac:dyDescent="0.4">
      <c r="D36" s="25" t="s">
        <v>183</v>
      </c>
      <c r="E36" s="2" t="s">
        <v>184</v>
      </c>
      <c r="F36" s="2" t="s">
        <v>185</v>
      </c>
      <c r="G36" s="2" t="s">
        <v>186</v>
      </c>
      <c r="H36" s="26" t="s">
        <v>0</v>
      </c>
      <c r="I36" s="27">
        <v>46078</v>
      </c>
      <c r="J36" s="2" t="s">
        <v>28</v>
      </c>
      <c r="K36" s="2" t="s">
        <v>29</v>
      </c>
      <c r="L36" s="28"/>
      <c r="M36" s="3">
        <v>0</v>
      </c>
      <c r="N36" s="3">
        <v>50</v>
      </c>
      <c r="O36" s="29">
        <v>0</v>
      </c>
      <c r="Q36" s="19" t="s">
        <v>23</v>
      </c>
    </row>
    <row r="37" spans="4:17" x14ac:dyDescent="0.4">
      <c r="D37" s="25" t="s">
        <v>187</v>
      </c>
      <c r="E37" s="2" t="s">
        <v>188</v>
      </c>
      <c r="F37" s="2" t="s">
        <v>189</v>
      </c>
      <c r="G37" s="2" t="s">
        <v>190</v>
      </c>
      <c r="H37" s="26" t="s">
        <v>0</v>
      </c>
      <c r="I37" s="27">
        <v>46078</v>
      </c>
      <c r="J37" s="2" t="s">
        <v>28</v>
      </c>
      <c r="K37" s="2" t="s">
        <v>29</v>
      </c>
      <c r="L37" s="28" t="s">
        <v>191</v>
      </c>
      <c r="M37" s="3">
        <v>60</v>
      </c>
      <c r="N37" s="3">
        <v>50</v>
      </c>
      <c r="O37" s="29">
        <v>1.2</v>
      </c>
      <c r="Q37" s="19" t="s">
        <v>23</v>
      </c>
    </row>
    <row r="38" spans="4:17" x14ac:dyDescent="0.4">
      <c r="D38" s="25" t="s">
        <v>192</v>
      </c>
      <c r="E38" s="2" t="s">
        <v>193</v>
      </c>
      <c r="F38" s="2" t="s">
        <v>194</v>
      </c>
      <c r="G38" s="2" t="s">
        <v>195</v>
      </c>
      <c r="H38" s="26" t="s">
        <v>0</v>
      </c>
      <c r="I38" s="27">
        <v>46078</v>
      </c>
      <c r="J38" s="2" t="s">
        <v>28</v>
      </c>
      <c r="K38" s="2" t="s">
        <v>29</v>
      </c>
      <c r="L38" s="28" t="s">
        <v>196</v>
      </c>
      <c r="M38" s="3">
        <v>60</v>
      </c>
      <c r="N38" s="3">
        <v>50</v>
      </c>
      <c r="O38" s="29">
        <v>1.2</v>
      </c>
      <c r="Q38" s="19" t="s">
        <v>23</v>
      </c>
    </row>
    <row r="39" spans="4:17" x14ac:dyDescent="0.4">
      <c r="D39" s="25" t="s">
        <v>197</v>
      </c>
      <c r="E39" s="2" t="s">
        <v>198</v>
      </c>
      <c r="F39" s="2" t="s">
        <v>199</v>
      </c>
      <c r="G39" s="2" t="s">
        <v>200</v>
      </c>
      <c r="H39" s="26" t="s">
        <v>0</v>
      </c>
      <c r="I39" s="27">
        <v>46078</v>
      </c>
      <c r="J39" s="2" t="s">
        <v>28</v>
      </c>
      <c r="K39" s="2" t="s">
        <v>29</v>
      </c>
      <c r="L39" s="28" t="s">
        <v>98</v>
      </c>
      <c r="M39" s="3">
        <v>45</v>
      </c>
      <c r="N39" s="3">
        <v>50</v>
      </c>
      <c r="O39" s="29">
        <v>0.9</v>
      </c>
      <c r="Q39" s="19" t="s">
        <v>23</v>
      </c>
    </row>
    <row r="40" spans="4:17" x14ac:dyDescent="0.4">
      <c r="D40" s="25" t="s">
        <v>201</v>
      </c>
      <c r="E40" s="2" t="s">
        <v>143</v>
      </c>
      <c r="F40" s="2" t="s">
        <v>202</v>
      </c>
      <c r="G40" s="2" t="s">
        <v>203</v>
      </c>
      <c r="H40" s="26" t="s">
        <v>0</v>
      </c>
      <c r="I40" s="27">
        <v>46078</v>
      </c>
      <c r="J40" s="2" t="s">
        <v>28</v>
      </c>
      <c r="K40" s="2" t="s">
        <v>29</v>
      </c>
      <c r="L40" s="28" t="s">
        <v>204</v>
      </c>
      <c r="M40" s="3">
        <v>55</v>
      </c>
      <c r="N40" s="3">
        <v>50</v>
      </c>
      <c r="O40" s="29">
        <v>1.1000000000000001</v>
      </c>
      <c r="Q40" s="19" t="s">
        <v>23</v>
      </c>
    </row>
    <row r="41" spans="4:17" x14ac:dyDescent="0.4">
      <c r="D41" s="25" t="s">
        <v>205</v>
      </c>
      <c r="E41" s="2" t="s">
        <v>206</v>
      </c>
      <c r="F41" s="2" t="s">
        <v>207</v>
      </c>
      <c r="G41" s="2" t="s">
        <v>208</v>
      </c>
      <c r="H41" s="26" t="s">
        <v>0</v>
      </c>
      <c r="I41" s="27">
        <v>46078</v>
      </c>
      <c r="J41" s="2" t="s">
        <v>28</v>
      </c>
      <c r="K41" s="2" t="s">
        <v>29</v>
      </c>
      <c r="L41" s="28" t="s">
        <v>209</v>
      </c>
      <c r="M41" s="3">
        <v>60</v>
      </c>
      <c r="N41" s="3">
        <v>50</v>
      </c>
      <c r="O41" s="29">
        <v>1.2</v>
      </c>
      <c r="Q41" s="19" t="s">
        <v>23</v>
      </c>
    </row>
    <row r="42" spans="4:17" x14ac:dyDescent="0.4">
      <c r="D42" s="25" t="s">
        <v>210</v>
      </c>
      <c r="E42" s="2" t="s">
        <v>211</v>
      </c>
      <c r="F42" s="2" t="s">
        <v>212</v>
      </c>
      <c r="G42" s="2" t="s">
        <v>213</v>
      </c>
      <c r="H42" s="26" t="s">
        <v>0</v>
      </c>
      <c r="I42" s="27">
        <v>46078</v>
      </c>
      <c r="J42" s="2" t="s">
        <v>28</v>
      </c>
      <c r="K42" s="2" t="s">
        <v>29</v>
      </c>
      <c r="L42" s="28" t="s">
        <v>214</v>
      </c>
      <c r="M42" s="3">
        <v>60</v>
      </c>
      <c r="N42" s="3">
        <v>50</v>
      </c>
      <c r="O42" s="29">
        <v>1.2</v>
      </c>
      <c r="Q42" s="19" t="s">
        <v>23</v>
      </c>
    </row>
    <row r="43" spans="4:17" x14ac:dyDescent="0.4">
      <c r="D43" s="25" t="s">
        <v>215</v>
      </c>
      <c r="E43" s="2" t="s">
        <v>216</v>
      </c>
      <c r="F43" s="2" t="s">
        <v>217</v>
      </c>
      <c r="G43" s="2" t="s">
        <v>218</v>
      </c>
      <c r="H43" s="26" t="s">
        <v>0</v>
      </c>
      <c r="I43" s="27">
        <v>46078</v>
      </c>
      <c r="J43" s="2" t="s">
        <v>28</v>
      </c>
      <c r="K43" s="2" t="s">
        <v>29</v>
      </c>
      <c r="L43" s="28" t="s">
        <v>219</v>
      </c>
      <c r="M43" s="3">
        <v>48</v>
      </c>
      <c r="N43" s="3">
        <v>50</v>
      </c>
      <c r="O43" s="29">
        <v>0.96</v>
      </c>
      <c r="Q43" s="19" t="s">
        <v>23</v>
      </c>
    </row>
    <row r="44" spans="4:17" x14ac:dyDescent="0.4">
      <c r="D44" s="25" t="s">
        <v>24</v>
      </c>
      <c r="E44" s="2" t="s">
        <v>25</v>
      </c>
      <c r="F44" s="2" t="s">
        <v>26</v>
      </c>
      <c r="G44" s="2" t="s">
        <v>27</v>
      </c>
      <c r="H44" s="26" t="s">
        <v>1</v>
      </c>
      <c r="I44" s="27">
        <v>46078</v>
      </c>
      <c r="J44" s="2" t="s">
        <v>220</v>
      </c>
      <c r="K44" s="2" t="s">
        <v>29</v>
      </c>
      <c r="L44" s="28" t="s">
        <v>221</v>
      </c>
      <c r="M44" s="3">
        <v>5</v>
      </c>
      <c r="N44" s="3">
        <v>5</v>
      </c>
      <c r="O44" s="29">
        <v>1</v>
      </c>
      <c r="Q44" s="19" t="s">
        <v>23</v>
      </c>
    </row>
    <row r="45" spans="4:17" x14ac:dyDescent="0.4">
      <c r="D45" s="25" t="s">
        <v>31</v>
      </c>
      <c r="E45" s="2" t="s">
        <v>32</v>
      </c>
      <c r="F45" s="2" t="s">
        <v>33</v>
      </c>
      <c r="G45" s="2" t="s">
        <v>34</v>
      </c>
      <c r="H45" s="26" t="s">
        <v>1</v>
      </c>
      <c r="I45" s="27">
        <v>46078</v>
      </c>
      <c r="J45" s="2" t="s">
        <v>220</v>
      </c>
      <c r="K45" s="2" t="s">
        <v>29</v>
      </c>
      <c r="L45" s="28" t="s">
        <v>222</v>
      </c>
      <c r="M45" s="3">
        <v>1</v>
      </c>
      <c r="N45" s="3">
        <v>5</v>
      </c>
      <c r="O45" s="29">
        <v>0.2</v>
      </c>
      <c r="Q45" s="19" t="s">
        <v>23</v>
      </c>
    </row>
    <row r="46" spans="4:17" x14ac:dyDescent="0.4">
      <c r="D46" s="25" t="s">
        <v>36</v>
      </c>
      <c r="E46" s="2" t="s">
        <v>37</v>
      </c>
      <c r="F46" s="2" t="s">
        <v>38</v>
      </c>
      <c r="G46" s="2" t="s">
        <v>39</v>
      </c>
      <c r="H46" s="26" t="s">
        <v>1</v>
      </c>
      <c r="I46" s="27">
        <v>46078</v>
      </c>
      <c r="J46" s="2" t="s">
        <v>220</v>
      </c>
      <c r="K46" s="2" t="s">
        <v>29</v>
      </c>
      <c r="L46" s="28" t="s">
        <v>223</v>
      </c>
      <c r="M46" s="3">
        <v>5</v>
      </c>
      <c r="N46" s="3">
        <v>5</v>
      </c>
      <c r="O46" s="29">
        <v>1</v>
      </c>
      <c r="Q46" s="19" t="s">
        <v>23</v>
      </c>
    </row>
    <row r="47" spans="4:17" x14ac:dyDescent="0.4">
      <c r="D47" s="25" t="s">
        <v>41</v>
      </c>
      <c r="E47" s="2" t="s">
        <v>42</v>
      </c>
      <c r="F47" s="2" t="s">
        <v>43</v>
      </c>
      <c r="G47" s="2" t="s">
        <v>44</v>
      </c>
      <c r="H47" s="26" t="s">
        <v>1</v>
      </c>
      <c r="I47" s="27">
        <v>46078</v>
      </c>
      <c r="J47" s="2" t="s">
        <v>220</v>
      </c>
      <c r="K47" s="2" t="s">
        <v>29</v>
      </c>
      <c r="L47" s="28" t="s">
        <v>224</v>
      </c>
      <c r="M47" s="3">
        <v>4.2</v>
      </c>
      <c r="N47" s="3">
        <v>5</v>
      </c>
      <c r="O47" s="29">
        <v>0.84000000000000008</v>
      </c>
      <c r="Q47" s="19" t="s">
        <v>23</v>
      </c>
    </row>
    <row r="48" spans="4:17" x14ac:dyDescent="0.4">
      <c r="D48" s="25" t="s">
        <v>46</v>
      </c>
      <c r="E48" s="2" t="s">
        <v>47</v>
      </c>
      <c r="F48" s="2" t="s">
        <v>48</v>
      </c>
      <c r="G48" s="2" t="s">
        <v>49</v>
      </c>
      <c r="H48" s="26" t="s">
        <v>1</v>
      </c>
      <c r="I48" s="27">
        <v>46078</v>
      </c>
      <c r="J48" s="2" t="s">
        <v>220</v>
      </c>
      <c r="K48" s="2" t="s">
        <v>29</v>
      </c>
      <c r="L48" s="28" t="s">
        <v>224</v>
      </c>
      <c r="M48" s="3">
        <v>4.2</v>
      </c>
      <c r="N48" s="3">
        <v>5</v>
      </c>
      <c r="O48" s="29">
        <v>0.84000000000000008</v>
      </c>
      <c r="Q48" s="19" t="s">
        <v>23</v>
      </c>
    </row>
    <row r="49" spans="4:17" x14ac:dyDescent="0.4">
      <c r="D49" s="25" t="s">
        <v>51</v>
      </c>
      <c r="E49" s="2" t="s">
        <v>52</v>
      </c>
      <c r="F49" s="2" t="s">
        <v>53</v>
      </c>
      <c r="G49" s="2" t="s">
        <v>54</v>
      </c>
      <c r="H49" s="26" t="s">
        <v>1</v>
      </c>
      <c r="I49" s="27">
        <v>46078</v>
      </c>
      <c r="J49" s="2" t="s">
        <v>220</v>
      </c>
      <c r="K49" s="2" t="s">
        <v>29</v>
      </c>
      <c r="L49" s="28" t="s">
        <v>225</v>
      </c>
      <c r="M49" s="3">
        <v>0</v>
      </c>
      <c r="N49" s="3">
        <v>5</v>
      </c>
      <c r="O49" s="29">
        <v>0</v>
      </c>
      <c r="Q49" s="19" t="s">
        <v>23</v>
      </c>
    </row>
    <row r="50" spans="4:17" x14ac:dyDescent="0.4">
      <c r="D50" s="25" t="s">
        <v>56</v>
      </c>
      <c r="E50" s="2" t="s">
        <v>52</v>
      </c>
      <c r="F50" s="2" t="s">
        <v>57</v>
      </c>
      <c r="G50" s="2" t="s">
        <v>58</v>
      </c>
      <c r="H50" s="26" t="s">
        <v>1</v>
      </c>
      <c r="I50" s="27">
        <v>46078</v>
      </c>
      <c r="J50" s="2" t="s">
        <v>220</v>
      </c>
      <c r="K50" s="2" t="s">
        <v>29</v>
      </c>
      <c r="L50" s="28" t="s">
        <v>226</v>
      </c>
      <c r="M50" s="3">
        <v>5</v>
      </c>
      <c r="N50" s="3">
        <v>5</v>
      </c>
      <c r="O50" s="29">
        <v>1</v>
      </c>
      <c r="Q50" s="19" t="s">
        <v>23</v>
      </c>
    </row>
    <row r="51" spans="4:17" x14ac:dyDescent="0.4">
      <c r="D51" s="25" t="s">
        <v>60</v>
      </c>
      <c r="E51" s="2" t="s">
        <v>61</v>
      </c>
      <c r="F51" s="2" t="s">
        <v>62</v>
      </c>
      <c r="G51" s="2" t="s">
        <v>63</v>
      </c>
      <c r="H51" s="26" t="s">
        <v>1</v>
      </c>
      <c r="I51" s="27">
        <v>46078</v>
      </c>
      <c r="J51" s="2" t="s">
        <v>220</v>
      </c>
      <c r="K51" s="2" t="s">
        <v>29</v>
      </c>
      <c r="L51" s="28" t="s">
        <v>227</v>
      </c>
      <c r="M51" s="3">
        <v>5</v>
      </c>
      <c r="N51" s="3">
        <v>5</v>
      </c>
      <c r="O51" s="29">
        <v>1</v>
      </c>
      <c r="Q51" s="19" t="s">
        <v>23</v>
      </c>
    </row>
    <row r="52" spans="4:17" x14ac:dyDescent="0.4">
      <c r="D52" s="25" t="s">
        <v>65</v>
      </c>
      <c r="E52" s="2" t="s">
        <v>66</v>
      </c>
      <c r="F52" s="2" t="s">
        <v>67</v>
      </c>
      <c r="G52" s="2" t="s">
        <v>68</v>
      </c>
      <c r="H52" s="26" t="s">
        <v>1</v>
      </c>
      <c r="I52" s="27">
        <v>46078</v>
      </c>
      <c r="J52" s="2" t="s">
        <v>220</v>
      </c>
      <c r="K52" s="2" t="s">
        <v>29</v>
      </c>
      <c r="L52" s="28" t="s">
        <v>228</v>
      </c>
      <c r="M52" s="3">
        <v>5</v>
      </c>
      <c r="N52" s="3">
        <v>5</v>
      </c>
      <c r="O52" s="29">
        <v>1</v>
      </c>
      <c r="Q52" s="19" t="s">
        <v>23</v>
      </c>
    </row>
    <row r="53" spans="4:17" x14ac:dyDescent="0.4">
      <c r="D53" s="25" t="s">
        <v>70</v>
      </c>
      <c r="E53" s="2" t="s">
        <v>71</v>
      </c>
      <c r="F53" s="2" t="s">
        <v>72</v>
      </c>
      <c r="G53" s="2" t="s">
        <v>73</v>
      </c>
      <c r="H53" s="26" t="s">
        <v>1</v>
      </c>
      <c r="I53" s="27">
        <v>46078</v>
      </c>
      <c r="J53" s="2" t="s">
        <v>220</v>
      </c>
      <c r="K53" s="2" t="s">
        <v>29</v>
      </c>
      <c r="L53" s="28" t="s">
        <v>228</v>
      </c>
      <c r="M53" s="3">
        <v>5</v>
      </c>
      <c r="N53" s="3">
        <v>5</v>
      </c>
      <c r="O53" s="29">
        <v>1</v>
      </c>
      <c r="Q53" s="19" t="s">
        <v>23</v>
      </c>
    </row>
    <row r="54" spans="4:17" x14ac:dyDescent="0.4">
      <c r="D54" s="25" t="s">
        <v>75</v>
      </c>
      <c r="E54" s="2" t="s">
        <v>76</v>
      </c>
      <c r="F54" s="2" t="s">
        <v>77</v>
      </c>
      <c r="G54" s="2" t="s">
        <v>78</v>
      </c>
      <c r="H54" s="26" t="s">
        <v>1</v>
      </c>
      <c r="I54" s="27">
        <v>46078</v>
      </c>
      <c r="J54" s="2" t="s">
        <v>220</v>
      </c>
      <c r="K54" s="2" t="s">
        <v>29</v>
      </c>
      <c r="L54" s="28" t="s">
        <v>229</v>
      </c>
      <c r="M54" s="3">
        <v>4.5</v>
      </c>
      <c r="N54" s="3">
        <v>5</v>
      </c>
      <c r="O54" s="29">
        <v>0.9</v>
      </c>
      <c r="Q54" s="19" t="s">
        <v>23</v>
      </c>
    </row>
    <row r="55" spans="4:17" x14ac:dyDescent="0.4">
      <c r="D55" s="25" t="s">
        <v>80</v>
      </c>
      <c r="E55" s="2" t="s">
        <v>81</v>
      </c>
      <c r="F55" s="2" t="s">
        <v>82</v>
      </c>
      <c r="G55" s="2" t="s">
        <v>83</v>
      </c>
      <c r="H55" s="26" t="s">
        <v>1</v>
      </c>
      <c r="I55" s="27">
        <v>46078</v>
      </c>
      <c r="J55" s="2" t="s">
        <v>220</v>
      </c>
      <c r="K55" s="2" t="s">
        <v>29</v>
      </c>
      <c r="L55" s="28" t="s">
        <v>223</v>
      </c>
      <c r="M55" s="3">
        <v>5</v>
      </c>
      <c r="N55" s="3">
        <v>5</v>
      </c>
      <c r="O55" s="29">
        <v>1</v>
      </c>
      <c r="Q55" s="19" t="s">
        <v>23</v>
      </c>
    </row>
    <row r="56" spans="4:17" x14ac:dyDescent="0.4">
      <c r="D56" s="25" t="s">
        <v>85</v>
      </c>
      <c r="E56" s="2" t="s">
        <v>86</v>
      </c>
      <c r="F56" s="2" t="s">
        <v>87</v>
      </c>
      <c r="G56" s="2" t="s">
        <v>88</v>
      </c>
      <c r="H56" s="26" t="s">
        <v>1</v>
      </c>
      <c r="I56" s="27">
        <v>46078</v>
      </c>
      <c r="J56" s="2" t="s">
        <v>220</v>
      </c>
      <c r="K56" s="2" t="s">
        <v>29</v>
      </c>
      <c r="L56" s="28" t="s">
        <v>225</v>
      </c>
      <c r="M56" s="3">
        <v>0</v>
      </c>
      <c r="N56" s="3">
        <v>5</v>
      </c>
      <c r="O56" s="29">
        <v>0</v>
      </c>
      <c r="Q56" s="19" t="s">
        <v>23</v>
      </c>
    </row>
    <row r="57" spans="4:17" x14ac:dyDescent="0.4">
      <c r="D57" s="25" t="s">
        <v>89</v>
      </c>
      <c r="E57" s="2" t="s">
        <v>90</v>
      </c>
      <c r="F57" s="2" t="s">
        <v>91</v>
      </c>
      <c r="G57" s="2" t="s">
        <v>92</v>
      </c>
      <c r="H57" s="26" t="s">
        <v>1</v>
      </c>
      <c r="I57" s="27">
        <v>46078</v>
      </c>
      <c r="J57" s="2" t="s">
        <v>220</v>
      </c>
      <c r="K57" s="2" t="s">
        <v>29</v>
      </c>
      <c r="L57" s="28" t="s">
        <v>230</v>
      </c>
      <c r="M57" s="3">
        <v>5</v>
      </c>
      <c r="N57" s="3">
        <v>5</v>
      </c>
      <c r="O57" s="29">
        <v>1</v>
      </c>
      <c r="Q57" s="19" t="s">
        <v>23</v>
      </c>
    </row>
    <row r="58" spans="4:17" x14ac:dyDescent="0.4">
      <c r="D58" s="25" t="s">
        <v>94</v>
      </c>
      <c r="E58" s="2" t="s">
        <v>95</v>
      </c>
      <c r="F58" s="2" t="s">
        <v>96</v>
      </c>
      <c r="G58" s="2" t="s">
        <v>97</v>
      </c>
      <c r="H58" s="26" t="s">
        <v>1</v>
      </c>
      <c r="I58" s="27">
        <v>46078</v>
      </c>
      <c r="J58" s="2" t="s">
        <v>220</v>
      </c>
      <c r="K58" s="2" t="s">
        <v>29</v>
      </c>
      <c r="L58" s="28" t="s">
        <v>231</v>
      </c>
      <c r="M58" s="3">
        <v>5</v>
      </c>
      <c r="N58" s="3">
        <v>5</v>
      </c>
      <c r="O58" s="29">
        <v>1</v>
      </c>
      <c r="Q58" s="19" t="s">
        <v>23</v>
      </c>
    </row>
    <row r="59" spans="4:17" x14ac:dyDescent="0.4">
      <c r="D59" s="25" t="s">
        <v>99</v>
      </c>
      <c r="E59" s="2" t="s">
        <v>100</v>
      </c>
      <c r="F59" s="2" t="s">
        <v>101</v>
      </c>
      <c r="G59" s="2" t="s">
        <v>102</v>
      </c>
      <c r="H59" s="26" t="s">
        <v>1</v>
      </c>
      <c r="I59" s="27">
        <v>46078</v>
      </c>
      <c r="J59" s="2" t="s">
        <v>220</v>
      </c>
      <c r="K59" s="2" t="s">
        <v>29</v>
      </c>
      <c r="L59" s="28" t="s">
        <v>226</v>
      </c>
      <c r="M59" s="3">
        <v>5</v>
      </c>
      <c r="N59" s="3">
        <v>5</v>
      </c>
      <c r="O59" s="29">
        <v>1</v>
      </c>
      <c r="Q59" s="19" t="s">
        <v>23</v>
      </c>
    </row>
    <row r="60" spans="4:17" x14ac:dyDescent="0.4">
      <c r="D60" s="25" t="s">
        <v>104</v>
      </c>
      <c r="E60" s="2" t="s">
        <v>86</v>
      </c>
      <c r="F60" s="2" t="s">
        <v>105</v>
      </c>
      <c r="G60" s="2" t="s">
        <v>106</v>
      </c>
      <c r="H60" s="26" t="s">
        <v>1</v>
      </c>
      <c r="I60" s="27">
        <v>46078</v>
      </c>
      <c r="J60" s="2" t="s">
        <v>220</v>
      </c>
      <c r="K60" s="2" t="s">
        <v>29</v>
      </c>
      <c r="L60" s="28" t="s">
        <v>232</v>
      </c>
      <c r="M60" s="3">
        <v>5</v>
      </c>
      <c r="N60" s="3">
        <v>5</v>
      </c>
      <c r="O60" s="29">
        <v>1</v>
      </c>
      <c r="Q60" s="19" t="s">
        <v>23</v>
      </c>
    </row>
    <row r="61" spans="4:17" x14ac:dyDescent="0.4">
      <c r="D61" s="25" t="s">
        <v>107</v>
      </c>
      <c r="E61" s="2" t="s">
        <v>108</v>
      </c>
      <c r="F61" s="2" t="s">
        <v>109</v>
      </c>
      <c r="G61" s="2" t="s">
        <v>110</v>
      </c>
      <c r="H61" s="26" t="s">
        <v>1</v>
      </c>
      <c r="I61" s="27">
        <v>46078</v>
      </c>
      <c r="J61" s="2" t="s">
        <v>220</v>
      </c>
      <c r="K61" s="2" t="s">
        <v>29</v>
      </c>
      <c r="L61" s="28" t="s">
        <v>233</v>
      </c>
      <c r="M61" s="3">
        <v>5</v>
      </c>
      <c r="N61" s="3">
        <v>5</v>
      </c>
      <c r="O61" s="29">
        <v>1</v>
      </c>
      <c r="Q61" s="19" t="s">
        <v>23</v>
      </c>
    </row>
    <row r="62" spans="4:17" x14ac:dyDescent="0.4">
      <c r="D62" s="25" t="s">
        <v>112</v>
      </c>
      <c r="E62" s="2" t="s">
        <v>113</v>
      </c>
      <c r="F62" s="2" t="s">
        <v>114</v>
      </c>
      <c r="G62" s="2" t="s">
        <v>115</v>
      </c>
      <c r="H62" s="26" t="s">
        <v>1</v>
      </c>
      <c r="I62" s="27">
        <v>46078</v>
      </c>
      <c r="J62" s="2" t="s">
        <v>220</v>
      </c>
      <c r="K62" s="2" t="s">
        <v>29</v>
      </c>
      <c r="L62" s="28" t="s">
        <v>225</v>
      </c>
      <c r="M62" s="3">
        <v>0</v>
      </c>
      <c r="N62" s="3">
        <v>5</v>
      </c>
      <c r="O62" s="29">
        <v>0</v>
      </c>
      <c r="Q62" s="19" t="s">
        <v>23</v>
      </c>
    </row>
    <row r="63" spans="4:17" x14ac:dyDescent="0.4">
      <c r="D63" s="25" t="s">
        <v>117</v>
      </c>
      <c r="E63" s="2" t="s">
        <v>118</v>
      </c>
      <c r="F63" s="2" t="s">
        <v>119</v>
      </c>
      <c r="G63" s="2" t="s">
        <v>120</v>
      </c>
      <c r="H63" s="26" t="s">
        <v>1</v>
      </c>
      <c r="I63" s="27">
        <v>46078</v>
      </c>
      <c r="J63" s="2" t="s">
        <v>220</v>
      </c>
      <c r="K63" s="2" t="s">
        <v>29</v>
      </c>
      <c r="L63" s="28" t="s">
        <v>233</v>
      </c>
      <c r="M63" s="3">
        <v>5</v>
      </c>
      <c r="N63" s="3">
        <v>5</v>
      </c>
      <c r="O63" s="29">
        <v>1</v>
      </c>
      <c r="Q63" s="19" t="s">
        <v>23</v>
      </c>
    </row>
    <row r="64" spans="4:17" x14ac:dyDescent="0.4">
      <c r="D64" s="25" t="s">
        <v>122</v>
      </c>
      <c r="E64" s="2" t="s">
        <v>123</v>
      </c>
      <c r="F64" s="2" t="s">
        <v>124</v>
      </c>
      <c r="G64" s="2" t="s">
        <v>125</v>
      </c>
      <c r="H64" s="26" t="s">
        <v>1</v>
      </c>
      <c r="I64" s="27">
        <v>46078</v>
      </c>
      <c r="J64" s="2" t="s">
        <v>220</v>
      </c>
      <c r="K64" s="2" t="s">
        <v>29</v>
      </c>
      <c r="L64" s="28" t="s">
        <v>226</v>
      </c>
      <c r="M64" s="3">
        <v>5</v>
      </c>
      <c r="N64" s="3">
        <v>5</v>
      </c>
      <c r="O64" s="29">
        <v>1</v>
      </c>
      <c r="Q64" s="19" t="s">
        <v>23</v>
      </c>
    </row>
    <row r="65" spans="4:17" x14ac:dyDescent="0.4">
      <c r="D65" s="25" t="s">
        <v>127</v>
      </c>
      <c r="E65" s="2" t="s">
        <v>128</v>
      </c>
      <c r="F65" s="2" t="s">
        <v>129</v>
      </c>
      <c r="G65" s="2" t="s">
        <v>130</v>
      </c>
      <c r="H65" s="26" t="s">
        <v>1</v>
      </c>
      <c r="I65" s="27">
        <v>46078</v>
      </c>
      <c r="J65" s="2" t="s">
        <v>220</v>
      </c>
      <c r="K65" s="2" t="s">
        <v>29</v>
      </c>
      <c r="L65" s="28" t="s">
        <v>229</v>
      </c>
      <c r="M65" s="3">
        <v>4.5</v>
      </c>
      <c r="N65" s="3">
        <v>5</v>
      </c>
      <c r="O65" s="29">
        <v>0.9</v>
      </c>
      <c r="Q65" s="19" t="s">
        <v>23</v>
      </c>
    </row>
    <row r="66" spans="4:17" x14ac:dyDescent="0.4">
      <c r="D66" s="25" t="s">
        <v>132</v>
      </c>
      <c r="E66" s="2" t="s">
        <v>133</v>
      </c>
      <c r="F66" s="2" t="s">
        <v>134</v>
      </c>
      <c r="G66" s="2" t="s">
        <v>135</v>
      </c>
      <c r="H66" s="26" t="s">
        <v>1</v>
      </c>
      <c r="I66" s="27">
        <v>46078</v>
      </c>
      <c r="J66" s="2" t="s">
        <v>220</v>
      </c>
      <c r="K66" s="2" t="s">
        <v>29</v>
      </c>
      <c r="L66" s="28" t="s">
        <v>229</v>
      </c>
      <c r="M66" s="3">
        <v>4.5</v>
      </c>
      <c r="N66" s="3">
        <v>5</v>
      </c>
      <c r="O66" s="29">
        <v>0.9</v>
      </c>
      <c r="Q66" s="19" t="s">
        <v>23</v>
      </c>
    </row>
    <row r="67" spans="4:17" x14ac:dyDescent="0.4">
      <c r="D67" s="25" t="s">
        <v>137</v>
      </c>
      <c r="E67" s="2" t="s">
        <v>138</v>
      </c>
      <c r="F67" s="2" t="s">
        <v>139</v>
      </c>
      <c r="G67" s="2" t="s">
        <v>140</v>
      </c>
      <c r="H67" s="26" t="s">
        <v>1</v>
      </c>
      <c r="I67" s="27">
        <v>46078</v>
      </c>
      <c r="J67" s="2" t="s">
        <v>220</v>
      </c>
      <c r="K67" s="2" t="s">
        <v>29</v>
      </c>
      <c r="L67" s="28" t="s">
        <v>234</v>
      </c>
      <c r="M67" s="3">
        <v>5</v>
      </c>
      <c r="N67" s="3">
        <v>5</v>
      </c>
      <c r="O67" s="29">
        <v>1</v>
      </c>
      <c r="Q67" s="19" t="s">
        <v>23</v>
      </c>
    </row>
    <row r="68" spans="4:17" x14ac:dyDescent="0.4">
      <c r="D68" s="25" t="s">
        <v>142</v>
      </c>
      <c r="E68" s="2" t="s">
        <v>143</v>
      </c>
      <c r="F68" s="2" t="s">
        <v>144</v>
      </c>
      <c r="G68" s="2" t="s">
        <v>145</v>
      </c>
      <c r="H68" s="26" t="s">
        <v>1</v>
      </c>
      <c r="I68" s="27">
        <v>46078</v>
      </c>
      <c r="J68" s="2" t="s">
        <v>220</v>
      </c>
      <c r="K68" s="2" t="s">
        <v>29</v>
      </c>
      <c r="L68" s="28" t="s">
        <v>234</v>
      </c>
      <c r="M68" s="3">
        <v>5</v>
      </c>
      <c r="N68" s="3">
        <v>5</v>
      </c>
      <c r="O68" s="29">
        <v>1</v>
      </c>
      <c r="Q68" s="19" t="s">
        <v>23</v>
      </c>
    </row>
    <row r="69" spans="4:17" x14ac:dyDescent="0.4">
      <c r="D69" s="25" t="s">
        <v>147</v>
      </c>
      <c r="E69" s="2" t="s">
        <v>148</v>
      </c>
      <c r="F69" s="2" t="s">
        <v>149</v>
      </c>
      <c r="G69" s="2" t="s">
        <v>150</v>
      </c>
      <c r="H69" s="26" t="s">
        <v>1</v>
      </c>
      <c r="I69" s="27">
        <v>46078</v>
      </c>
      <c r="J69" s="2" t="s">
        <v>220</v>
      </c>
      <c r="K69" s="2" t="s">
        <v>29</v>
      </c>
      <c r="L69" s="28" t="s">
        <v>235</v>
      </c>
      <c r="M69" s="3">
        <v>5</v>
      </c>
      <c r="N69" s="3">
        <v>5</v>
      </c>
      <c r="O69" s="29">
        <v>1</v>
      </c>
      <c r="Q69" s="19" t="s">
        <v>23</v>
      </c>
    </row>
    <row r="70" spans="4:17" x14ac:dyDescent="0.4">
      <c r="D70" s="25" t="s">
        <v>152</v>
      </c>
      <c r="E70" s="2" t="s">
        <v>66</v>
      </c>
      <c r="F70" s="2" t="s">
        <v>153</v>
      </c>
      <c r="G70" s="2" t="s">
        <v>154</v>
      </c>
      <c r="H70" s="26" t="s">
        <v>1</v>
      </c>
      <c r="I70" s="27">
        <v>46078</v>
      </c>
      <c r="J70" s="2" t="s">
        <v>220</v>
      </c>
      <c r="K70" s="2" t="s">
        <v>29</v>
      </c>
      <c r="L70" s="28" t="s">
        <v>225</v>
      </c>
      <c r="M70" s="3">
        <v>0</v>
      </c>
      <c r="N70" s="3">
        <v>5</v>
      </c>
      <c r="O70" s="29">
        <v>0</v>
      </c>
      <c r="Q70" s="19" t="s">
        <v>23</v>
      </c>
    </row>
    <row r="71" spans="4:17" x14ac:dyDescent="0.4">
      <c r="D71" s="25" t="s">
        <v>156</v>
      </c>
      <c r="E71" s="2" t="s">
        <v>157</v>
      </c>
      <c r="F71" s="2" t="s">
        <v>158</v>
      </c>
      <c r="G71" s="2" t="s">
        <v>159</v>
      </c>
      <c r="H71" s="26" t="s">
        <v>1</v>
      </c>
      <c r="I71" s="27">
        <v>46078</v>
      </c>
      <c r="J71" s="2" t="s">
        <v>220</v>
      </c>
      <c r="K71" s="2" t="s">
        <v>29</v>
      </c>
      <c r="L71" s="28" t="s">
        <v>225</v>
      </c>
      <c r="M71" s="3">
        <v>0</v>
      </c>
      <c r="N71" s="3">
        <v>5</v>
      </c>
      <c r="O71" s="29">
        <v>0</v>
      </c>
      <c r="Q71" s="19" t="s">
        <v>23</v>
      </c>
    </row>
    <row r="72" spans="4:17" x14ac:dyDescent="0.4">
      <c r="D72" s="25" t="s">
        <v>160</v>
      </c>
      <c r="E72" s="2" t="s">
        <v>81</v>
      </c>
      <c r="F72" s="2" t="s">
        <v>161</v>
      </c>
      <c r="G72" s="2" t="s">
        <v>162</v>
      </c>
      <c r="H72" s="26" t="s">
        <v>1</v>
      </c>
      <c r="I72" s="27">
        <v>46078</v>
      </c>
      <c r="J72" s="2" t="s">
        <v>220</v>
      </c>
      <c r="K72" s="2" t="s">
        <v>29</v>
      </c>
      <c r="L72" s="28" t="s">
        <v>231</v>
      </c>
      <c r="M72" s="3">
        <v>5</v>
      </c>
      <c r="N72" s="3">
        <v>5</v>
      </c>
      <c r="O72" s="29">
        <v>1</v>
      </c>
      <c r="Q72" s="19" t="s">
        <v>23</v>
      </c>
    </row>
    <row r="73" spans="4:17" x14ac:dyDescent="0.4">
      <c r="D73" s="25" t="s">
        <v>163</v>
      </c>
      <c r="E73" s="2" t="s">
        <v>164</v>
      </c>
      <c r="F73" s="2" t="s">
        <v>165</v>
      </c>
      <c r="G73" s="2" t="s">
        <v>166</v>
      </c>
      <c r="H73" s="26" t="s">
        <v>1</v>
      </c>
      <c r="I73" s="27">
        <v>46078</v>
      </c>
      <c r="J73" s="2" t="s">
        <v>220</v>
      </c>
      <c r="K73" s="2" t="s">
        <v>29</v>
      </c>
      <c r="L73" s="28" t="s">
        <v>224</v>
      </c>
      <c r="M73" s="3">
        <v>4.2</v>
      </c>
      <c r="N73" s="3">
        <v>5</v>
      </c>
      <c r="O73" s="29">
        <v>0.84000000000000008</v>
      </c>
      <c r="Q73" s="19" t="s">
        <v>23</v>
      </c>
    </row>
    <row r="74" spans="4:17" x14ac:dyDescent="0.4">
      <c r="D74" s="25" t="s">
        <v>168</v>
      </c>
      <c r="E74" s="2" t="s">
        <v>169</v>
      </c>
      <c r="F74" s="2" t="s">
        <v>170</v>
      </c>
      <c r="G74" s="2" t="s">
        <v>171</v>
      </c>
      <c r="H74" s="26" t="s">
        <v>1</v>
      </c>
      <c r="I74" s="27">
        <v>46078</v>
      </c>
      <c r="J74" s="2" t="s">
        <v>220</v>
      </c>
      <c r="K74" s="2" t="s">
        <v>29</v>
      </c>
      <c r="L74" s="28" t="s">
        <v>228</v>
      </c>
      <c r="M74" s="3">
        <v>5</v>
      </c>
      <c r="N74" s="3">
        <v>5</v>
      </c>
      <c r="O74" s="29">
        <v>1</v>
      </c>
      <c r="Q74" s="19" t="s">
        <v>23</v>
      </c>
    </row>
    <row r="75" spans="4:17" x14ac:dyDescent="0.4">
      <c r="D75" s="25" t="s">
        <v>173</v>
      </c>
      <c r="E75" s="2" t="s">
        <v>174</v>
      </c>
      <c r="F75" s="2" t="s">
        <v>175</v>
      </c>
      <c r="G75" s="2" t="s">
        <v>176</v>
      </c>
      <c r="H75" s="26" t="s">
        <v>1</v>
      </c>
      <c r="I75" s="27">
        <v>46078</v>
      </c>
      <c r="J75" s="2" t="s">
        <v>220</v>
      </c>
      <c r="K75" s="2" t="s">
        <v>29</v>
      </c>
      <c r="L75" s="28" t="s">
        <v>221</v>
      </c>
      <c r="M75" s="3">
        <v>5</v>
      </c>
      <c r="N75" s="3">
        <v>5</v>
      </c>
      <c r="O75" s="29">
        <v>1</v>
      </c>
      <c r="Q75" s="19" t="s">
        <v>23</v>
      </c>
    </row>
    <row r="76" spans="4:17" x14ac:dyDescent="0.4">
      <c r="D76" s="25" t="s">
        <v>178</v>
      </c>
      <c r="E76" s="2" t="s">
        <v>179</v>
      </c>
      <c r="F76" s="2" t="s">
        <v>180</v>
      </c>
      <c r="G76" s="2" t="s">
        <v>181</v>
      </c>
      <c r="H76" s="26" t="s">
        <v>1</v>
      </c>
      <c r="I76" s="27">
        <v>46078</v>
      </c>
      <c r="J76" s="2" t="s">
        <v>220</v>
      </c>
      <c r="K76" s="2" t="s">
        <v>29</v>
      </c>
      <c r="L76" s="28" t="s">
        <v>235</v>
      </c>
      <c r="M76" s="3">
        <v>5</v>
      </c>
      <c r="N76" s="3">
        <v>5</v>
      </c>
      <c r="O76" s="29">
        <v>1</v>
      </c>
      <c r="Q76" s="19" t="s">
        <v>23</v>
      </c>
    </row>
    <row r="77" spans="4:17" x14ac:dyDescent="0.4">
      <c r="D77" s="25" t="s">
        <v>183</v>
      </c>
      <c r="E77" s="2" t="s">
        <v>184</v>
      </c>
      <c r="F77" s="2" t="s">
        <v>185</v>
      </c>
      <c r="G77" s="2" t="s">
        <v>186</v>
      </c>
      <c r="H77" s="26" t="s">
        <v>1</v>
      </c>
      <c r="I77" s="27">
        <v>46078</v>
      </c>
      <c r="J77" s="2" t="s">
        <v>220</v>
      </c>
      <c r="K77" s="2" t="s">
        <v>29</v>
      </c>
      <c r="L77" s="28" t="s">
        <v>225</v>
      </c>
      <c r="M77" s="3">
        <v>0</v>
      </c>
      <c r="N77" s="3">
        <v>5</v>
      </c>
      <c r="O77" s="29">
        <v>0</v>
      </c>
      <c r="Q77" s="19" t="s">
        <v>23</v>
      </c>
    </row>
    <row r="78" spans="4:17" x14ac:dyDescent="0.4">
      <c r="D78" s="25" t="s">
        <v>187</v>
      </c>
      <c r="E78" s="2" t="s">
        <v>188</v>
      </c>
      <c r="F78" s="2" t="s">
        <v>189</v>
      </c>
      <c r="G78" s="2" t="s">
        <v>190</v>
      </c>
      <c r="H78" s="26" t="s">
        <v>1</v>
      </c>
      <c r="I78" s="27">
        <v>46078</v>
      </c>
      <c r="J78" s="2" t="s">
        <v>220</v>
      </c>
      <c r="K78" s="2" t="s">
        <v>29</v>
      </c>
      <c r="L78" s="28" t="s">
        <v>236</v>
      </c>
      <c r="M78" s="3">
        <v>5</v>
      </c>
      <c r="N78" s="3">
        <v>5</v>
      </c>
      <c r="O78" s="29">
        <v>1</v>
      </c>
      <c r="Q78" s="19" t="s">
        <v>23</v>
      </c>
    </row>
    <row r="79" spans="4:17" x14ac:dyDescent="0.4">
      <c r="D79" s="25" t="s">
        <v>192</v>
      </c>
      <c r="E79" s="2" t="s">
        <v>193</v>
      </c>
      <c r="F79" s="2" t="s">
        <v>194</v>
      </c>
      <c r="G79" s="2" t="s">
        <v>195</v>
      </c>
      <c r="H79" s="26" t="s">
        <v>1</v>
      </c>
      <c r="I79" s="27">
        <v>46078</v>
      </c>
      <c r="J79" s="2" t="s">
        <v>220</v>
      </c>
      <c r="K79" s="2" t="s">
        <v>29</v>
      </c>
      <c r="L79" s="28" t="s">
        <v>236</v>
      </c>
      <c r="M79" s="3">
        <v>5</v>
      </c>
      <c r="N79" s="3">
        <v>5</v>
      </c>
      <c r="O79" s="29">
        <v>1</v>
      </c>
      <c r="Q79" s="19" t="s">
        <v>23</v>
      </c>
    </row>
    <row r="80" spans="4:17" x14ac:dyDescent="0.4">
      <c r="D80" s="25" t="s">
        <v>197</v>
      </c>
      <c r="E80" s="2" t="s">
        <v>198</v>
      </c>
      <c r="F80" s="2" t="s">
        <v>199</v>
      </c>
      <c r="G80" s="2" t="s">
        <v>200</v>
      </c>
      <c r="H80" s="26" t="s">
        <v>1</v>
      </c>
      <c r="I80" s="27">
        <v>46078</v>
      </c>
      <c r="J80" s="2" t="s">
        <v>220</v>
      </c>
      <c r="K80" s="2" t="s">
        <v>29</v>
      </c>
      <c r="L80" s="28" t="s">
        <v>231</v>
      </c>
      <c r="M80" s="3">
        <v>5</v>
      </c>
      <c r="N80" s="3">
        <v>5</v>
      </c>
      <c r="O80" s="29">
        <v>1</v>
      </c>
      <c r="Q80" s="19" t="s">
        <v>23</v>
      </c>
    </row>
    <row r="81" spans="4:17" x14ac:dyDescent="0.4">
      <c r="D81" s="25" t="s">
        <v>201</v>
      </c>
      <c r="E81" s="2" t="s">
        <v>143</v>
      </c>
      <c r="F81" s="2" t="s">
        <v>202</v>
      </c>
      <c r="G81" s="2" t="s">
        <v>203</v>
      </c>
      <c r="H81" s="26" t="s">
        <v>1</v>
      </c>
      <c r="I81" s="27">
        <v>46078</v>
      </c>
      <c r="J81" s="2" t="s">
        <v>220</v>
      </c>
      <c r="K81" s="2" t="s">
        <v>29</v>
      </c>
      <c r="L81" s="28" t="s">
        <v>225</v>
      </c>
      <c r="M81" s="3">
        <v>0</v>
      </c>
      <c r="N81" s="3">
        <v>5</v>
      </c>
      <c r="O81" s="29">
        <v>0</v>
      </c>
      <c r="Q81" s="19" t="s">
        <v>23</v>
      </c>
    </row>
    <row r="82" spans="4:17" x14ac:dyDescent="0.4">
      <c r="D82" s="25" t="s">
        <v>205</v>
      </c>
      <c r="E82" s="2" t="s">
        <v>206</v>
      </c>
      <c r="F82" s="2" t="s">
        <v>207</v>
      </c>
      <c r="G82" s="2" t="s">
        <v>208</v>
      </c>
      <c r="H82" s="26" t="s">
        <v>1</v>
      </c>
      <c r="I82" s="27">
        <v>46078</v>
      </c>
      <c r="J82" s="2" t="s">
        <v>220</v>
      </c>
      <c r="K82" s="2" t="s">
        <v>29</v>
      </c>
      <c r="L82" s="28" t="s">
        <v>236</v>
      </c>
      <c r="M82" s="3">
        <v>5</v>
      </c>
      <c r="N82" s="3">
        <v>5</v>
      </c>
      <c r="O82" s="29">
        <v>1</v>
      </c>
      <c r="Q82" s="19" t="s">
        <v>23</v>
      </c>
    </row>
    <row r="83" spans="4:17" x14ac:dyDescent="0.4">
      <c r="D83" s="25" t="s">
        <v>210</v>
      </c>
      <c r="E83" s="2" t="s">
        <v>211</v>
      </c>
      <c r="F83" s="2" t="s">
        <v>212</v>
      </c>
      <c r="G83" s="2" t="s">
        <v>213</v>
      </c>
      <c r="H83" s="26" t="s">
        <v>1</v>
      </c>
      <c r="I83" s="27">
        <v>46078</v>
      </c>
      <c r="J83" s="2" t="s">
        <v>220</v>
      </c>
      <c r="K83" s="2" t="s">
        <v>29</v>
      </c>
      <c r="L83" s="28" t="s">
        <v>225</v>
      </c>
      <c r="M83" s="3">
        <v>0</v>
      </c>
      <c r="N83" s="3">
        <v>5</v>
      </c>
      <c r="O83" s="29">
        <v>0</v>
      </c>
      <c r="Q83" s="19" t="s">
        <v>23</v>
      </c>
    </row>
    <row r="84" spans="4:17" x14ac:dyDescent="0.4">
      <c r="D84" s="25" t="s">
        <v>215</v>
      </c>
      <c r="E84" s="2" t="s">
        <v>216</v>
      </c>
      <c r="F84" s="2" t="s">
        <v>217</v>
      </c>
      <c r="G84" s="2" t="s">
        <v>218</v>
      </c>
      <c r="H84" s="26" t="s">
        <v>1</v>
      </c>
      <c r="I84" s="27">
        <v>46078</v>
      </c>
      <c r="J84" s="2" t="s">
        <v>220</v>
      </c>
      <c r="K84" s="2" t="s">
        <v>29</v>
      </c>
      <c r="L84" s="28" t="s">
        <v>233</v>
      </c>
      <c r="M84" s="3">
        <v>5</v>
      </c>
      <c r="N84" s="3">
        <v>5</v>
      </c>
      <c r="O84" s="29">
        <v>1</v>
      </c>
      <c r="Q84" s="19" t="s">
        <v>23</v>
      </c>
    </row>
    <row r="85" spans="4:17" x14ac:dyDescent="0.4">
      <c r="D85" s="25" t="s">
        <v>24</v>
      </c>
      <c r="E85" s="2" t="s">
        <v>25</v>
      </c>
      <c r="F85" s="2" t="s">
        <v>26</v>
      </c>
      <c r="G85" s="2" t="s">
        <v>27</v>
      </c>
      <c r="H85" s="26" t="s">
        <v>2</v>
      </c>
      <c r="I85" s="27">
        <v>46078</v>
      </c>
      <c r="J85" s="2" t="s">
        <v>220</v>
      </c>
      <c r="K85" s="2" t="s">
        <v>29</v>
      </c>
      <c r="L85" s="28" t="s">
        <v>237</v>
      </c>
      <c r="M85" s="3">
        <v>5</v>
      </c>
      <c r="N85" s="3">
        <v>5</v>
      </c>
      <c r="O85" s="29">
        <v>1</v>
      </c>
      <c r="Q85" s="19" t="s">
        <v>23</v>
      </c>
    </row>
    <row r="86" spans="4:17" x14ac:dyDescent="0.4">
      <c r="D86" s="25" t="s">
        <v>31</v>
      </c>
      <c r="E86" s="2" t="s">
        <v>32</v>
      </c>
      <c r="F86" s="2" t="s">
        <v>33</v>
      </c>
      <c r="G86" s="2" t="s">
        <v>34</v>
      </c>
      <c r="H86" s="26" t="s">
        <v>2</v>
      </c>
      <c r="I86" s="27">
        <v>46078</v>
      </c>
      <c r="J86" s="2" t="s">
        <v>220</v>
      </c>
      <c r="K86" s="2" t="s">
        <v>29</v>
      </c>
      <c r="L86" s="28" t="s">
        <v>238</v>
      </c>
      <c r="M86" s="3">
        <v>1</v>
      </c>
      <c r="N86" s="3">
        <v>5</v>
      </c>
      <c r="O86" s="29">
        <v>0.2</v>
      </c>
      <c r="Q86" s="19" t="s">
        <v>23</v>
      </c>
    </row>
    <row r="87" spans="4:17" x14ac:dyDescent="0.4">
      <c r="D87" s="25" t="s">
        <v>36</v>
      </c>
      <c r="E87" s="2" t="s">
        <v>37</v>
      </c>
      <c r="F87" s="2" t="s">
        <v>38</v>
      </c>
      <c r="G87" s="2" t="s">
        <v>39</v>
      </c>
      <c r="H87" s="26" t="s">
        <v>2</v>
      </c>
      <c r="I87" s="27">
        <v>46078</v>
      </c>
      <c r="J87" s="2" t="s">
        <v>220</v>
      </c>
      <c r="K87" s="2" t="s">
        <v>29</v>
      </c>
      <c r="L87" s="28" t="s">
        <v>239</v>
      </c>
      <c r="M87" s="3">
        <v>3</v>
      </c>
      <c r="N87" s="3">
        <v>5</v>
      </c>
      <c r="O87" s="29">
        <v>0.6</v>
      </c>
      <c r="Q87" s="19" t="s">
        <v>23</v>
      </c>
    </row>
    <row r="88" spans="4:17" x14ac:dyDescent="0.4">
      <c r="D88" s="25" t="s">
        <v>41</v>
      </c>
      <c r="E88" s="2" t="s">
        <v>42</v>
      </c>
      <c r="F88" s="2" t="s">
        <v>43</v>
      </c>
      <c r="G88" s="2" t="s">
        <v>44</v>
      </c>
      <c r="H88" s="26" t="s">
        <v>2</v>
      </c>
      <c r="I88" s="27">
        <v>46078</v>
      </c>
      <c r="J88" s="2" t="s">
        <v>220</v>
      </c>
      <c r="K88" s="2" t="s">
        <v>29</v>
      </c>
      <c r="L88" s="28" t="s">
        <v>240</v>
      </c>
      <c r="M88" s="3">
        <v>5</v>
      </c>
      <c r="N88" s="3">
        <v>5</v>
      </c>
      <c r="O88" s="29">
        <v>1</v>
      </c>
      <c r="Q88" s="19" t="s">
        <v>23</v>
      </c>
    </row>
    <row r="89" spans="4:17" x14ac:dyDescent="0.4">
      <c r="D89" s="25" t="s">
        <v>46</v>
      </c>
      <c r="E89" s="2" t="s">
        <v>47</v>
      </c>
      <c r="F89" s="2" t="s">
        <v>48</v>
      </c>
      <c r="G89" s="2" t="s">
        <v>49</v>
      </c>
      <c r="H89" s="26" t="s">
        <v>2</v>
      </c>
      <c r="I89" s="27">
        <v>46078</v>
      </c>
      <c r="J89" s="2" t="s">
        <v>220</v>
      </c>
      <c r="K89" s="2" t="s">
        <v>29</v>
      </c>
      <c r="L89" s="28" t="s">
        <v>240</v>
      </c>
      <c r="M89" s="3">
        <v>5</v>
      </c>
      <c r="N89" s="3">
        <v>5</v>
      </c>
      <c r="O89" s="29">
        <v>1</v>
      </c>
      <c r="Q89" s="19" t="s">
        <v>23</v>
      </c>
    </row>
    <row r="90" spans="4:17" x14ac:dyDescent="0.4">
      <c r="D90" s="25" t="s">
        <v>51</v>
      </c>
      <c r="E90" s="2" t="s">
        <v>52</v>
      </c>
      <c r="F90" s="2" t="s">
        <v>53</v>
      </c>
      <c r="G90" s="2" t="s">
        <v>54</v>
      </c>
      <c r="H90" s="26" t="s">
        <v>2</v>
      </c>
      <c r="I90" s="27">
        <v>46078</v>
      </c>
      <c r="J90" s="2" t="s">
        <v>220</v>
      </c>
      <c r="K90" s="2" t="s">
        <v>29</v>
      </c>
      <c r="L90" s="28" t="s">
        <v>225</v>
      </c>
      <c r="M90" s="3">
        <v>0</v>
      </c>
      <c r="N90" s="3">
        <v>5</v>
      </c>
      <c r="O90" s="29">
        <v>0</v>
      </c>
      <c r="Q90" s="19" t="s">
        <v>23</v>
      </c>
    </row>
    <row r="91" spans="4:17" x14ac:dyDescent="0.4">
      <c r="D91" s="25" t="s">
        <v>56</v>
      </c>
      <c r="E91" s="2" t="s">
        <v>52</v>
      </c>
      <c r="F91" s="2" t="s">
        <v>57</v>
      </c>
      <c r="G91" s="2" t="s">
        <v>58</v>
      </c>
      <c r="H91" s="26" t="s">
        <v>2</v>
      </c>
      <c r="I91" s="27">
        <v>46078</v>
      </c>
      <c r="J91" s="2" t="s">
        <v>220</v>
      </c>
      <c r="K91" s="2" t="s">
        <v>29</v>
      </c>
      <c r="L91" s="28" t="s">
        <v>241</v>
      </c>
      <c r="M91" s="3">
        <v>5</v>
      </c>
      <c r="N91" s="3">
        <v>5</v>
      </c>
      <c r="O91" s="29">
        <v>1</v>
      </c>
      <c r="Q91" s="19" t="s">
        <v>23</v>
      </c>
    </row>
    <row r="92" spans="4:17" x14ac:dyDescent="0.4">
      <c r="D92" s="25" t="s">
        <v>60</v>
      </c>
      <c r="E92" s="2" t="s">
        <v>61</v>
      </c>
      <c r="F92" s="2" t="s">
        <v>62</v>
      </c>
      <c r="G92" s="2" t="s">
        <v>63</v>
      </c>
      <c r="H92" s="26" t="s">
        <v>2</v>
      </c>
      <c r="I92" s="27">
        <v>46078</v>
      </c>
      <c r="J92" s="2" t="s">
        <v>220</v>
      </c>
      <c r="K92" s="2" t="s">
        <v>29</v>
      </c>
      <c r="L92" s="28" t="s">
        <v>242</v>
      </c>
      <c r="M92" s="3">
        <v>3.5</v>
      </c>
      <c r="N92" s="3">
        <v>5</v>
      </c>
      <c r="O92" s="29">
        <v>0.7</v>
      </c>
      <c r="Q92" s="19" t="s">
        <v>23</v>
      </c>
    </row>
    <row r="93" spans="4:17" x14ac:dyDescent="0.4">
      <c r="D93" s="25" t="s">
        <v>65</v>
      </c>
      <c r="E93" s="2" t="s">
        <v>66</v>
      </c>
      <c r="F93" s="2" t="s">
        <v>67</v>
      </c>
      <c r="G93" s="2" t="s">
        <v>68</v>
      </c>
      <c r="H93" s="26" t="s">
        <v>2</v>
      </c>
      <c r="I93" s="27">
        <v>46078</v>
      </c>
      <c r="J93" s="2" t="s">
        <v>220</v>
      </c>
      <c r="K93" s="2" t="s">
        <v>29</v>
      </c>
      <c r="L93" s="28" t="s">
        <v>243</v>
      </c>
      <c r="M93" s="3">
        <v>5</v>
      </c>
      <c r="N93" s="3">
        <v>5</v>
      </c>
      <c r="O93" s="29">
        <v>1</v>
      </c>
      <c r="Q93" s="19" t="s">
        <v>23</v>
      </c>
    </row>
    <row r="94" spans="4:17" x14ac:dyDescent="0.4">
      <c r="D94" s="25" t="s">
        <v>70</v>
      </c>
      <c r="E94" s="2" t="s">
        <v>71</v>
      </c>
      <c r="F94" s="2" t="s">
        <v>72</v>
      </c>
      <c r="G94" s="2" t="s">
        <v>73</v>
      </c>
      <c r="H94" s="26" t="s">
        <v>2</v>
      </c>
      <c r="I94" s="27">
        <v>46078</v>
      </c>
      <c r="J94" s="2" t="s">
        <v>220</v>
      </c>
      <c r="K94" s="2" t="s">
        <v>29</v>
      </c>
      <c r="L94" s="28" t="s">
        <v>243</v>
      </c>
      <c r="M94" s="3">
        <v>5</v>
      </c>
      <c r="N94" s="3">
        <v>5</v>
      </c>
      <c r="O94" s="29">
        <v>1</v>
      </c>
      <c r="Q94" s="19" t="s">
        <v>23</v>
      </c>
    </row>
    <row r="95" spans="4:17" x14ac:dyDescent="0.4">
      <c r="D95" s="25" t="s">
        <v>75</v>
      </c>
      <c r="E95" s="2" t="s">
        <v>76</v>
      </c>
      <c r="F95" s="2" t="s">
        <v>77</v>
      </c>
      <c r="G95" s="2" t="s">
        <v>78</v>
      </c>
      <c r="H95" s="26" t="s">
        <v>2</v>
      </c>
      <c r="I95" s="27">
        <v>46078</v>
      </c>
      <c r="J95" s="2" t="s">
        <v>220</v>
      </c>
      <c r="K95" s="2" t="s">
        <v>29</v>
      </c>
      <c r="L95" s="28" t="s">
        <v>244</v>
      </c>
      <c r="M95" s="3">
        <v>5</v>
      </c>
      <c r="N95" s="3">
        <v>5</v>
      </c>
      <c r="O95" s="29">
        <v>1</v>
      </c>
      <c r="Q95" s="19" t="s">
        <v>23</v>
      </c>
    </row>
    <row r="96" spans="4:17" x14ac:dyDescent="0.4">
      <c r="D96" s="25" t="s">
        <v>80</v>
      </c>
      <c r="E96" s="2" t="s">
        <v>81</v>
      </c>
      <c r="F96" s="2" t="s">
        <v>82</v>
      </c>
      <c r="G96" s="2" t="s">
        <v>83</v>
      </c>
      <c r="H96" s="26" t="s">
        <v>2</v>
      </c>
      <c r="I96" s="27">
        <v>46078</v>
      </c>
      <c r="J96" s="2" t="s">
        <v>220</v>
      </c>
      <c r="K96" s="2" t="s">
        <v>29</v>
      </c>
      <c r="L96" s="28" t="s">
        <v>245</v>
      </c>
      <c r="M96" s="3">
        <v>5</v>
      </c>
      <c r="N96" s="3">
        <v>5</v>
      </c>
      <c r="O96" s="29">
        <v>1</v>
      </c>
      <c r="Q96" s="19" t="s">
        <v>23</v>
      </c>
    </row>
    <row r="97" spans="4:17" x14ac:dyDescent="0.4">
      <c r="D97" s="25" t="s">
        <v>85</v>
      </c>
      <c r="E97" s="2" t="s">
        <v>86</v>
      </c>
      <c r="F97" s="2" t="s">
        <v>87</v>
      </c>
      <c r="G97" s="2" t="s">
        <v>88</v>
      </c>
      <c r="H97" s="26" t="s">
        <v>2</v>
      </c>
      <c r="I97" s="27">
        <v>46078</v>
      </c>
      <c r="J97" s="2" t="s">
        <v>220</v>
      </c>
      <c r="K97" s="2" t="s">
        <v>29</v>
      </c>
      <c r="L97" s="28" t="s">
        <v>246</v>
      </c>
      <c r="M97" s="3">
        <v>5</v>
      </c>
      <c r="N97" s="3">
        <v>5</v>
      </c>
      <c r="O97" s="29">
        <v>1</v>
      </c>
      <c r="Q97" s="19" t="s">
        <v>23</v>
      </c>
    </row>
    <row r="98" spans="4:17" x14ac:dyDescent="0.4">
      <c r="D98" s="25" t="s">
        <v>89</v>
      </c>
      <c r="E98" s="2" t="s">
        <v>90</v>
      </c>
      <c r="F98" s="2" t="s">
        <v>91</v>
      </c>
      <c r="G98" s="2" t="s">
        <v>92</v>
      </c>
      <c r="H98" s="26" t="s">
        <v>2</v>
      </c>
      <c r="I98" s="27">
        <v>46078</v>
      </c>
      <c r="J98" s="2" t="s">
        <v>220</v>
      </c>
      <c r="K98" s="2" t="s">
        <v>29</v>
      </c>
      <c r="L98" s="28" t="s">
        <v>247</v>
      </c>
      <c r="M98" s="3">
        <v>1</v>
      </c>
      <c r="N98" s="3">
        <v>5</v>
      </c>
      <c r="O98" s="29">
        <v>0.2</v>
      </c>
      <c r="Q98" s="19" t="s">
        <v>23</v>
      </c>
    </row>
    <row r="99" spans="4:17" x14ac:dyDescent="0.4">
      <c r="D99" s="25" t="s">
        <v>94</v>
      </c>
      <c r="E99" s="2" t="s">
        <v>95</v>
      </c>
      <c r="F99" s="2" t="s">
        <v>96</v>
      </c>
      <c r="G99" s="2" t="s">
        <v>97</v>
      </c>
      <c r="H99" s="26" t="s">
        <v>2</v>
      </c>
      <c r="I99" s="27">
        <v>46078</v>
      </c>
      <c r="J99" s="2" t="s">
        <v>220</v>
      </c>
      <c r="K99" s="2" t="s">
        <v>29</v>
      </c>
      <c r="L99" s="28" t="s">
        <v>248</v>
      </c>
      <c r="M99" s="3">
        <v>5</v>
      </c>
      <c r="N99" s="3">
        <v>5</v>
      </c>
      <c r="O99" s="29">
        <v>1</v>
      </c>
      <c r="Q99" s="19" t="s">
        <v>23</v>
      </c>
    </row>
    <row r="100" spans="4:17" x14ac:dyDescent="0.4">
      <c r="D100" s="25" t="s">
        <v>99</v>
      </c>
      <c r="E100" s="2" t="s">
        <v>100</v>
      </c>
      <c r="F100" s="2" t="s">
        <v>101</v>
      </c>
      <c r="G100" s="2" t="s">
        <v>102</v>
      </c>
      <c r="H100" s="26" t="s">
        <v>2</v>
      </c>
      <c r="I100" s="27">
        <v>46078</v>
      </c>
      <c r="J100" s="2" t="s">
        <v>220</v>
      </c>
      <c r="K100" s="2" t="s">
        <v>29</v>
      </c>
      <c r="L100" s="28" t="s">
        <v>241</v>
      </c>
      <c r="M100" s="3">
        <v>5</v>
      </c>
      <c r="N100" s="3">
        <v>5</v>
      </c>
      <c r="O100" s="29">
        <v>1</v>
      </c>
      <c r="Q100" s="19" t="s">
        <v>23</v>
      </c>
    </row>
    <row r="101" spans="4:17" x14ac:dyDescent="0.4">
      <c r="D101" s="25" t="s">
        <v>104</v>
      </c>
      <c r="E101" s="2" t="s">
        <v>86</v>
      </c>
      <c r="F101" s="2" t="s">
        <v>105</v>
      </c>
      <c r="G101" s="2" t="s">
        <v>106</v>
      </c>
      <c r="H101" s="26" t="s">
        <v>2</v>
      </c>
      <c r="I101" s="27">
        <v>46078</v>
      </c>
      <c r="J101" s="2" t="s">
        <v>220</v>
      </c>
      <c r="K101" s="2" t="s">
        <v>29</v>
      </c>
      <c r="L101" s="28" t="s">
        <v>246</v>
      </c>
      <c r="M101" s="3">
        <v>5</v>
      </c>
      <c r="N101" s="3">
        <v>5</v>
      </c>
      <c r="O101" s="29">
        <v>1</v>
      </c>
      <c r="Q101" s="19" t="s">
        <v>23</v>
      </c>
    </row>
    <row r="102" spans="4:17" x14ac:dyDescent="0.4">
      <c r="D102" s="25" t="s">
        <v>107</v>
      </c>
      <c r="E102" s="2" t="s">
        <v>108</v>
      </c>
      <c r="F102" s="2" t="s">
        <v>109</v>
      </c>
      <c r="G102" s="2" t="s">
        <v>110</v>
      </c>
      <c r="H102" s="26" t="s">
        <v>2</v>
      </c>
      <c r="I102" s="27">
        <v>46078</v>
      </c>
      <c r="J102" s="2" t="s">
        <v>220</v>
      </c>
      <c r="K102" s="2" t="s">
        <v>29</v>
      </c>
      <c r="L102" s="28" t="s">
        <v>249</v>
      </c>
      <c r="M102" s="3">
        <v>5</v>
      </c>
      <c r="N102" s="3">
        <v>5</v>
      </c>
      <c r="O102" s="29">
        <v>1</v>
      </c>
      <c r="Q102" s="19" t="s">
        <v>23</v>
      </c>
    </row>
    <row r="103" spans="4:17" x14ac:dyDescent="0.4">
      <c r="D103" s="25" t="s">
        <v>112</v>
      </c>
      <c r="E103" s="2" t="s">
        <v>113</v>
      </c>
      <c r="F103" s="2" t="s">
        <v>114</v>
      </c>
      <c r="G103" s="2" t="s">
        <v>115</v>
      </c>
      <c r="H103" s="26" t="s">
        <v>2</v>
      </c>
      <c r="I103" s="27">
        <v>46078</v>
      </c>
      <c r="J103" s="2" t="s">
        <v>220</v>
      </c>
      <c r="K103" s="2" t="s">
        <v>29</v>
      </c>
      <c r="L103" s="28" t="s">
        <v>250</v>
      </c>
      <c r="M103" s="3">
        <v>2</v>
      </c>
      <c r="N103" s="3">
        <v>5</v>
      </c>
      <c r="O103" s="29">
        <v>0.4</v>
      </c>
      <c r="Q103" s="19" t="s">
        <v>23</v>
      </c>
    </row>
    <row r="104" spans="4:17" x14ac:dyDescent="0.4">
      <c r="D104" s="25" t="s">
        <v>117</v>
      </c>
      <c r="E104" s="2" t="s">
        <v>118</v>
      </c>
      <c r="F104" s="2" t="s">
        <v>119</v>
      </c>
      <c r="G104" s="2" t="s">
        <v>120</v>
      </c>
      <c r="H104" s="26" t="s">
        <v>2</v>
      </c>
      <c r="I104" s="27">
        <v>46078</v>
      </c>
      <c r="J104" s="2" t="s">
        <v>220</v>
      </c>
      <c r="K104" s="2" t="s">
        <v>29</v>
      </c>
      <c r="L104" s="28" t="s">
        <v>249</v>
      </c>
      <c r="M104" s="3">
        <v>5</v>
      </c>
      <c r="N104" s="3">
        <v>5</v>
      </c>
      <c r="O104" s="29">
        <v>1</v>
      </c>
      <c r="Q104" s="19" t="s">
        <v>23</v>
      </c>
    </row>
    <row r="105" spans="4:17" x14ac:dyDescent="0.4">
      <c r="D105" s="25" t="s">
        <v>122</v>
      </c>
      <c r="E105" s="2" t="s">
        <v>123</v>
      </c>
      <c r="F105" s="2" t="s">
        <v>124</v>
      </c>
      <c r="G105" s="2" t="s">
        <v>125</v>
      </c>
      <c r="H105" s="26" t="s">
        <v>2</v>
      </c>
      <c r="I105" s="27">
        <v>46078</v>
      </c>
      <c r="J105" s="2" t="s">
        <v>220</v>
      </c>
      <c r="K105" s="2" t="s">
        <v>29</v>
      </c>
      <c r="L105" s="28" t="s">
        <v>241</v>
      </c>
      <c r="M105" s="3">
        <v>5</v>
      </c>
      <c r="N105" s="3">
        <v>5</v>
      </c>
      <c r="O105" s="29">
        <v>1</v>
      </c>
      <c r="Q105" s="19" t="s">
        <v>23</v>
      </c>
    </row>
    <row r="106" spans="4:17" x14ac:dyDescent="0.4">
      <c r="D106" s="25" t="s">
        <v>127</v>
      </c>
      <c r="E106" s="2" t="s">
        <v>128</v>
      </c>
      <c r="F106" s="2" t="s">
        <v>129</v>
      </c>
      <c r="G106" s="2" t="s">
        <v>130</v>
      </c>
      <c r="H106" s="26" t="s">
        <v>2</v>
      </c>
      <c r="I106" s="27">
        <v>46078</v>
      </c>
      <c r="J106" s="2" t="s">
        <v>220</v>
      </c>
      <c r="K106" s="2" t="s">
        <v>29</v>
      </c>
      <c r="L106" s="28" t="s">
        <v>225</v>
      </c>
      <c r="M106" s="3">
        <v>0</v>
      </c>
      <c r="N106" s="3">
        <v>5</v>
      </c>
      <c r="O106" s="29">
        <v>0</v>
      </c>
      <c r="Q106" s="19" t="s">
        <v>23</v>
      </c>
    </row>
    <row r="107" spans="4:17" x14ac:dyDescent="0.4">
      <c r="D107" s="25" t="s">
        <v>132</v>
      </c>
      <c r="E107" s="2" t="s">
        <v>133</v>
      </c>
      <c r="F107" s="2" t="s">
        <v>134</v>
      </c>
      <c r="G107" s="2" t="s">
        <v>135</v>
      </c>
      <c r="H107" s="26" t="s">
        <v>2</v>
      </c>
      <c r="I107" s="27">
        <v>46078</v>
      </c>
      <c r="J107" s="2" t="s">
        <v>220</v>
      </c>
      <c r="K107" s="2" t="s">
        <v>29</v>
      </c>
      <c r="L107" s="28" t="s">
        <v>225</v>
      </c>
      <c r="M107" s="3">
        <v>0</v>
      </c>
      <c r="N107" s="3">
        <v>5</v>
      </c>
      <c r="O107" s="29">
        <v>0</v>
      </c>
      <c r="Q107" s="19" t="s">
        <v>23</v>
      </c>
    </row>
    <row r="108" spans="4:17" x14ac:dyDescent="0.4">
      <c r="D108" s="25" t="s">
        <v>137</v>
      </c>
      <c r="E108" s="2" t="s">
        <v>138</v>
      </c>
      <c r="F108" s="2" t="s">
        <v>139</v>
      </c>
      <c r="G108" s="2" t="s">
        <v>140</v>
      </c>
      <c r="H108" s="26" t="s">
        <v>2</v>
      </c>
      <c r="I108" s="27">
        <v>46078</v>
      </c>
      <c r="J108" s="2" t="s">
        <v>220</v>
      </c>
      <c r="K108" s="2" t="s">
        <v>29</v>
      </c>
      <c r="L108" s="28" t="s">
        <v>251</v>
      </c>
      <c r="M108" s="3">
        <v>5</v>
      </c>
      <c r="N108" s="3">
        <v>5</v>
      </c>
      <c r="O108" s="29">
        <v>1</v>
      </c>
      <c r="Q108" s="19" t="s">
        <v>23</v>
      </c>
    </row>
    <row r="109" spans="4:17" x14ac:dyDescent="0.4">
      <c r="D109" s="25" t="s">
        <v>142</v>
      </c>
      <c r="E109" s="2" t="s">
        <v>143</v>
      </c>
      <c r="F109" s="2" t="s">
        <v>144</v>
      </c>
      <c r="G109" s="2" t="s">
        <v>145</v>
      </c>
      <c r="H109" s="26" t="s">
        <v>2</v>
      </c>
      <c r="I109" s="27">
        <v>46078</v>
      </c>
      <c r="J109" s="2" t="s">
        <v>220</v>
      </c>
      <c r="K109" s="2" t="s">
        <v>29</v>
      </c>
      <c r="L109" s="28" t="s">
        <v>251</v>
      </c>
      <c r="M109" s="3">
        <v>5</v>
      </c>
      <c r="N109" s="3">
        <v>5</v>
      </c>
      <c r="O109" s="29">
        <v>1</v>
      </c>
      <c r="Q109" s="19" t="s">
        <v>23</v>
      </c>
    </row>
    <row r="110" spans="4:17" x14ac:dyDescent="0.4">
      <c r="D110" s="25" t="s">
        <v>147</v>
      </c>
      <c r="E110" s="2" t="s">
        <v>148</v>
      </c>
      <c r="F110" s="2" t="s">
        <v>149</v>
      </c>
      <c r="G110" s="2" t="s">
        <v>150</v>
      </c>
      <c r="H110" s="26" t="s">
        <v>2</v>
      </c>
      <c r="I110" s="27">
        <v>46078</v>
      </c>
      <c r="J110" s="2" t="s">
        <v>220</v>
      </c>
      <c r="K110" s="2" t="s">
        <v>29</v>
      </c>
      <c r="L110" s="28" t="s">
        <v>252</v>
      </c>
      <c r="M110" s="3">
        <v>4</v>
      </c>
      <c r="N110" s="3">
        <v>5</v>
      </c>
      <c r="O110" s="29">
        <v>0.8</v>
      </c>
      <c r="Q110" s="19" t="s">
        <v>23</v>
      </c>
    </row>
    <row r="111" spans="4:17" x14ac:dyDescent="0.4">
      <c r="D111" s="25" t="s">
        <v>152</v>
      </c>
      <c r="E111" s="2" t="s">
        <v>66</v>
      </c>
      <c r="F111" s="2" t="s">
        <v>153</v>
      </c>
      <c r="G111" s="2" t="s">
        <v>154</v>
      </c>
      <c r="H111" s="26" t="s">
        <v>2</v>
      </c>
      <c r="I111" s="27">
        <v>46078</v>
      </c>
      <c r="J111" s="2" t="s">
        <v>220</v>
      </c>
      <c r="K111" s="2" t="s">
        <v>29</v>
      </c>
      <c r="L111" s="28" t="s">
        <v>225</v>
      </c>
      <c r="M111" s="3">
        <v>0</v>
      </c>
      <c r="N111" s="3">
        <v>5</v>
      </c>
      <c r="O111" s="29">
        <v>0</v>
      </c>
      <c r="Q111" s="19" t="s">
        <v>23</v>
      </c>
    </row>
    <row r="112" spans="4:17" x14ac:dyDescent="0.4">
      <c r="D112" s="25" t="s">
        <v>156</v>
      </c>
      <c r="E112" s="2" t="s">
        <v>157</v>
      </c>
      <c r="F112" s="2" t="s">
        <v>158</v>
      </c>
      <c r="G112" s="2" t="s">
        <v>159</v>
      </c>
      <c r="H112" s="26" t="s">
        <v>2</v>
      </c>
      <c r="I112" s="27">
        <v>46078</v>
      </c>
      <c r="J112" s="2" t="s">
        <v>220</v>
      </c>
      <c r="K112" s="2" t="s">
        <v>29</v>
      </c>
      <c r="L112" s="28" t="s">
        <v>225</v>
      </c>
      <c r="M112" s="3">
        <v>0</v>
      </c>
      <c r="N112" s="3">
        <v>5</v>
      </c>
      <c r="O112" s="29">
        <v>0</v>
      </c>
      <c r="Q112" s="19" t="s">
        <v>23</v>
      </c>
    </row>
    <row r="113" spans="4:17" x14ac:dyDescent="0.4">
      <c r="D113" s="25" t="s">
        <v>160</v>
      </c>
      <c r="E113" s="2" t="s">
        <v>81</v>
      </c>
      <c r="F113" s="2" t="s">
        <v>161</v>
      </c>
      <c r="G113" s="2" t="s">
        <v>162</v>
      </c>
      <c r="H113" s="26" t="s">
        <v>2</v>
      </c>
      <c r="I113" s="27">
        <v>46078</v>
      </c>
      <c r="J113" s="2" t="s">
        <v>220</v>
      </c>
      <c r="K113" s="2" t="s">
        <v>29</v>
      </c>
      <c r="L113" s="28" t="s">
        <v>253</v>
      </c>
      <c r="M113" s="3">
        <v>4</v>
      </c>
      <c r="N113" s="3">
        <v>5</v>
      </c>
      <c r="O113" s="29">
        <v>0.8</v>
      </c>
      <c r="Q113" s="19" t="s">
        <v>23</v>
      </c>
    </row>
    <row r="114" spans="4:17" x14ac:dyDescent="0.4">
      <c r="D114" s="25" t="s">
        <v>163</v>
      </c>
      <c r="E114" s="2" t="s">
        <v>164</v>
      </c>
      <c r="F114" s="2" t="s">
        <v>165</v>
      </c>
      <c r="G114" s="2" t="s">
        <v>166</v>
      </c>
      <c r="H114" s="26" t="s">
        <v>2</v>
      </c>
      <c r="I114" s="27">
        <v>46078</v>
      </c>
      <c r="J114" s="2" t="s">
        <v>220</v>
      </c>
      <c r="K114" s="2" t="s">
        <v>29</v>
      </c>
      <c r="L114" s="28" t="s">
        <v>240</v>
      </c>
      <c r="M114" s="3">
        <v>5</v>
      </c>
      <c r="N114" s="3">
        <v>5</v>
      </c>
      <c r="O114" s="29">
        <v>1</v>
      </c>
      <c r="Q114" s="19" t="s">
        <v>23</v>
      </c>
    </row>
    <row r="115" spans="4:17" x14ac:dyDescent="0.4">
      <c r="D115" s="25" t="s">
        <v>168</v>
      </c>
      <c r="E115" s="2" t="s">
        <v>169</v>
      </c>
      <c r="F115" s="2" t="s">
        <v>170</v>
      </c>
      <c r="G115" s="2" t="s">
        <v>171</v>
      </c>
      <c r="H115" s="26" t="s">
        <v>2</v>
      </c>
      <c r="I115" s="27">
        <v>46078</v>
      </c>
      <c r="J115" s="2" t="s">
        <v>220</v>
      </c>
      <c r="K115" s="2" t="s">
        <v>29</v>
      </c>
      <c r="L115" s="28" t="s">
        <v>243</v>
      </c>
      <c r="M115" s="3">
        <v>5</v>
      </c>
      <c r="N115" s="3">
        <v>5</v>
      </c>
      <c r="O115" s="29">
        <v>1</v>
      </c>
      <c r="Q115" s="19" t="s">
        <v>23</v>
      </c>
    </row>
    <row r="116" spans="4:17" x14ac:dyDescent="0.4">
      <c r="D116" s="25" t="s">
        <v>173</v>
      </c>
      <c r="E116" s="2" t="s">
        <v>174</v>
      </c>
      <c r="F116" s="2" t="s">
        <v>175</v>
      </c>
      <c r="G116" s="2" t="s">
        <v>176</v>
      </c>
      <c r="H116" s="26" t="s">
        <v>2</v>
      </c>
      <c r="I116" s="27">
        <v>46078</v>
      </c>
      <c r="J116" s="2" t="s">
        <v>220</v>
      </c>
      <c r="K116" s="2" t="s">
        <v>29</v>
      </c>
      <c r="L116" s="28" t="s">
        <v>237</v>
      </c>
      <c r="M116" s="3">
        <v>5</v>
      </c>
      <c r="N116" s="3">
        <v>5</v>
      </c>
      <c r="O116" s="29">
        <v>1</v>
      </c>
      <c r="Q116" s="19" t="s">
        <v>23</v>
      </c>
    </row>
    <row r="117" spans="4:17" x14ac:dyDescent="0.4">
      <c r="D117" s="25" t="s">
        <v>178</v>
      </c>
      <c r="E117" s="2" t="s">
        <v>179</v>
      </c>
      <c r="F117" s="2" t="s">
        <v>180</v>
      </c>
      <c r="G117" s="2" t="s">
        <v>181</v>
      </c>
      <c r="H117" s="26" t="s">
        <v>2</v>
      </c>
      <c r="I117" s="27">
        <v>46078</v>
      </c>
      <c r="J117" s="2" t="s">
        <v>220</v>
      </c>
      <c r="K117" s="2" t="s">
        <v>29</v>
      </c>
      <c r="L117" s="28" t="s">
        <v>254</v>
      </c>
      <c r="M117" s="3">
        <v>5</v>
      </c>
      <c r="N117" s="3">
        <v>5</v>
      </c>
      <c r="O117" s="29">
        <v>1</v>
      </c>
      <c r="Q117" s="19" t="s">
        <v>23</v>
      </c>
    </row>
    <row r="118" spans="4:17" x14ac:dyDescent="0.4">
      <c r="D118" s="25" t="s">
        <v>183</v>
      </c>
      <c r="E118" s="2" t="s">
        <v>184</v>
      </c>
      <c r="F118" s="2" t="s">
        <v>185</v>
      </c>
      <c r="G118" s="2" t="s">
        <v>186</v>
      </c>
      <c r="H118" s="26" t="s">
        <v>2</v>
      </c>
      <c r="I118" s="27">
        <v>46078</v>
      </c>
      <c r="J118" s="2" t="s">
        <v>220</v>
      </c>
      <c r="K118" s="2" t="s">
        <v>29</v>
      </c>
      <c r="L118" s="28" t="s">
        <v>225</v>
      </c>
      <c r="M118" s="3">
        <v>0</v>
      </c>
      <c r="N118" s="3">
        <v>5</v>
      </c>
      <c r="O118" s="29">
        <v>0</v>
      </c>
      <c r="Q118" s="19" t="s">
        <v>23</v>
      </c>
    </row>
    <row r="119" spans="4:17" x14ac:dyDescent="0.4">
      <c r="D119" s="25" t="s">
        <v>187</v>
      </c>
      <c r="E119" s="2" t="s">
        <v>188</v>
      </c>
      <c r="F119" s="2" t="s">
        <v>189</v>
      </c>
      <c r="G119" s="2" t="s">
        <v>190</v>
      </c>
      <c r="H119" s="26" t="s">
        <v>2</v>
      </c>
      <c r="I119" s="27">
        <v>46078</v>
      </c>
      <c r="J119" s="2" t="s">
        <v>220</v>
      </c>
      <c r="K119" s="2" t="s">
        <v>29</v>
      </c>
      <c r="L119" s="28" t="s">
        <v>255</v>
      </c>
      <c r="M119" s="3">
        <v>5</v>
      </c>
      <c r="N119" s="3">
        <v>5</v>
      </c>
      <c r="O119" s="29">
        <v>1</v>
      </c>
      <c r="Q119" s="19" t="s">
        <v>23</v>
      </c>
    </row>
    <row r="120" spans="4:17" x14ac:dyDescent="0.4">
      <c r="D120" s="25" t="s">
        <v>192</v>
      </c>
      <c r="E120" s="2" t="s">
        <v>193</v>
      </c>
      <c r="F120" s="2" t="s">
        <v>194</v>
      </c>
      <c r="G120" s="2" t="s">
        <v>195</v>
      </c>
      <c r="H120" s="26" t="s">
        <v>2</v>
      </c>
      <c r="I120" s="27">
        <v>46078</v>
      </c>
      <c r="J120" s="2" t="s">
        <v>220</v>
      </c>
      <c r="K120" s="2" t="s">
        <v>29</v>
      </c>
      <c r="L120" s="28" t="s">
        <v>255</v>
      </c>
      <c r="M120" s="3">
        <v>5</v>
      </c>
      <c r="N120" s="3">
        <v>5</v>
      </c>
      <c r="O120" s="29">
        <v>1</v>
      </c>
      <c r="Q120" s="19" t="s">
        <v>23</v>
      </c>
    </row>
    <row r="121" spans="4:17" x14ac:dyDescent="0.4">
      <c r="D121" s="25" t="s">
        <v>197</v>
      </c>
      <c r="E121" s="2" t="s">
        <v>198</v>
      </c>
      <c r="F121" s="2" t="s">
        <v>199</v>
      </c>
      <c r="G121" s="2" t="s">
        <v>200</v>
      </c>
      <c r="H121" s="26" t="s">
        <v>2</v>
      </c>
      <c r="I121" s="27">
        <v>46078</v>
      </c>
      <c r="J121" s="2" t="s">
        <v>220</v>
      </c>
      <c r="K121" s="2" t="s">
        <v>29</v>
      </c>
      <c r="L121" s="28" t="s">
        <v>256</v>
      </c>
      <c r="M121" s="3">
        <v>4</v>
      </c>
      <c r="N121" s="3">
        <v>5</v>
      </c>
      <c r="O121" s="29">
        <v>0.8</v>
      </c>
      <c r="Q121" s="19" t="s">
        <v>23</v>
      </c>
    </row>
    <row r="122" spans="4:17" x14ac:dyDescent="0.4">
      <c r="D122" s="25" t="s">
        <v>201</v>
      </c>
      <c r="E122" s="2" t="s">
        <v>143</v>
      </c>
      <c r="F122" s="2" t="s">
        <v>202</v>
      </c>
      <c r="G122" s="2" t="s">
        <v>203</v>
      </c>
      <c r="H122" s="26" t="s">
        <v>2</v>
      </c>
      <c r="I122" s="27">
        <v>46078</v>
      </c>
      <c r="J122" s="2" t="s">
        <v>220</v>
      </c>
      <c r="K122" s="2" t="s">
        <v>29</v>
      </c>
      <c r="L122" s="28" t="s">
        <v>225</v>
      </c>
      <c r="M122" s="3">
        <v>0</v>
      </c>
      <c r="N122" s="3">
        <v>5</v>
      </c>
      <c r="O122" s="29">
        <v>0</v>
      </c>
      <c r="Q122" s="19" t="s">
        <v>23</v>
      </c>
    </row>
    <row r="123" spans="4:17" x14ac:dyDescent="0.4">
      <c r="D123" s="25" t="s">
        <v>205</v>
      </c>
      <c r="E123" s="2" t="s">
        <v>206</v>
      </c>
      <c r="F123" s="2" t="s">
        <v>207</v>
      </c>
      <c r="G123" s="2" t="s">
        <v>208</v>
      </c>
      <c r="H123" s="26" t="s">
        <v>2</v>
      </c>
      <c r="I123" s="27">
        <v>46078</v>
      </c>
      <c r="J123" s="2" t="s">
        <v>220</v>
      </c>
      <c r="K123" s="2" t="s">
        <v>29</v>
      </c>
      <c r="L123" s="28" t="s">
        <v>255</v>
      </c>
      <c r="M123" s="3">
        <v>5</v>
      </c>
      <c r="N123" s="3">
        <v>5</v>
      </c>
      <c r="O123" s="29">
        <v>1</v>
      </c>
      <c r="Q123" s="19" t="s">
        <v>23</v>
      </c>
    </row>
    <row r="124" spans="4:17" x14ac:dyDescent="0.4">
      <c r="D124" s="25" t="s">
        <v>210</v>
      </c>
      <c r="E124" s="2" t="s">
        <v>211</v>
      </c>
      <c r="F124" s="2" t="s">
        <v>212</v>
      </c>
      <c r="G124" s="2" t="s">
        <v>213</v>
      </c>
      <c r="H124" s="26" t="s">
        <v>2</v>
      </c>
      <c r="I124" s="27">
        <v>46078</v>
      </c>
      <c r="J124" s="2" t="s">
        <v>220</v>
      </c>
      <c r="K124" s="2" t="s">
        <v>29</v>
      </c>
      <c r="L124" s="28" t="s">
        <v>225</v>
      </c>
      <c r="M124" s="3">
        <v>0</v>
      </c>
      <c r="N124" s="3">
        <v>5</v>
      </c>
      <c r="O124" s="29">
        <v>0</v>
      </c>
      <c r="Q124" s="19" t="s">
        <v>23</v>
      </c>
    </row>
    <row r="125" spans="4:17" x14ac:dyDescent="0.4">
      <c r="D125" s="25" t="s">
        <v>215</v>
      </c>
      <c r="E125" s="2" t="s">
        <v>216</v>
      </c>
      <c r="F125" s="2" t="s">
        <v>217</v>
      </c>
      <c r="G125" s="2" t="s">
        <v>218</v>
      </c>
      <c r="H125" s="26" t="s">
        <v>2</v>
      </c>
      <c r="I125" s="27">
        <v>46078</v>
      </c>
      <c r="J125" s="2" t="s">
        <v>220</v>
      </c>
      <c r="K125" s="2" t="s">
        <v>29</v>
      </c>
      <c r="L125" s="28" t="s">
        <v>249</v>
      </c>
      <c r="M125" s="3">
        <v>5</v>
      </c>
      <c r="N125" s="3">
        <v>5</v>
      </c>
      <c r="O125" s="29">
        <v>1</v>
      </c>
      <c r="Q125" s="19" t="s">
        <v>23</v>
      </c>
    </row>
    <row r="126" spans="4:17" x14ac:dyDescent="0.4">
      <c r="D126" s="25" t="s">
        <v>24</v>
      </c>
      <c r="E126" s="2" t="s">
        <v>25</v>
      </c>
      <c r="F126" s="2" t="s">
        <v>26</v>
      </c>
      <c r="G126" s="2" t="s">
        <v>27</v>
      </c>
      <c r="H126" s="26" t="s">
        <v>3</v>
      </c>
      <c r="I126" s="27">
        <v>46071</v>
      </c>
      <c r="J126" s="2" t="s">
        <v>257</v>
      </c>
      <c r="K126" s="2" t="s">
        <v>29</v>
      </c>
      <c r="L126" s="28"/>
      <c r="M126" s="3">
        <v>50</v>
      </c>
      <c r="N126" s="3">
        <v>50</v>
      </c>
      <c r="O126" s="29">
        <v>1</v>
      </c>
      <c r="Q126" s="19" t="s">
        <v>23</v>
      </c>
    </row>
    <row r="127" spans="4:17" x14ac:dyDescent="0.4">
      <c r="D127" s="25" t="s">
        <v>31</v>
      </c>
      <c r="E127" s="2" t="s">
        <v>32</v>
      </c>
      <c r="F127" s="2" t="s">
        <v>33</v>
      </c>
      <c r="G127" s="2" t="s">
        <v>34</v>
      </c>
      <c r="H127" s="26" t="s">
        <v>3</v>
      </c>
      <c r="I127" s="27">
        <v>46071</v>
      </c>
      <c r="J127" s="2" t="s">
        <v>257</v>
      </c>
      <c r="K127" s="2" t="s">
        <v>29</v>
      </c>
      <c r="L127" s="28"/>
      <c r="M127" s="3">
        <v>0</v>
      </c>
      <c r="N127" s="3">
        <v>50</v>
      </c>
      <c r="O127" s="29">
        <v>0</v>
      </c>
      <c r="Q127" s="19" t="s">
        <v>23</v>
      </c>
    </row>
    <row r="128" spans="4:17" x14ac:dyDescent="0.4">
      <c r="D128" s="25" t="s">
        <v>36</v>
      </c>
      <c r="E128" s="2" t="s">
        <v>37</v>
      </c>
      <c r="F128" s="2" t="s">
        <v>38</v>
      </c>
      <c r="G128" s="2" t="s">
        <v>39</v>
      </c>
      <c r="H128" s="26" t="s">
        <v>3</v>
      </c>
      <c r="I128" s="27">
        <v>46071</v>
      </c>
      <c r="J128" s="2" t="s">
        <v>257</v>
      </c>
      <c r="K128" s="2" t="s">
        <v>29</v>
      </c>
      <c r="L128" s="28"/>
      <c r="M128" s="3">
        <v>50</v>
      </c>
      <c r="N128" s="3">
        <v>50</v>
      </c>
      <c r="O128" s="29">
        <v>1</v>
      </c>
      <c r="Q128" s="19" t="s">
        <v>23</v>
      </c>
    </row>
    <row r="129" spans="4:17" x14ac:dyDescent="0.4">
      <c r="D129" s="25" t="s">
        <v>41</v>
      </c>
      <c r="E129" s="2" t="s">
        <v>42</v>
      </c>
      <c r="F129" s="2" t="s">
        <v>43</v>
      </c>
      <c r="G129" s="2" t="s">
        <v>44</v>
      </c>
      <c r="H129" s="26" t="s">
        <v>3</v>
      </c>
      <c r="I129" s="27">
        <v>46071</v>
      </c>
      <c r="J129" s="2" t="s">
        <v>257</v>
      </c>
      <c r="K129" s="2" t="s">
        <v>29</v>
      </c>
      <c r="L129" s="28"/>
      <c r="M129" s="3">
        <v>50</v>
      </c>
      <c r="N129" s="3">
        <v>50</v>
      </c>
      <c r="O129" s="29">
        <v>1</v>
      </c>
      <c r="Q129" s="19" t="s">
        <v>23</v>
      </c>
    </row>
    <row r="130" spans="4:17" x14ac:dyDescent="0.4">
      <c r="D130" s="25" t="s">
        <v>46</v>
      </c>
      <c r="E130" s="2" t="s">
        <v>47</v>
      </c>
      <c r="F130" s="2" t="s">
        <v>48</v>
      </c>
      <c r="G130" s="2" t="s">
        <v>49</v>
      </c>
      <c r="H130" s="26" t="s">
        <v>3</v>
      </c>
      <c r="I130" s="27">
        <v>46071</v>
      </c>
      <c r="J130" s="2" t="s">
        <v>257</v>
      </c>
      <c r="K130" s="2" t="s">
        <v>29</v>
      </c>
      <c r="L130" s="28"/>
      <c r="M130" s="3">
        <v>50</v>
      </c>
      <c r="N130" s="3">
        <v>50</v>
      </c>
      <c r="O130" s="29">
        <v>1</v>
      </c>
      <c r="Q130" s="19" t="s">
        <v>23</v>
      </c>
    </row>
    <row r="131" spans="4:17" x14ac:dyDescent="0.4">
      <c r="D131" s="25" t="s">
        <v>51</v>
      </c>
      <c r="E131" s="2" t="s">
        <v>52</v>
      </c>
      <c r="F131" s="2" t="s">
        <v>53</v>
      </c>
      <c r="G131" s="2" t="s">
        <v>54</v>
      </c>
      <c r="H131" s="26" t="s">
        <v>3</v>
      </c>
      <c r="I131" s="27">
        <v>46071</v>
      </c>
      <c r="J131" s="2" t="s">
        <v>257</v>
      </c>
      <c r="K131" s="2" t="s">
        <v>29</v>
      </c>
      <c r="L131" s="28"/>
      <c r="M131" s="3">
        <v>50</v>
      </c>
      <c r="N131" s="3">
        <v>50</v>
      </c>
      <c r="O131" s="29">
        <v>1</v>
      </c>
      <c r="Q131" s="19" t="s">
        <v>23</v>
      </c>
    </row>
    <row r="132" spans="4:17" x14ac:dyDescent="0.4">
      <c r="D132" s="25" t="s">
        <v>56</v>
      </c>
      <c r="E132" s="2" t="s">
        <v>52</v>
      </c>
      <c r="F132" s="2" t="s">
        <v>57</v>
      </c>
      <c r="G132" s="2" t="s">
        <v>58</v>
      </c>
      <c r="H132" s="26" t="s">
        <v>3</v>
      </c>
      <c r="I132" s="27">
        <v>46071</v>
      </c>
      <c r="J132" s="2" t="s">
        <v>257</v>
      </c>
      <c r="K132" s="2" t="s">
        <v>29</v>
      </c>
      <c r="L132" s="28"/>
      <c r="M132" s="3">
        <v>50</v>
      </c>
      <c r="N132" s="3">
        <v>50</v>
      </c>
      <c r="O132" s="29">
        <v>1</v>
      </c>
      <c r="Q132" s="19" t="s">
        <v>23</v>
      </c>
    </row>
    <row r="133" spans="4:17" x14ac:dyDescent="0.4">
      <c r="D133" s="25" t="s">
        <v>60</v>
      </c>
      <c r="E133" s="2" t="s">
        <v>61</v>
      </c>
      <c r="F133" s="2" t="s">
        <v>62</v>
      </c>
      <c r="G133" s="2" t="s">
        <v>63</v>
      </c>
      <c r="H133" s="26" t="s">
        <v>3</v>
      </c>
      <c r="I133" s="27">
        <v>46071</v>
      </c>
      <c r="J133" s="2" t="s">
        <v>257</v>
      </c>
      <c r="K133" s="2" t="s">
        <v>29</v>
      </c>
      <c r="L133" s="28"/>
      <c r="M133" s="3">
        <v>50</v>
      </c>
      <c r="N133" s="3">
        <v>50</v>
      </c>
      <c r="O133" s="29">
        <v>1</v>
      </c>
      <c r="Q133" s="19" t="s">
        <v>23</v>
      </c>
    </row>
    <row r="134" spans="4:17" x14ac:dyDescent="0.4">
      <c r="D134" s="25" t="s">
        <v>65</v>
      </c>
      <c r="E134" s="2" t="s">
        <v>66</v>
      </c>
      <c r="F134" s="2" t="s">
        <v>67</v>
      </c>
      <c r="G134" s="2" t="s">
        <v>68</v>
      </c>
      <c r="H134" s="26" t="s">
        <v>3</v>
      </c>
      <c r="I134" s="27">
        <v>46071</v>
      </c>
      <c r="J134" s="2" t="s">
        <v>257</v>
      </c>
      <c r="K134" s="2" t="s">
        <v>29</v>
      </c>
      <c r="L134" s="28"/>
      <c r="M134" s="3">
        <v>50</v>
      </c>
      <c r="N134" s="3">
        <v>50</v>
      </c>
      <c r="O134" s="29">
        <v>1</v>
      </c>
      <c r="Q134" s="19" t="s">
        <v>23</v>
      </c>
    </row>
    <row r="135" spans="4:17" x14ac:dyDescent="0.4">
      <c r="D135" s="25" t="s">
        <v>70</v>
      </c>
      <c r="E135" s="2" t="s">
        <v>71</v>
      </c>
      <c r="F135" s="2" t="s">
        <v>72</v>
      </c>
      <c r="G135" s="2" t="s">
        <v>73</v>
      </c>
      <c r="H135" s="26" t="s">
        <v>3</v>
      </c>
      <c r="I135" s="27">
        <v>46071</v>
      </c>
      <c r="J135" s="2" t="s">
        <v>257</v>
      </c>
      <c r="K135" s="2" t="s">
        <v>29</v>
      </c>
      <c r="L135" s="28"/>
      <c r="M135" s="3">
        <v>50</v>
      </c>
      <c r="N135" s="3">
        <v>50</v>
      </c>
      <c r="O135" s="29">
        <v>1</v>
      </c>
      <c r="Q135" s="19" t="s">
        <v>23</v>
      </c>
    </row>
    <row r="136" spans="4:17" x14ac:dyDescent="0.4">
      <c r="D136" s="25" t="s">
        <v>75</v>
      </c>
      <c r="E136" s="2" t="s">
        <v>76</v>
      </c>
      <c r="F136" s="2" t="s">
        <v>77</v>
      </c>
      <c r="G136" s="2" t="s">
        <v>78</v>
      </c>
      <c r="H136" s="26" t="s">
        <v>3</v>
      </c>
      <c r="I136" s="27">
        <v>46071</v>
      </c>
      <c r="J136" s="2" t="s">
        <v>257</v>
      </c>
      <c r="K136" s="2" t="s">
        <v>29</v>
      </c>
      <c r="L136" s="28"/>
      <c r="M136" s="3">
        <v>50</v>
      </c>
      <c r="N136" s="3">
        <v>50</v>
      </c>
      <c r="O136" s="29">
        <v>1</v>
      </c>
      <c r="Q136" s="19" t="s">
        <v>23</v>
      </c>
    </row>
    <row r="137" spans="4:17" x14ac:dyDescent="0.4">
      <c r="D137" s="25" t="s">
        <v>80</v>
      </c>
      <c r="E137" s="2" t="s">
        <v>81</v>
      </c>
      <c r="F137" s="2" t="s">
        <v>82</v>
      </c>
      <c r="G137" s="2" t="s">
        <v>83</v>
      </c>
      <c r="H137" s="26" t="s">
        <v>3</v>
      </c>
      <c r="I137" s="27">
        <v>46071</v>
      </c>
      <c r="J137" s="2" t="s">
        <v>257</v>
      </c>
      <c r="K137" s="2" t="s">
        <v>29</v>
      </c>
      <c r="L137" s="28"/>
      <c r="M137" s="3">
        <v>0</v>
      </c>
      <c r="N137" s="3">
        <v>50</v>
      </c>
      <c r="O137" s="29">
        <v>0</v>
      </c>
      <c r="Q137" s="19" t="s">
        <v>23</v>
      </c>
    </row>
    <row r="138" spans="4:17" x14ac:dyDescent="0.4">
      <c r="D138" s="25" t="s">
        <v>85</v>
      </c>
      <c r="E138" s="2" t="s">
        <v>86</v>
      </c>
      <c r="F138" s="2" t="s">
        <v>87</v>
      </c>
      <c r="G138" s="2" t="s">
        <v>88</v>
      </c>
      <c r="H138" s="26" t="s">
        <v>3</v>
      </c>
      <c r="I138" s="27">
        <v>46071</v>
      </c>
      <c r="J138" s="2" t="s">
        <v>257</v>
      </c>
      <c r="K138" s="2" t="s">
        <v>29</v>
      </c>
      <c r="L138" s="28"/>
      <c r="M138" s="3">
        <v>0</v>
      </c>
      <c r="N138" s="3">
        <v>50</v>
      </c>
      <c r="O138" s="29">
        <v>0</v>
      </c>
      <c r="Q138" s="19" t="s">
        <v>23</v>
      </c>
    </row>
    <row r="139" spans="4:17" x14ac:dyDescent="0.4">
      <c r="D139" s="25" t="s">
        <v>89</v>
      </c>
      <c r="E139" s="2" t="s">
        <v>90</v>
      </c>
      <c r="F139" s="2" t="s">
        <v>91</v>
      </c>
      <c r="G139" s="2" t="s">
        <v>92</v>
      </c>
      <c r="H139" s="26" t="s">
        <v>3</v>
      </c>
      <c r="I139" s="27">
        <v>46071</v>
      </c>
      <c r="J139" s="2" t="s">
        <v>257</v>
      </c>
      <c r="K139" s="2" t="s">
        <v>29</v>
      </c>
      <c r="L139" s="28"/>
      <c r="M139" s="3">
        <v>40</v>
      </c>
      <c r="N139" s="3">
        <v>50</v>
      </c>
      <c r="O139" s="29">
        <v>0.8</v>
      </c>
      <c r="Q139" s="19" t="s">
        <v>23</v>
      </c>
    </row>
    <row r="140" spans="4:17" x14ac:dyDescent="0.4">
      <c r="D140" s="25" t="s">
        <v>94</v>
      </c>
      <c r="E140" s="2" t="s">
        <v>95</v>
      </c>
      <c r="F140" s="2" t="s">
        <v>96</v>
      </c>
      <c r="G140" s="2" t="s">
        <v>97</v>
      </c>
      <c r="H140" s="26" t="s">
        <v>3</v>
      </c>
      <c r="I140" s="27">
        <v>46071</v>
      </c>
      <c r="J140" s="2" t="s">
        <v>257</v>
      </c>
      <c r="K140" s="2" t="s">
        <v>29</v>
      </c>
      <c r="L140" s="28"/>
      <c r="M140" s="3">
        <v>50</v>
      </c>
      <c r="N140" s="3">
        <v>50</v>
      </c>
      <c r="O140" s="29">
        <v>1</v>
      </c>
      <c r="Q140" s="19" t="s">
        <v>23</v>
      </c>
    </row>
    <row r="141" spans="4:17" x14ac:dyDescent="0.4">
      <c r="D141" s="25" t="s">
        <v>99</v>
      </c>
      <c r="E141" s="2" t="s">
        <v>100</v>
      </c>
      <c r="F141" s="2" t="s">
        <v>101</v>
      </c>
      <c r="G141" s="2" t="s">
        <v>102</v>
      </c>
      <c r="H141" s="26" t="s">
        <v>3</v>
      </c>
      <c r="I141" s="27">
        <v>46071</v>
      </c>
      <c r="J141" s="2" t="s">
        <v>257</v>
      </c>
      <c r="K141" s="2" t="s">
        <v>29</v>
      </c>
      <c r="L141" s="28"/>
      <c r="M141" s="3">
        <v>50</v>
      </c>
      <c r="N141" s="3">
        <v>50</v>
      </c>
      <c r="O141" s="29">
        <v>1</v>
      </c>
      <c r="Q141" s="19" t="s">
        <v>23</v>
      </c>
    </row>
    <row r="142" spans="4:17" x14ac:dyDescent="0.4">
      <c r="D142" s="25" t="s">
        <v>104</v>
      </c>
      <c r="E142" s="2" t="s">
        <v>86</v>
      </c>
      <c r="F142" s="2" t="s">
        <v>105</v>
      </c>
      <c r="G142" s="2" t="s">
        <v>106</v>
      </c>
      <c r="H142" s="26" t="s">
        <v>3</v>
      </c>
      <c r="I142" s="27">
        <v>46071</v>
      </c>
      <c r="J142" s="2" t="s">
        <v>257</v>
      </c>
      <c r="K142" s="2" t="s">
        <v>29</v>
      </c>
      <c r="L142" s="28"/>
      <c r="M142" s="3">
        <v>50</v>
      </c>
      <c r="N142" s="3">
        <v>50</v>
      </c>
      <c r="O142" s="29">
        <v>1</v>
      </c>
      <c r="Q142" s="19" t="s">
        <v>23</v>
      </c>
    </row>
    <row r="143" spans="4:17" x14ac:dyDescent="0.4">
      <c r="D143" s="25" t="s">
        <v>107</v>
      </c>
      <c r="E143" s="2" t="s">
        <v>108</v>
      </c>
      <c r="F143" s="2" t="s">
        <v>109</v>
      </c>
      <c r="G143" s="2" t="s">
        <v>110</v>
      </c>
      <c r="H143" s="26" t="s">
        <v>3</v>
      </c>
      <c r="I143" s="27">
        <v>46071</v>
      </c>
      <c r="J143" s="2" t="s">
        <v>257</v>
      </c>
      <c r="K143" s="2" t="s">
        <v>29</v>
      </c>
      <c r="L143" s="28"/>
      <c r="M143" s="3">
        <v>50</v>
      </c>
      <c r="N143" s="3">
        <v>50</v>
      </c>
      <c r="O143" s="29">
        <v>1</v>
      </c>
      <c r="Q143" s="19" t="s">
        <v>23</v>
      </c>
    </row>
    <row r="144" spans="4:17" x14ac:dyDescent="0.4">
      <c r="D144" s="25" t="s">
        <v>112</v>
      </c>
      <c r="E144" s="2" t="s">
        <v>113</v>
      </c>
      <c r="F144" s="2" t="s">
        <v>114</v>
      </c>
      <c r="G144" s="2" t="s">
        <v>115</v>
      </c>
      <c r="H144" s="26" t="s">
        <v>3</v>
      </c>
      <c r="I144" s="27">
        <v>46071</v>
      </c>
      <c r="J144" s="2" t="s">
        <v>257</v>
      </c>
      <c r="K144" s="2" t="s">
        <v>29</v>
      </c>
      <c r="L144" s="28"/>
      <c r="M144" s="3">
        <v>50</v>
      </c>
      <c r="N144" s="3">
        <v>50</v>
      </c>
      <c r="O144" s="29">
        <v>1</v>
      </c>
      <c r="Q144" s="19" t="s">
        <v>23</v>
      </c>
    </row>
    <row r="145" spans="4:17" x14ac:dyDescent="0.4">
      <c r="D145" s="25" t="s">
        <v>117</v>
      </c>
      <c r="E145" s="2" t="s">
        <v>118</v>
      </c>
      <c r="F145" s="2" t="s">
        <v>119</v>
      </c>
      <c r="G145" s="2" t="s">
        <v>120</v>
      </c>
      <c r="H145" s="26" t="s">
        <v>3</v>
      </c>
      <c r="I145" s="27">
        <v>46071</v>
      </c>
      <c r="J145" s="2" t="s">
        <v>257</v>
      </c>
      <c r="K145" s="2" t="s">
        <v>29</v>
      </c>
      <c r="L145" s="28"/>
      <c r="M145" s="3">
        <v>50</v>
      </c>
      <c r="N145" s="3">
        <v>50</v>
      </c>
      <c r="O145" s="29">
        <v>1</v>
      </c>
      <c r="Q145" s="19" t="s">
        <v>23</v>
      </c>
    </row>
    <row r="146" spans="4:17" x14ac:dyDescent="0.4">
      <c r="D146" s="25" t="s">
        <v>122</v>
      </c>
      <c r="E146" s="2" t="s">
        <v>123</v>
      </c>
      <c r="F146" s="2" t="s">
        <v>124</v>
      </c>
      <c r="G146" s="2" t="s">
        <v>125</v>
      </c>
      <c r="H146" s="26" t="s">
        <v>3</v>
      </c>
      <c r="I146" s="27">
        <v>46071</v>
      </c>
      <c r="J146" s="2" t="s">
        <v>257</v>
      </c>
      <c r="K146" s="2" t="s">
        <v>29</v>
      </c>
      <c r="L146" s="28"/>
      <c r="M146" s="3">
        <v>50</v>
      </c>
      <c r="N146" s="3">
        <v>50</v>
      </c>
      <c r="O146" s="29">
        <v>1</v>
      </c>
      <c r="Q146" s="19" t="s">
        <v>23</v>
      </c>
    </row>
    <row r="147" spans="4:17" x14ac:dyDescent="0.4">
      <c r="D147" s="25" t="s">
        <v>127</v>
      </c>
      <c r="E147" s="2" t="s">
        <v>128</v>
      </c>
      <c r="F147" s="2" t="s">
        <v>129</v>
      </c>
      <c r="G147" s="2" t="s">
        <v>130</v>
      </c>
      <c r="H147" s="26" t="s">
        <v>3</v>
      </c>
      <c r="I147" s="27">
        <v>46071</v>
      </c>
      <c r="J147" s="2" t="s">
        <v>257</v>
      </c>
      <c r="K147" s="2" t="s">
        <v>29</v>
      </c>
      <c r="L147" s="28"/>
      <c r="M147" s="3">
        <v>50</v>
      </c>
      <c r="N147" s="3">
        <v>50</v>
      </c>
      <c r="O147" s="29">
        <v>1</v>
      </c>
      <c r="Q147" s="19" t="s">
        <v>23</v>
      </c>
    </row>
    <row r="148" spans="4:17" x14ac:dyDescent="0.4">
      <c r="D148" s="25" t="s">
        <v>132</v>
      </c>
      <c r="E148" s="2" t="s">
        <v>133</v>
      </c>
      <c r="F148" s="2" t="s">
        <v>134</v>
      </c>
      <c r="G148" s="2" t="s">
        <v>135</v>
      </c>
      <c r="H148" s="26" t="s">
        <v>3</v>
      </c>
      <c r="I148" s="27">
        <v>46071</v>
      </c>
      <c r="J148" s="2" t="s">
        <v>257</v>
      </c>
      <c r="K148" s="2" t="s">
        <v>29</v>
      </c>
      <c r="L148" s="28"/>
      <c r="M148" s="3">
        <v>50</v>
      </c>
      <c r="N148" s="3">
        <v>50</v>
      </c>
      <c r="O148" s="29">
        <v>1</v>
      </c>
      <c r="Q148" s="19" t="s">
        <v>23</v>
      </c>
    </row>
    <row r="149" spans="4:17" x14ac:dyDescent="0.4">
      <c r="D149" s="25" t="s">
        <v>137</v>
      </c>
      <c r="E149" s="2" t="s">
        <v>138</v>
      </c>
      <c r="F149" s="2" t="s">
        <v>139</v>
      </c>
      <c r="G149" s="2" t="s">
        <v>140</v>
      </c>
      <c r="H149" s="26" t="s">
        <v>3</v>
      </c>
      <c r="I149" s="27">
        <v>46071</v>
      </c>
      <c r="J149" s="2" t="s">
        <v>257</v>
      </c>
      <c r="K149" s="2" t="s">
        <v>29</v>
      </c>
      <c r="L149" s="28"/>
      <c r="M149" s="3">
        <v>50</v>
      </c>
      <c r="N149" s="3">
        <v>50</v>
      </c>
      <c r="O149" s="29">
        <v>1</v>
      </c>
      <c r="Q149" s="19" t="s">
        <v>23</v>
      </c>
    </row>
    <row r="150" spans="4:17" x14ac:dyDescent="0.4">
      <c r="D150" s="25" t="s">
        <v>142</v>
      </c>
      <c r="E150" s="2" t="s">
        <v>143</v>
      </c>
      <c r="F150" s="2" t="s">
        <v>144</v>
      </c>
      <c r="G150" s="2" t="s">
        <v>145</v>
      </c>
      <c r="H150" s="26" t="s">
        <v>3</v>
      </c>
      <c r="I150" s="27">
        <v>46071</v>
      </c>
      <c r="J150" s="2" t="s">
        <v>257</v>
      </c>
      <c r="K150" s="2" t="s">
        <v>29</v>
      </c>
      <c r="L150" s="28"/>
      <c r="M150" s="3">
        <v>50</v>
      </c>
      <c r="N150" s="3">
        <v>50</v>
      </c>
      <c r="O150" s="29">
        <v>1</v>
      </c>
      <c r="Q150" s="19" t="s">
        <v>23</v>
      </c>
    </row>
    <row r="151" spans="4:17" x14ac:dyDescent="0.4">
      <c r="D151" s="25" t="s">
        <v>147</v>
      </c>
      <c r="E151" s="2" t="s">
        <v>148</v>
      </c>
      <c r="F151" s="2" t="s">
        <v>149</v>
      </c>
      <c r="G151" s="2" t="s">
        <v>150</v>
      </c>
      <c r="H151" s="26" t="s">
        <v>3</v>
      </c>
      <c r="I151" s="27">
        <v>46071</v>
      </c>
      <c r="J151" s="2" t="s">
        <v>257</v>
      </c>
      <c r="K151" s="2" t="s">
        <v>29</v>
      </c>
      <c r="L151" s="28"/>
      <c r="M151" s="3">
        <v>50</v>
      </c>
      <c r="N151" s="3">
        <v>50</v>
      </c>
      <c r="O151" s="29">
        <v>1</v>
      </c>
      <c r="Q151" s="19" t="s">
        <v>23</v>
      </c>
    </row>
    <row r="152" spans="4:17" x14ac:dyDescent="0.4">
      <c r="D152" s="25" t="s">
        <v>152</v>
      </c>
      <c r="E152" s="2" t="s">
        <v>66</v>
      </c>
      <c r="F152" s="2" t="s">
        <v>153</v>
      </c>
      <c r="G152" s="2" t="s">
        <v>154</v>
      </c>
      <c r="H152" s="26" t="s">
        <v>3</v>
      </c>
      <c r="I152" s="27">
        <v>46071</v>
      </c>
      <c r="J152" s="2" t="s">
        <v>257</v>
      </c>
      <c r="K152" s="2" t="s">
        <v>29</v>
      </c>
      <c r="L152" s="28"/>
      <c r="M152" s="3">
        <v>50</v>
      </c>
      <c r="N152" s="3">
        <v>50</v>
      </c>
      <c r="O152" s="29">
        <v>1</v>
      </c>
      <c r="Q152" s="19" t="s">
        <v>23</v>
      </c>
    </row>
    <row r="153" spans="4:17" x14ac:dyDescent="0.4">
      <c r="D153" s="25" t="s">
        <v>156</v>
      </c>
      <c r="E153" s="2" t="s">
        <v>157</v>
      </c>
      <c r="F153" s="2" t="s">
        <v>158</v>
      </c>
      <c r="G153" s="2" t="s">
        <v>159</v>
      </c>
      <c r="H153" s="26" t="s">
        <v>3</v>
      </c>
      <c r="I153" s="27">
        <v>46071</v>
      </c>
      <c r="J153" s="2" t="s">
        <v>257</v>
      </c>
      <c r="K153" s="2" t="s">
        <v>29</v>
      </c>
      <c r="L153" s="28"/>
      <c r="M153" s="3">
        <v>0</v>
      </c>
      <c r="N153" s="3">
        <v>50</v>
      </c>
      <c r="O153" s="29">
        <v>0</v>
      </c>
      <c r="Q153" s="19" t="s">
        <v>23</v>
      </c>
    </row>
    <row r="154" spans="4:17" x14ac:dyDescent="0.4">
      <c r="D154" s="25" t="s">
        <v>160</v>
      </c>
      <c r="E154" s="2" t="s">
        <v>81</v>
      </c>
      <c r="F154" s="2" t="s">
        <v>161</v>
      </c>
      <c r="G154" s="2" t="s">
        <v>162</v>
      </c>
      <c r="H154" s="26" t="s">
        <v>3</v>
      </c>
      <c r="I154" s="27">
        <v>46071</v>
      </c>
      <c r="J154" s="2" t="s">
        <v>257</v>
      </c>
      <c r="K154" s="2" t="s">
        <v>29</v>
      </c>
      <c r="L154" s="28"/>
      <c r="M154" s="3">
        <v>50</v>
      </c>
      <c r="N154" s="3">
        <v>50</v>
      </c>
      <c r="O154" s="29">
        <v>1</v>
      </c>
      <c r="Q154" s="19" t="s">
        <v>23</v>
      </c>
    </row>
    <row r="155" spans="4:17" x14ac:dyDescent="0.4">
      <c r="D155" s="25" t="s">
        <v>163</v>
      </c>
      <c r="E155" s="2" t="s">
        <v>164</v>
      </c>
      <c r="F155" s="2" t="s">
        <v>165</v>
      </c>
      <c r="G155" s="2" t="s">
        <v>166</v>
      </c>
      <c r="H155" s="26" t="s">
        <v>3</v>
      </c>
      <c r="I155" s="27">
        <v>46071</v>
      </c>
      <c r="J155" s="2" t="s">
        <v>257</v>
      </c>
      <c r="K155" s="2" t="s">
        <v>29</v>
      </c>
      <c r="L155" s="28"/>
      <c r="M155" s="3">
        <v>50</v>
      </c>
      <c r="N155" s="3">
        <v>50</v>
      </c>
      <c r="O155" s="29">
        <v>1</v>
      </c>
      <c r="Q155" s="19" t="s">
        <v>23</v>
      </c>
    </row>
    <row r="156" spans="4:17" x14ac:dyDescent="0.4">
      <c r="D156" s="25" t="s">
        <v>168</v>
      </c>
      <c r="E156" s="2" t="s">
        <v>169</v>
      </c>
      <c r="F156" s="2" t="s">
        <v>170</v>
      </c>
      <c r="G156" s="2" t="s">
        <v>171</v>
      </c>
      <c r="H156" s="26" t="s">
        <v>3</v>
      </c>
      <c r="I156" s="27">
        <v>46071</v>
      </c>
      <c r="J156" s="2" t="s">
        <v>257</v>
      </c>
      <c r="K156" s="2" t="s">
        <v>29</v>
      </c>
      <c r="L156" s="28"/>
      <c r="M156" s="3">
        <v>50</v>
      </c>
      <c r="N156" s="3">
        <v>50</v>
      </c>
      <c r="O156" s="29">
        <v>1</v>
      </c>
      <c r="Q156" s="19" t="s">
        <v>23</v>
      </c>
    </row>
    <row r="157" spans="4:17" x14ac:dyDescent="0.4">
      <c r="D157" s="25" t="s">
        <v>173</v>
      </c>
      <c r="E157" s="2" t="s">
        <v>174</v>
      </c>
      <c r="F157" s="2" t="s">
        <v>175</v>
      </c>
      <c r="G157" s="2" t="s">
        <v>176</v>
      </c>
      <c r="H157" s="26" t="s">
        <v>3</v>
      </c>
      <c r="I157" s="27">
        <v>46071</v>
      </c>
      <c r="J157" s="2" t="s">
        <v>257</v>
      </c>
      <c r="K157" s="2" t="s">
        <v>29</v>
      </c>
      <c r="L157" s="28"/>
      <c r="M157" s="3">
        <v>50</v>
      </c>
      <c r="N157" s="3">
        <v>50</v>
      </c>
      <c r="O157" s="29">
        <v>1</v>
      </c>
      <c r="Q157" s="19" t="s">
        <v>23</v>
      </c>
    </row>
    <row r="158" spans="4:17" x14ac:dyDescent="0.4">
      <c r="D158" s="25" t="s">
        <v>178</v>
      </c>
      <c r="E158" s="2" t="s">
        <v>179</v>
      </c>
      <c r="F158" s="2" t="s">
        <v>180</v>
      </c>
      <c r="G158" s="2" t="s">
        <v>181</v>
      </c>
      <c r="H158" s="26" t="s">
        <v>3</v>
      </c>
      <c r="I158" s="27">
        <v>46071</v>
      </c>
      <c r="J158" s="2" t="s">
        <v>257</v>
      </c>
      <c r="K158" s="2" t="s">
        <v>29</v>
      </c>
      <c r="L158" s="28"/>
      <c r="M158" s="3">
        <v>50</v>
      </c>
      <c r="N158" s="3">
        <v>50</v>
      </c>
      <c r="O158" s="29">
        <v>1</v>
      </c>
      <c r="Q158" s="19" t="s">
        <v>23</v>
      </c>
    </row>
    <row r="159" spans="4:17" x14ac:dyDescent="0.4">
      <c r="D159" s="25" t="s">
        <v>183</v>
      </c>
      <c r="E159" s="2" t="s">
        <v>184</v>
      </c>
      <c r="F159" s="2" t="s">
        <v>185</v>
      </c>
      <c r="G159" s="2" t="s">
        <v>186</v>
      </c>
      <c r="H159" s="26" t="s">
        <v>3</v>
      </c>
      <c r="I159" s="27">
        <v>46071</v>
      </c>
      <c r="J159" s="2" t="s">
        <v>257</v>
      </c>
      <c r="K159" s="2" t="s">
        <v>29</v>
      </c>
      <c r="L159" s="28"/>
      <c r="M159" s="3">
        <v>0</v>
      </c>
      <c r="N159" s="3">
        <v>50</v>
      </c>
      <c r="O159" s="29">
        <v>0</v>
      </c>
      <c r="Q159" s="19" t="s">
        <v>23</v>
      </c>
    </row>
    <row r="160" spans="4:17" x14ac:dyDescent="0.4">
      <c r="D160" s="25" t="s">
        <v>187</v>
      </c>
      <c r="E160" s="2" t="s">
        <v>188</v>
      </c>
      <c r="F160" s="2" t="s">
        <v>189</v>
      </c>
      <c r="G160" s="2" t="s">
        <v>190</v>
      </c>
      <c r="H160" s="26" t="s">
        <v>3</v>
      </c>
      <c r="I160" s="27">
        <v>46071</v>
      </c>
      <c r="J160" s="2" t="s">
        <v>257</v>
      </c>
      <c r="K160" s="2" t="s">
        <v>29</v>
      </c>
      <c r="L160" s="28"/>
      <c r="M160" s="3">
        <v>50</v>
      </c>
      <c r="N160" s="3">
        <v>50</v>
      </c>
      <c r="O160" s="29">
        <v>1</v>
      </c>
      <c r="Q160" s="19" t="s">
        <v>23</v>
      </c>
    </row>
    <row r="161" spans="4:17" x14ac:dyDescent="0.4">
      <c r="D161" s="25" t="s">
        <v>192</v>
      </c>
      <c r="E161" s="2" t="s">
        <v>193</v>
      </c>
      <c r="F161" s="2" t="s">
        <v>194</v>
      </c>
      <c r="G161" s="2" t="s">
        <v>195</v>
      </c>
      <c r="H161" s="26" t="s">
        <v>3</v>
      </c>
      <c r="I161" s="27">
        <v>46071</v>
      </c>
      <c r="J161" s="2" t="s">
        <v>257</v>
      </c>
      <c r="K161" s="2" t="s">
        <v>29</v>
      </c>
      <c r="L161" s="28"/>
      <c r="M161" s="3">
        <v>50</v>
      </c>
      <c r="N161" s="3">
        <v>50</v>
      </c>
      <c r="O161" s="29">
        <v>1</v>
      </c>
      <c r="Q161" s="19" t="s">
        <v>23</v>
      </c>
    </row>
    <row r="162" spans="4:17" x14ac:dyDescent="0.4">
      <c r="D162" s="25" t="s">
        <v>197</v>
      </c>
      <c r="E162" s="2" t="s">
        <v>198</v>
      </c>
      <c r="F162" s="2" t="s">
        <v>199</v>
      </c>
      <c r="G162" s="2" t="s">
        <v>200</v>
      </c>
      <c r="H162" s="26" t="s">
        <v>3</v>
      </c>
      <c r="I162" s="27">
        <v>46071</v>
      </c>
      <c r="J162" s="2" t="s">
        <v>257</v>
      </c>
      <c r="K162" s="2" t="s">
        <v>29</v>
      </c>
      <c r="L162" s="28"/>
      <c r="M162" s="3">
        <v>50</v>
      </c>
      <c r="N162" s="3">
        <v>50</v>
      </c>
      <c r="O162" s="29">
        <v>1</v>
      </c>
      <c r="Q162" s="19" t="s">
        <v>23</v>
      </c>
    </row>
    <row r="163" spans="4:17" x14ac:dyDescent="0.4">
      <c r="D163" s="25" t="s">
        <v>201</v>
      </c>
      <c r="E163" s="2" t="s">
        <v>143</v>
      </c>
      <c r="F163" s="2" t="s">
        <v>202</v>
      </c>
      <c r="G163" s="2" t="s">
        <v>203</v>
      </c>
      <c r="H163" s="26" t="s">
        <v>3</v>
      </c>
      <c r="I163" s="27">
        <v>46071</v>
      </c>
      <c r="J163" s="2" t="s">
        <v>257</v>
      </c>
      <c r="K163" s="2" t="s">
        <v>29</v>
      </c>
      <c r="L163" s="28"/>
      <c r="M163" s="3">
        <v>0</v>
      </c>
      <c r="N163" s="3">
        <v>50</v>
      </c>
      <c r="O163" s="29">
        <v>0</v>
      </c>
      <c r="Q163" s="19" t="s">
        <v>23</v>
      </c>
    </row>
    <row r="164" spans="4:17" x14ac:dyDescent="0.4">
      <c r="D164" s="25" t="s">
        <v>205</v>
      </c>
      <c r="E164" s="2" t="s">
        <v>206</v>
      </c>
      <c r="F164" s="2" t="s">
        <v>207</v>
      </c>
      <c r="G164" s="2" t="s">
        <v>208</v>
      </c>
      <c r="H164" s="26" t="s">
        <v>3</v>
      </c>
      <c r="I164" s="27">
        <v>46071</v>
      </c>
      <c r="J164" s="2" t="s">
        <v>257</v>
      </c>
      <c r="K164" s="2" t="s">
        <v>29</v>
      </c>
      <c r="L164" s="28"/>
      <c r="M164" s="3">
        <v>50</v>
      </c>
      <c r="N164" s="3">
        <v>50</v>
      </c>
      <c r="O164" s="29">
        <v>1</v>
      </c>
      <c r="Q164" s="19" t="s">
        <v>23</v>
      </c>
    </row>
    <row r="165" spans="4:17" x14ac:dyDescent="0.4">
      <c r="D165" s="25" t="s">
        <v>210</v>
      </c>
      <c r="E165" s="2" t="s">
        <v>211</v>
      </c>
      <c r="F165" s="2" t="s">
        <v>212</v>
      </c>
      <c r="G165" s="2" t="s">
        <v>213</v>
      </c>
      <c r="H165" s="26" t="s">
        <v>3</v>
      </c>
      <c r="I165" s="27">
        <v>46071</v>
      </c>
      <c r="J165" s="2" t="s">
        <v>257</v>
      </c>
      <c r="K165" s="2" t="s">
        <v>29</v>
      </c>
      <c r="L165" s="28"/>
      <c r="M165" s="3">
        <v>50</v>
      </c>
      <c r="N165" s="3">
        <v>50</v>
      </c>
      <c r="O165" s="29">
        <v>1</v>
      </c>
      <c r="Q165" s="19" t="s">
        <v>23</v>
      </c>
    </row>
    <row r="166" spans="4:17" x14ac:dyDescent="0.4">
      <c r="D166" s="25" t="s">
        <v>215</v>
      </c>
      <c r="E166" s="2" t="s">
        <v>216</v>
      </c>
      <c r="F166" s="2" t="s">
        <v>217</v>
      </c>
      <c r="G166" s="2" t="s">
        <v>218</v>
      </c>
      <c r="H166" s="26" t="s">
        <v>3</v>
      </c>
      <c r="I166" s="27">
        <v>46071</v>
      </c>
      <c r="J166" s="2" t="s">
        <v>257</v>
      </c>
      <c r="K166" s="2" t="s">
        <v>29</v>
      </c>
      <c r="L166" s="28"/>
      <c r="M166" s="3">
        <v>50</v>
      </c>
      <c r="N166" s="3">
        <v>50</v>
      </c>
      <c r="O166" s="29">
        <v>1</v>
      </c>
      <c r="Q166" s="19" t="s">
        <v>23</v>
      </c>
    </row>
    <row r="167" spans="4:17" x14ac:dyDescent="0.4">
      <c r="D167" s="25" t="s">
        <v>24</v>
      </c>
      <c r="E167" s="2" t="s">
        <v>25</v>
      </c>
      <c r="F167" s="2" t="s">
        <v>26</v>
      </c>
      <c r="G167" s="2" t="s">
        <v>27</v>
      </c>
      <c r="H167" s="26" t="s">
        <v>4</v>
      </c>
      <c r="I167" s="27">
        <v>46078</v>
      </c>
      <c r="J167" s="2" t="s">
        <v>258</v>
      </c>
      <c r="K167" s="2" t="s">
        <v>29</v>
      </c>
      <c r="L167" s="28" t="s">
        <v>259</v>
      </c>
      <c r="M167" s="3">
        <v>50</v>
      </c>
      <c r="N167" s="3">
        <v>50</v>
      </c>
      <c r="O167" s="29">
        <v>1</v>
      </c>
      <c r="Q167" s="19" t="s">
        <v>23</v>
      </c>
    </row>
    <row r="168" spans="4:17" x14ac:dyDescent="0.4">
      <c r="D168" s="25" t="s">
        <v>31</v>
      </c>
      <c r="E168" s="2" t="s">
        <v>32</v>
      </c>
      <c r="F168" s="2" t="s">
        <v>33</v>
      </c>
      <c r="G168" s="2" t="s">
        <v>34</v>
      </c>
      <c r="H168" s="26" t="s">
        <v>4</v>
      </c>
      <c r="I168" s="27">
        <v>46078</v>
      </c>
      <c r="J168" s="2" t="s">
        <v>258</v>
      </c>
      <c r="K168" s="2" t="s">
        <v>29</v>
      </c>
      <c r="L168" s="28" t="s">
        <v>260</v>
      </c>
      <c r="M168" s="3">
        <v>35</v>
      </c>
      <c r="N168" s="3">
        <v>50</v>
      </c>
      <c r="O168" s="29">
        <v>0.7</v>
      </c>
      <c r="Q168" s="19" t="s">
        <v>23</v>
      </c>
    </row>
    <row r="169" spans="4:17" x14ac:dyDescent="0.4">
      <c r="D169" s="25" t="s">
        <v>36</v>
      </c>
      <c r="E169" s="2" t="s">
        <v>37</v>
      </c>
      <c r="F169" s="2" t="s">
        <v>38</v>
      </c>
      <c r="G169" s="2" t="s">
        <v>39</v>
      </c>
      <c r="H169" s="26" t="s">
        <v>4</v>
      </c>
      <c r="I169" s="27">
        <v>46078</v>
      </c>
      <c r="J169" s="2" t="s">
        <v>258</v>
      </c>
      <c r="K169" s="2" t="s">
        <v>29</v>
      </c>
      <c r="L169" s="28" t="s">
        <v>261</v>
      </c>
      <c r="M169" s="3">
        <v>40</v>
      </c>
      <c r="N169" s="3">
        <v>50</v>
      </c>
      <c r="O169" s="29">
        <v>0.8</v>
      </c>
      <c r="Q169" s="19" t="s">
        <v>23</v>
      </c>
    </row>
    <row r="170" spans="4:17" x14ac:dyDescent="0.4">
      <c r="D170" s="25" t="s">
        <v>41</v>
      </c>
      <c r="E170" s="2" t="s">
        <v>42</v>
      </c>
      <c r="F170" s="2" t="s">
        <v>43</v>
      </c>
      <c r="G170" s="2" t="s">
        <v>44</v>
      </c>
      <c r="H170" s="26" t="s">
        <v>4</v>
      </c>
      <c r="I170" s="27">
        <v>46078</v>
      </c>
      <c r="J170" s="2" t="s">
        <v>258</v>
      </c>
      <c r="K170" s="2" t="s">
        <v>29</v>
      </c>
      <c r="L170" s="28" t="s">
        <v>262</v>
      </c>
      <c r="M170" s="3">
        <v>30</v>
      </c>
      <c r="N170" s="3">
        <v>50</v>
      </c>
      <c r="O170" s="29">
        <v>0.6</v>
      </c>
      <c r="Q170" s="19" t="s">
        <v>23</v>
      </c>
    </row>
    <row r="171" spans="4:17" x14ac:dyDescent="0.4">
      <c r="D171" s="25" t="s">
        <v>46</v>
      </c>
      <c r="E171" s="2" t="s">
        <v>47</v>
      </c>
      <c r="F171" s="2" t="s">
        <v>48</v>
      </c>
      <c r="G171" s="2" t="s">
        <v>49</v>
      </c>
      <c r="H171" s="26" t="s">
        <v>4</v>
      </c>
      <c r="I171" s="27">
        <v>46078</v>
      </c>
      <c r="J171" s="2" t="s">
        <v>258</v>
      </c>
      <c r="K171" s="2" t="s">
        <v>29</v>
      </c>
      <c r="L171" s="28" t="s">
        <v>262</v>
      </c>
      <c r="M171" s="3">
        <v>30</v>
      </c>
      <c r="N171" s="3">
        <v>50</v>
      </c>
      <c r="O171" s="29">
        <v>0.6</v>
      </c>
      <c r="Q171" s="19" t="s">
        <v>23</v>
      </c>
    </row>
    <row r="172" spans="4:17" x14ac:dyDescent="0.4">
      <c r="D172" s="25" t="s">
        <v>51</v>
      </c>
      <c r="E172" s="2" t="s">
        <v>52</v>
      </c>
      <c r="F172" s="2" t="s">
        <v>53</v>
      </c>
      <c r="G172" s="2" t="s">
        <v>54</v>
      </c>
      <c r="H172" s="26" t="s">
        <v>4</v>
      </c>
      <c r="I172" s="27">
        <v>46078</v>
      </c>
      <c r="J172" s="2" t="s">
        <v>258</v>
      </c>
      <c r="K172" s="2" t="s">
        <v>29</v>
      </c>
      <c r="L172" s="28" t="s">
        <v>263</v>
      </c>
      <c r="M172" s="3">
        <v>0</v>
      </c>
      <c r="N172" s="3">
        <v>50</v>
      </c>
      <c r="O172" s="29">
        <v>0</v>
      </c>
      <c r="Q172" s="19" t="s">
        <v>23</v>
      </c>
    </row>
    <row r="173" spans="4:17" x14ac:dyDescent="0.4">
      <c r="D173" s="25" t="s">
        <v>56</v>
      </c>
      <c r="E173" s="2" t="s">
        <v>52</v>
      </c>
      <c r="F173" s="2" t="s">
        <v>57</v>
      </c>
      <c r="G173" s="2" t="s">
        <v>58</v>
      </c>
      <c r="H173" s="26" t="s">
        <v>4</v>
      </c>
      <c r="I173" s="27">
        <v>46078</v>
      </c>
      <c r="J173" s="2" t="s">
        <v>258</v>
      </c>
      <c r="K173" s="2" t="s">
        <v>29</v>
      </c>
      <c r="L173" s="28" t="s">
        <v>264</v>
      </c>
      <c r="M173" s="3">
        <v>50</v>
      </c>
      <c r="N173" s="3">
        <v>50</v>
      </c>
      <c r="O173" s="29">
        <v>1</v>
      </c>
      <c r="Q173" s="19" t="s">
        <v>23</v>
      </c>
    </row>
    <row r="174" spans="4:17" x14ac:dyDescent="0.4">
      <c r="D174" s="25" t="s">
        <v>60</v>
      </c>
      <c r="E174" s="2" t="s">
        <v>61</v>
      </c>
      <c r="F174" s="2" t="s">
        <v>62</v>
      </c>
      <c r="G174" s="2" t="s">
        <v>63</v>
      </c>
      <c r="H174" s="26" t="s">
        <v>4</v>
      </c>
      <c r="I174" s="27">
        <v>46078</v>
      </c>
      <c r="J174" s="2" t="s">
        <v>258</v>
      </c>
      <c r="K174" s="2" t="s">
        <v>29</v>
      </c>
      <c r="L174" s="28" t="s">
        <v>265</v>
      </c>
      <c r="M174" s="3">
        <v>10</v>
      </c>
      <c r="N174" s="3">
        <v>50</v>
      </c>
      <c r="O174" s="29">
        <v>0.2</v>
      </c>
      <c r="Q174" s="19" t="s">
        <v>23</v>
      </c>
    </row>
    <row r="175" spans="4:17" x14ac:dyDescent="0.4">
      <c r="D175" s="25" t="s">
        <v>65</v>
      </c>
      <c r="E175" s="2" t="s">
        <v>66</v>
      </c>
      <c r="F175" s="2" t="s">
        <v>67</v>
      </c>
      <c r="G175" s="2" t="s">
        <v>68</v>
      </c>
      <c r="H175" s="26" t="s">
        <v>4</v>
      </c>
      <c r="I175" s="27">
        <v>46078</v>
      </c>
      <c r="J175" s="2" t="s">
        <v>258</v>
      </c>
      <c r="K175" s="2" t="s">
        <v>29</v>
      </c>
      <c r="L175" s="28" t="s">
        <v>266</v>
      </c>
      <c r="M175" s="3">
        <v>50</v>
      </c>
      <c r="N175" s="3">
        <v>50</v>
      </c>
      <c r="O175" s="29">
        <v>1</v>
      </c>
      <c r="Q175" s="19" t="s">
        <v>23</v>
      </c>
    </row>
    <row r="176" spans="4:17" x14ac:dyDescent="0.4">
      <c r="D176" s="25" t="s">
        <v>70</v>
      </c>
      <c r="E176" s="2" t="s">
        <v>71</v>
      </c>
      <c r="F176" s="2" t="s">
        <v>72</v>
      </c>
      <c r="G176" s="2" t="s">
        <v>73</v>
      </c>
      <c r="H176" s="26" t="s">
        <v>4</v>
      </c>
      <c r="I176" s="27">
        <v>46078</v>
      </c>
      <c r="J176" s="2" t="s">
        <v>258</v>
      </c>
      <c r="K176" s="2" t="s">
        <v>29</v>
      </c>
      <c r="L176" s="28" t="s">
        <v>266</v>
      </c>
      <c r="M176" s="3">
        <v>50</v>
      </c>
      <c r="N176" s="3">
        <v>50</v>
      </c>
      <c r="O176" s="29">
        <v>1</v>
      </c>
      <c r="Q176" s="19" t="s">
        <v>23</v>
      </c>
    </row>
    <row r="177" spans="4:17" x14ac:dyDescent="0.4">
      <c r="D177" s="25" t="s">
        <v>75</v>
      </c>
      <c r="E177" s="2" t="s">
        <v>76</v>
      </c>
      <c r="F177" s="2" t="s">
        <v>77</v>
      </c>
      <c r="G177" s="2" t="s">
        <v>78</v>
      </c>
      <c r="H177" s="26" t="s">
        <v>4</v>
      </c>
      <c r="I177" s="27">
        <v>46078</v>
      </c>
      <c r="J177" s="2" t="s">
        <v>258</v>
      </c>
      <c r="K177" s="2" t="s">
        <v>29</v>
      </c>
      <c r="L177" s="28" t="s">
        <v>267</v>
      </c>
      <c r="M177" s="3">
        <v>55</v>
      </c>
      <c r="N177" s="3">
        <v>50</v>
      </c>
      <c r="O177" s="29">
        <v>1.1000000000000001</v>
      </c>
      <c r="Q177" s="19" t="s">
        <v>23</v>
      </c>
    </row>
    <row r="178" spans="4:17" x14ac:dyDescent="0.4">
      <c r="D178" s="25" t="s">
        <v>80</v>
      </c>
      <c r="E178" s="2" t="s">
        <v>81</v>
      </c>
      <c r="F178" s="2" t="s">
        <v>82</v>
      </c>
      <c r="G178" s="2" t="s">
        <v>83</v>
      </c>
      <c r="H178" s="26" t="s">
        <v>4</v>
      </c>
      <c r="I178" s="27">
        <v>46078</v>
      </c>
      <c r="J178" s="2" t="s">
        <v>258</v>
      </c>
      <c r="K178" s="2" t="s">
        <v>29</v>
      </c>
      <c r="L178" s="28" t="s">
        <v>261</v>
      </c>
      <c r="M178" s="3">
        <v>40</v>
      </c>
      <c r="N178" s="3">
        <v>50</v>
      </c>
      <c r="O178" s="29">
        <v>0.8</v>
      </c>
      <c r="Q178" s="19" t="s">
        <v>23</v>
      </c>
    </row>
    <row r="179" spans="4:17" x14ac:dyDescent="0.4">
      <c r="D179" s="25" t="s">
        <v>85</v>
      </c>
      <c r="E179" s="2" t="s">
        <v>86</v>
      </c>
      <c r="F179" s="2" t="s">
        <v>87</v>
      </c>
      <c r="G179" s="2" t="s">
        <v>88</v>
      </c>
      <c r="H179" s="26" t="s">
        <v>4</v>
      </c>
      <c r="I179" s="27">
        <v>46078</v>
      </c>
      <c r="J179" s="2" t="s">
        <v>258</v>
      </c>
      <c r="K179" s="2" t="s">
        <v>29</v>
      </c>
      <c r="L179" s="28" t="s">
        <v>268</v>
      </c>
      <c r="M179" s="3">
        <v>55</v>
      </c>
      <c r="N179" s="3">
        <v>50</v>
      </c>
      <c r="O179" s="29">
        <v>1.1000000000000001</v>
      </c>
      <c r="Q179" s="19" t="s">
        <v>23</v>
      </c>
    </row>
    <row r="180" spans="4:17" x14ac:dyDescent="0.4">
      <c r="D180" s="25" t="s">
        <v>89</v>
      </c>
      <c r="E180" s="2" t="s">
        <v>90</v>
      </c>
      <c r="F180" s="2" t="s">
        <v>91</v>
      </c>
      <c r="G180" s="2" t="s">
        <v>92</v>
      </c>
      <c r="H180" s="26" t="s">
        <v>4</v>
      </c>
      <c r="I180" s="27">
        <v>46078</v>
      </c>
      <c r="J180" s="2" t="s">
        <v>258</v>
      </c>
      <c r="K180" s="2" t="s">
        <v>29</v>
      </c>
      <c r="L180" s="28" t="s">
        <v>263</v>
      </c>
      <c r="M180" s="3">
        <v>0</v>
      </c>
      <c r="N180" s="3">
        <v>50</v>
      </c>
      <c r="O180" s="29">
        <v>0</v>
      </c>
      <c r="Q180" s="19" t="s">
        <v>23</v>
      </c>
    </row>
    <row r="181" spans="4:17" x14ac:dyDescent="0.4">
      <c r="D181" s="25" t="s">
        <v>94</v>
      </c>
      <c r="E181" s="2" t="s">
        <v>95</v>
      </c>
      <c r="F181" s="2" t="s">
        <v>96</v>
      </c>
      <c r="G181" s="2" t="s">
        <v>97</v>
      </c>
      <c r="H181" s="26" t="s">
        <v>4</v>
      </c>
      <c r="I181" s="27">
        <v>46078</v>
      </c>
      <c r="J181" s="2" t="s">
        <v>258</v>
      </c>
      <c r="K181" s="2" t="s">
        <v>29</v>
      </c>
      <c r="L181" s="28" t="s">
        <v>269</v>
      </c>
      <c r="M181" s="3">
        <v>0</v>
      </c>
      <c r="N181" s="3">
        <v>50</v>
      </c>
      <c r="O181" s="29">
        <v>0</v>
      </c>
      <c r="Q181" s="19" t="s">
        <v>23</v>
      </c>
    </row>
    <row r="182" spans="4:17" x14ac:dyDescent="0.4">
      <c r="D182" s="25" t="s">
        <v>99</v>
      </c>
      <c r="E182" s="2" t="s">
        <v>100</v>
      </c>
      <c r="F182" s="2" t="s">
        <v>101</v>
      </c>
      <c r="G182" s="2" t="s">
        <v>102</v>
      </c>
      <c r="H182" s="26" t="s">
        <v>4</v>
      </c>
      <c r="I182" s="27">
        <v>46078</v>
      </c>
      <c r="J182" s="2" t="s">
        <v>258</v>
      </c>
      <c r="K182" s="2" t="s">
        <v>29</v>
      </c>
      <c r="L182" s="28" t="s">
        <v>264</v>
      </c>
      <c r="M182" s="3">
        <v>50</v>
      </c>
      <c r="N182" s="3">
        <v>50</v>
      </c>
      <c r="O182" s="29">
        <v>1</v>
      </c>
      <c r="Q182" s="19" t="s">
        <v>23</v>
      </c>
    </row>
    <row r="183" spans="4:17" x14ac:dyDescent="0.4">
      <c r="D183" s="25" t="s">
        <v>104</v>
      </c>
      <c r="E183" s="2" t="s">
        <v>86</v>
      </c>
      <c r="F183" s="2" t="s">
        <v>105</v>
      </c>
      <c r="G183" s="2" t="s">
        <v>106</v>
      </c>
      <c r="H183" s="26" t="s">
        <v>4</v>
      </c>
      <c r="I183" s="27">
        <v>46078</v>
      </c>
      <c r="J183" s="2" t="s">
        <v>258</v>
      </c>
      <c r="K183" s="2" t="s">
        <v>29</v>
      </c>
      <c r="L183" s="28" t="s">
        <v>268</v>
      </c>
      <c r="M183" s="3">
        <v>55</v>
      </c>
      <c r="N183" s="3">
        <v>50</v>
      </c>
      <c r="O183" s="29">
        <v>1.1000000000000001</v>
      </c>
      <c r="Q183" s="19" t="s">
        <v>23</v>
      </c>
    </row>
    <row r="184" spans="4:17" x14ac:dyDescent="0.4">
      <c r="D184" s="25" t="s">
        <v>107</v>
      </c>
      <c r="E184" s="2" t="s">
        <v>108</v>
      </c>
      <c r="F184" s="2" t="s">
        <v>109</v>
      </c>
      <c r="G184" s="2" t="s">
        <v>110</v>
      </c>
      <c r="H184" s="26" t="s">
        <v>4</v>
      </c>
      <c r="I184" s="27">
        <v>46078</v>
      </c>
      <c r="J184" s="2" t="s">
        <v>258</v>
      </c>
      <c r="K184" s="2" t="s">
        <v>29</v>
      </c>
      <c r="L184" s="28" t="s">
        <v>270</v>
      </c>
      <c r="M184" s="3">
        <v>55</v>
      </c>
      <c r="N184" s="3">
        <v>50</v>
      </c>
      <c r="O184" s="29">
        <v>1.1000000000000001</v>
      </c>
      <c r="Q184" s="19" t="s">
        <v>23</v>
      </c>
    </row>
    <row r="185" spans="4:17" x14ac:dyDescent="0.4">
      <c r="D185" s="25" t="s">
        <v>112</v>
      </c>
      <c r="E185" s="2" t="s">
        <v>113</v>
      </c>
      <c r="F185" s="2" t="s">
        <v>114</v>
      </c>
      <c r="G185" s="2" t="s">
        <v>115</v>
      </c>
      <c r="H185" s="26" t="s">
        <v>4</v>
      </c>
      <c r="I185" s="27">
        <v>46078</v>
      </c>
      <c r="J185" s="2" t="s">
        <v>258</v>
      </c>
      <c r="K185" s="2" t="s">
        <v>29</v>
      </c>
      <c r="L185" s="28" t="s">
        <v>271</v>
      </c>
      <c r="M185" s="3">
        <v>38</v>
      </c>
      <c r="N185" s="3">
        <v>50</v>
      </c>
      <c r="O185" s="29">
        <v>0.76</v>
      </c>
      <c r="Q185" s="19" t="s">
        <v>23</v>
      </c>
    </row>
    <row r="186" spans="4:17" x14ac:dyDescent="0.4">
      <c r="D186" s="25" t="s">
        <v>117</v>
      </c>
      <c r="E186" s="2" t="s">
        <v>118</v>
      </c>
      <c r="F186" s="2" t="s">
        <v>119</v>
      </c>
      <c r="G186" s="2" t="s">
        <v>120</v>
      </c>
      <c r="H186" s="26" t="s">
        <v>4</v>
      </c>
      <c r="I186" s="27">
        <v>46078</v>
      </c>
      <c r="J186" s="2" t="s">
        <v>258</v>
      </c>
      <c r="K186" s="2" t="s">
        <v>29</v>
      </c>
      <c r="L186" s="28" t="s">
        <v>270</v>
      </c>
      <c r="M186" s="3">
        <v>55</v>
      </c>
      <c r="N186" s="3">
        <v>50</v>
      </c>
      <c r="O186" s="29">
        <v>1.1000000000000001</v>
      </c>
      <c r="Q186" s="19" t="s">
        <v>23</v>
      </c>
    </row>
    <row r="187" spans="4:17" x14ac:dyDescent="0.4">
      <c r="D187" s="25" t="s">
        <v>122</v>
      </c>
      <c r="E187" s="2" t="s">
        <v>123</v>
      </c>
      <c r="F187" s="2" t="s">
        <v>124</v>
      </c>
      <c r="G187" s="2" t="s">
        <v>125</v>
      </c>
      <c r="H187" s="26" t="s">
        <v>4</v>
      </c>
      <c r="I187" s="27">
        <v>46078</v>
      </c>
      <c r="J187" s="2" t="s">
        <v>258</v>
      </c>
      <c r="K187" s="2" t="s">
        <v>29</v>
      </c>
      <c r="L187" s="28" t="s">
        <v>264</v>
      </c>
      <c r="M187" s="3">
        <v>50</v>
      </c>
      <c r="N187" s="3">
        <v>50</v>
      </c>
      <c r="O187" s="29">
        <v>1</v>
      </c>
      <c r="Q187" s="19" t="s">
        <v>23</v>
      </c>
    </row>
    <row r="188" spans="4:17" x14ac:dyDescent="0.4">
      <c r="D188" s="25" t="s">
        <v>127</v>
      </c>
      <c r="E188" s="2" t="s">
        <v>128</v>
      </c>
      <c r="F188" s="2" t="s">
        <v>129</v>
      </c>
      <c r="G188" s="2" t="s">
        <v>130</v>
      </c>
      <c r="H188" s="26" t="s">
        <v>4</v>
      </c>
      <c r="I188" s="27">
        <v>46078</v>
      </c>
      <c r="J188" s="2" t="s">
        <v>258</v>
      </c>
      <c r="K188" s="2" t="s">
        <v>29</v>
      </c>
      <c r="L188" s="28" t="s">
        <v>267</v>
      </c>
      <c r="M188" s="3">
        <v>55</v>
      </c>
      <c r="N188" s="3">
        <v>50</v>
      </c>
      <c r="O188" s="29">
        <v>1.1000000000000001</v>
      </c>
      <c r="Q188" s="19" t="s">
        <v>23</v>
      </c>
    </row>
    <row r="189" spans="4:17" x14ac:dyDescent="0.4">
      <c r="D189" s="25" t="s">
        <v>132</v>
      </c>
      <c r="E189" s="2" t="s">
        <v>133</v>
      </c>
      <c r="F189" s="2" t="s">
        <v>134</v>
      </c>
      <c r="G189" s="2" t="s">
        <v>135</v>
      </c>
      <c r="H189" s="26" t="s">
        <v>4</v>
      </c>
      <c r="I189" s="27">
        <v>46078</v>
      </c>
      <c r="J189" s="2" t="s">
        <v>258</v>
      </c>
      <c r="K189" s="2" t="s">
        <v>29</v>
      </c>
      <c r="L189" s="28" t="s">
        <v>267</v>
      </c>
      <c r="M189" s="3">
        <v>55</v>
      </c>
      <c r="N189" s="3">
        <v>50</v>
      </c>
      <c r="O189" s="29">
        <v>1.1000000000000001</v>
      </c>
      <c r="Q189" s="19" t="s">
        <v>23</v>
      </c>
    </row>
    <row r="190" spans="4:17" x14ac:dyDescent="0.4">
      <c r="D190" s="25" t="s">
        <v>137</v>
      </c>
      <c r="E190" s="2" t="s">
        <v>138</v>
      </c>
      <c r="F190" s="2" t="s">
        <v>139</v>
      </c>
      <c r="G190" s="2" t="s">
        <v>140</v>
      </c>
      <c r="H190" s="26" t="s">
        <v>4</v>
      </c>
      <c r="I190" s="27">
        <v>46078</v>
      </c>
      <c r="J190" s="2" t="s">
        <v>258</v>
      </c>
      <c r="K190" s="2" t="s">
        <v>29</v>
      </c>
      <c r="L190" s="28" t="s">
        <v>272</v>
      </c>
      <c r="M190" s="3">
        <v>55</v>
      </c>
      <c r="N190" s="3">
        <v>50</v>
      </c>
      <c r="O190" s="29">
        <v>1.1000000000000001</v>
      </c>
      <c r="Q190" s="19" t="s">
        <v>23</v>
      </c>
    </row>
    <row r="191" spans="4:17" x14ac:dyDescent="0.4">
      <c r="D191" s="25" t="s">
        <v>142</v>
      </c>
      <c r="E191" s="2" t="s">
        <v>143</v>
      </c>
      <c r="F191" s="2" t="s">
        <v>144</v>
      </c>
      <c r="G191" s="2" t="s">
        <v>145</v>
      </c>
      <c r="H191" s="26" t="s">
        <v>4</v>
      </c>
      <c r="I191" s="27">
        <v>46078</v>
      </c>
      <c r="J191" s="2" t="s">
        <v>258</v>
      </c>
      <c r="K191" s="2" t="s">
        <v>29</v>
      </c>
      <c r="L191" s="28" t="s">
        <v>272</v>
      </c>
      <c r="M191" s="3">
        <v>55</v>
      </c>
      <c r="N191" s="3">
        <v>50</v>
      </c>
      <c r="O191" s="29">
        <v>1.1000000000000001</v>
      </c>
      <c r="Q191" s="19" t="s">
        <v>23</v>
      </c>
    </row>
    <row r="192" spans="4:17" x14ac:dyDescent="0.4">
      <c r="D192" s="25" t="s">
        <v>147</v>
      </c>
      <c r="E192" s="2" t="s">
        <v>148</v>
      </c>
      <c r="F192" s="2" t="s">
        <v>149</v>
      </c>
      <c r="G192" s="2" t="s">
        <v>150</v>
      </c>
      <c r="H192" s="26" t="s">
        <v>4</v>
      </c>
      <c r="I192" s="27">
        <v>46078</v>
      </c>
      <c r="J192" s="2" t="s">
        <v>258</v>
      </c>
      <c r="K192" s="2" t="s">
        <v>29</v>
      </c>
      <c r="L192" s="28" t="s">
        <v>273</v>
      </c>
      <c r="M192" s="3">
        <v>41</v>
      </c>
      <c r="N192" s="3">
        <v>50</v>
      </c>
      <c r="O192" s="29">
        <v>0.82</v>
      </c>
      <c r="Q192" s="19" t="s">
        <v>23</v>
      </c>
    </row>
    <row r="193" spans="4:17" x14ac:dyDescent="0.4">
      <c r="D193" s="25" t="s">
        <v>152</v>
      </c>
      <c r="E193" s="2" t="s">
        <v>66</v>
      </c>
      <c r="F193" s="2" t="s">
        <v>153</v>
      </c>
      <c r="G193" s="2" t="s">
        <v>154</v>
      </c>
      <c r="H193" s="26" t="s">
        <v>4</v>
      </c>
      <c r="I193" s="27">
        <v>46078</v>
      </c>
      <c r="J193" s="2" t="s">
        <v>258</v>
      </c>
      <c r="K193" s="2" t="s">
        <v>29</v>
      </c>
      <c r="L193" s="28" t="s">
        <v>271</v>
      </c>
      <c r="M193" s="3">
        <v>38</v>
      </c>
      <c r="N193" s="3">
        <v>50</v>
      </c>
      <c r="O193" s="29">
        <v>0.76</v>
      </c>
      <c r="Q193" s="19" t="s">
        <v>23</v>
      </c>
    </row>
    <row r="194" spans="4:17" x14ac:dyDescent="0.4">
      <c r="D194" s="25" t="s">
        <v>156</v>
      </c>
      <c r="E194" s="2" t="s">
        <v>157</v>
      </c>
      <c r="F194" s="2" t="s">
        <v>158</v>
      </c>
      <c r="G194" s="2" t="s">
        <v>159</v>
      </c>
      <c r="H194" s="26" t="s">
        <v>4</v>
      </c>
      <c r="I194" s="27">
        <v>46078</v>
      </c>
      <c r="J194" s="2" t="s">
        <v>258</v>
      </c>
      <c r="K194" s="2" t="s">
        <v>29</v>
      </c>
      <c r="L194" s="28" t="s">
        <v>263</v>
      </c>
      <c r="M194" s="3">
        <v>0</v>
      </c>
      <c r="N194" s="3">
        <v>50</v>
      </c>
      <c r="O194" s="29">
        <v>0</v>
      </c>
      <c r="Q194" s="19" t="s">
        <v>23</v>
      </c>
    </row>
    <row r="195" spans="4:17" x14ac:dyDescent="0.4">
      <c r="D195" s="25" t="s">
        <v>160</v>
      </c>
      <c r="E195" s="2" t="s">
        <v>81</v>
      </c>
      <c r="F195" s="2" t="s">
        <v>161</v>
      </c>
      <c r="G195" s="2" t="s">
        <v>162</v>
      </c>
      <c r="H195" s="26" t="s">
        <v>4</v>
      </c>
      <c r="I195" s="27">
        <v>46078</v>
      </c>
      <c r="J195" s="2" t="s">
        <v>258</v>
      </c>
      <c r="K195" s="2" t="s">
        <v>29</v>
      </c>
      <c r="L195" s="28" t="s">
        <v>269</v>
      </c>
      <c r="M195" s="3">
        <v>0</v>
      </c>
      <c r="N195" s="3">
        <v>50</v>
      </c>
      <c r="O195" s="29">
        <v>0</v>
      </c>
      <c r="Q195" s="19" t="s">
        <v>23</v>
      </c>
    </row>
    <row r="196" spans="4:17" x14ac:dyDescent="0.4">
      <c r="D196" s="25" t="s">
        <v>163</v>
      </c>
      <c r="E196" s="2" t="s">
        <v>164</v>
      </c>
      <c r="F196" s="2" t="s">
        <v>165</v>
      </c>
      <c r="G196" s="2" t="s">
        <v>166</v>
      </c>
      <c r="H196" s="26" t="s">
        <v>4</v>
      </c>
      <c r="I196" s="27">
        <v>46078</v>
      </c>
      <c r="J196" s="2" t="s">
        <v>258</v>
      </c>
      <c r="K196" s="2" t="s">
        <v>29</v>
      </c>
      <c r="L196" s="28" t="s">
        <v>262</v>
      </c>
      <c r="M196" s="3">
        <v>30</v>
      </c>
      <c r="N196" s="3">
        <v>50</v>
      </c>
      <c r="O196" s="29">
        <v>0.6</v>
      </c>
      <c r="Q196" s="19" t="s">
        <v>23</v>
      </c>
    </row>
    <row r="197" spans="4:17" x14ac:dyDescent="0.4">
      <c r="D197" s="25" t="s">
        <v>168</v>
      </c>
      <c r="E197" s="2" t="s">
        <v>169</v>
      </c>
      <c r="F197" s="2" t="s">
        <v>170</v>
      </c>
      <c r="G197" s="2" t="s">
        <v>171</v>
      </c>
      <c r="H197" s="26" t="s">
        <v>4</v>
      </c>
      <c r="I197" s="27">
        <v>46078</v>
      </c>
      <c r="J197" s="2" t="s">
        <v>258</v>
      </c>
      <c r="K197" s="2" t="s">
        <v>29</v>
      </c>
      <c r="L197" s="28" t="s">
        <v>266</v>
      </c>
      <c r="M197" s="3">
        <v>50</v>
      </c>
      <c r="N197" s="3">
        <v>50</v>
      </c>
      <c r="O197" s="29">
        <v>1</v>
      </c>
      <c r="Q197" s="19" t="s">
        <v>23</v>
      </c>
    </row>
    <row r="198" spans="4:17" x14ac:dyDescent="0.4">
      <c r="D198" s="25" t="s">
        <v>173</v>
      </c>
      <c r="E198" s="2" t="s">
        <v>174</v>
      </c>
      <c r="F198" s="2" t="s">
        <v>175</v>
      </c>
      <c r="G198" s="2" t="s">
        <v>176</v>
      </c>
      <c r="H198" s="26" t="s">
        <v>4</v>
      </c>
      <c r="I198" s="27">
        <v>46078</v>
      </c>
      <c r="J198" s="2" t="s">
        <v>258</v>
      </c>
      <c r="K198" s="2" t="s">
        <v>29</v>
      </c>
      <c r="L198" s="28" t="s">
        <v>259</v>
      </c>
      <c r="M198" s="3">
        <v>50</v>
      </c>
      <c r="N198" s="3">
        <v>50</v>
      </c>
      <c r="O198" s="29">
        <v>1</v>
      </c>
      <c r="Q198" s="19" t="s">
        <v>23</v>
      </c>
    </row>
    <row r="199" spans="4:17" x14ac:dyDescent="0.4">
      <c r="D199" s="25" t="s">
        <v>178</v>
      </c>
      <c r="E199" s="2" t="s">
        <v>179</v>
      </c>
      <c r="F199" s="2" t="s">
        <v>180</v>
      </c>
      <c r="G199" s="2" t="s">
        <v>181</v>
      </c>
      <c r="H199" s="26" t="s">
        <v>4</v>
      </c>
      <c r="I199" s="27">
        <v>46078</v>
      </c>
      <c r="J199" s="2" t="s">
        <v>258</v>
      </c>
      <c r="K199" s="2" t="s">
        <v>29</v>
      </c>
      <c r="L199" s="28" t="s">
        <v>273</v>
      </c>
      <c r="M199" s="3">
        <v>41</v>
      </c>
      <c r="N199" s="3">
        <v>50</v>
      </c>
      <c r="O199" s="29">
        <v>0.82</v>
      </c>
      <c r="Q199" s="19" t="s">
        <v>23</v>
      </c>
    </row>
    <row r="200" spans="4:17" x14ac:dyDescent="0.4">
      <c r="D200" s="25" t="s">
        <v>183</v>
      </c>
      <c r="E200" s="2" t="s">
        <v>184</v>
      </c>
      <c r="F200" s="2" t="s">
        <v>185</v>
      </c>
      <c r="G200" s="2" t="s">
        <v>186</v>
      </c>
      <c r="H200" s="26" t="s">
        <v>4</v>
      </c>
      <c r="I200" s="27">
        <v>46078</v>
      </c>
      <c r="J200" s="2" t="s">
        <v>258</v>
      </c>
      <c r="K200" s="2" t="s">
        <v>29</v>
      </c>
      <c r="L200" s="28" t="s">
        <v>263</v>
      </c>
      <c r="M200" s="3">
        <v>0</v>
      </c>
      <c r="N200" s="3">
        <v>50</v>
      </c>
      <c r="O200" s="29">
        <v>0</v>
      </c>
      <c r="Q200" s="19" t="s">
        <v>23</v>
      </c>
    </row>
    <row r="201" spans="4:17" x14ac:dyDescent="0.4">
      <c r="D201" s="25" t="s">
        <v>187</v>
      </c>
      <c r="E201" s="2" t="s">
        <v>188</v>
      </c>
      <c r="F201" s="2" t="s">
        <v>189</v>
      </c>
      <c r="G201" s="2" t="s">
        <v>190</v>
      </c>
      <c r="H201" s="26" t="s">
        <v>4</v>
      </c>
      <c r="I201" s="27">
        <v>46078</v>
      </c>
      <c r="J201" s="2" t="s">
        <v>258</v>
      </c>
      <c r="K201" s="2" t="s">
        <v>29</v>
      </c>
      <c r="L201" s="28" t="s">
        <v>274</v>
      </c>
      <c r="M201" s="3">
        <v>40</v>
      </c>
      <c r="N201" s="3">
        <v>50</v>
      </c>
      <c r="O201" s="29">
        <v>0.8</v>
      </c>
      <c r="Q201" s="19" t="s">
        <v>23</v>
      </c>
    </row>
    <row r="202" spans="4:17" x14ac:dyDescent="0.4">
      <c r="D202" s="25" t="s">
        <v>192</v>
      </c>
      <c r="E202" s="2" t="s">
        <v>193</v>
      </c>
      <c r="F202" s="2" t="s">
        <v>194</v>
      </c>
      <c r="G202" s="2" t="s">
        <v>195</v>
      </c>
      <c r="H202" s="26" t="s">
        <v>4</v>
      </c>
      <c r="I202" s="27">
        <v>46078</v>
      </c>
      <c r="J202" s="2" t="s">
        <v>258</v>
      </c>
      <c r="K202" s="2" t="s">
        <v>29</v>
      </c>
      <c r="L202" s="28" t="s">
        <v>274</v>
      </c>
      <c r="M202" s="3">
        <v>40</v>
      </c>
      <c r="N202" s="3">
        <v>50</v>
      </c>
      <c r="O202" s="29">
        <v>0.8</v>
      </c>
      <c r="Q202" s="19" t="s">
        <v>23</v>
      </c>
    </row>
    <row r="203" spans="4:17" x14ac:dyDescent="0.4">
      <c r="D203" s="25" t="s">
        <v>197</v>
      </c>
      <c r="E203" s="2" t="s">
        <v>198</v>
      </c>
      <c r="F203" s="2" t="s">
        <v>199</v>
      </c>
      <c r="G203" s="2" t="s">
        <v>200</v>
      </c>
      <c r="H203" s="26" t="s">
        <v>4</v>
      </c>
      <c r="I203" s="27">
        <v>46078</v>
      </c>
      <c r="J203" s="2" t="s">
        <v>258</v>
      </c>
      <c r="K203" s="2" t="s">
        <v>29</v>
      </c>
      <c r="L203" s="28" t="s">
        <v>269</v>
      </c>
      <c r="M203" s="3">
        <v>0</v>
      </c>
      <c r="N203" s="3">
        <v>50</v>
      </c>
      <c r="O203" s="29">
        <v>0</v>
      </c>
      <c r="Q203" s="19" t="s">
        <v>23</v>
      </c>
    </row>
    <row r="204" spans="4:17" x14ac:dyDescent="0.4">
      <c r="D204" s="25" t="s">
        <v>201</v>
      </c>
      <c r="E204" s="2" t="s">
        <v>143</v>
      </c>
      <c r="F204" s="2" t="s">
        <v>202</v>
      </c>
      <c r="G204" s="2" t="s">
        <v>203</v>
      </c>
      <c r="H204" s="26" t="s">
        <v>4</v>
      </c>
      <c r="I204" s="27">
        <v>46078</v>
      </c>
      <c r="J204" s="2" t="s">
        <v>258</v>
      </c>
      <c r="K204" s="2" t="s">
        <v>29</v>
      </c>
      <c r="L204" s="28" t="s">
        <v>263</v>
      </c>
      <c r="M204" s="3">
        <v>0</v>
      </c>
      <c r="N204" s="3">
        <v>50</v>
      </c>
      <c r="O204" s="29">
        <v>0</v>
      </c>
      <c r="Q204" s="19" t="s">
        <v>23</v>
      </c>
    </row>
    <row r="205" spans="4:17" x14ac:dyDescent="0.4">
      <c r="D205" s="25" t="s">
        <v>205</v>
      </c>
      <c r="E205" s="2" t="s">
        <v>206</v>
      </c>
      <c r="F205" s="2" t="s">
        <v>207</v>
      </c>
      <c r="G205" s="2" t="s">
        <v>208</v>
      </c>
      <c r="H205" s="26" t="s">
        <v>4</v>
      </c>
      <c r="I205" s="27">
        <v>46078</v>
      </c>
      <c r="J205" s="2" t="s">
        <v>258</v>
      </c>
      <c r="K205" s="2" t="s">
        <v>29</v>
      </c>
      <c r="L205" s="28" t="s">
        <v>274</v>
      </c>
      <c r="M205" s="3">
        <v>40</v>
      </c>
      <c r="N205" s="3">
        <v>50</v>
      </c>
      <c r="O205" s="29">
        <v>0.8</v>
      </c>
      <c r="Q205" s="19" t="s">
        <v>23</v>
      </c>
    </row>
    <row r="206" spans="4:17" x14ac:dyDescent="0.4">
      <c r="D206" s="25" t="s">
        <v>210</v>
      </c>
      <c r="E206" s="2" t="s">
        <v>211</v>
      </c>
      <c r="F206" s="2" t="s">
        <v>212</v>
      </c>
      <c r="G206" s="2" t="s">
        <v>213</v>
      </c>
      <c r="H206" s="26" t="s">
        <v>4</v>
      </c>
      <c r="I206" s="27">
        <v>46078</v>
      </c>
      <c r="J206" s="2" t="s">
        <v>258</v>
      </c>
      <c r="K206" s="2" t="s">
        <v>29</v>
      </c>
      <c r="L206" s="28" t="s">
        <v>275</v>
      </c>
      <c r="M206" s="3">
        <v>45</v>
      </c>
      <c r="N206" s="3">
        <v>50</v>
      </c>
      <c r="O206" s="29">
        <v>0.9</v>
      </c>
      <c r="Q206" s="19" t="s">
        <v>23</v>
      </c>
    </row>
    <row r="207" spans="4:17" x14ac:dyDescent="0.4">
      <c r="D207" s="25" t="s">
        <v>215</v>
      </c>
      <c r="E207" s="2" t="s">
        <v>216</v>
      </c>
      <c r="F207" s="2" t="s">
        <v>217</v>
      </c>
      <c r="G207" s="2" t="s">
        <v>218</v>
      </c>
      <c r="H207" s="26" t="s">
        <v>4</v>
      </c>
      <c r="I207" s="27">
        <v>46078</v>
      </c>
      <c r="J207" s="2" t="s">
        <v>258</v>
      </c>
      <c r="K207" s="2" t="s">
        <v>29</v>
      </c>
      <c r="L207" s="28" t="s">
        <v>270</v>
      </c>
      <c r="M207" s="3">
        <v>55</v>
      </c>
      <c r="N207" s="3">
        <v>50</v>
      </c>
      <c r="O207" s="29">
        <v>1.1000000000000001</v>
      </c>
      <c r="Q207" s="19" t="s">
        <v>23</v>
      </c>
    </row>
    <row r="208" spans="4:17" x14ac:dyDescent="0.4">
      <c r="D208" s="25" t="s">
        <v>24</v>
      </c>
      <c r="E208" s="2" t="s">
        <v>25</v>
      </c>
      <c r="F208" s="2" t="s">
        <v>26</v>
      </c>
      <c r="G208" s="2" t="s">
        <v>27</v>
      </c>
      <c r="H208" s="26" t="s">
        <v>5</v>
      </c>
      <c r="I208" s="27">
        <v>46070</v>
      </c>
      <c r="J208" s="2" t="s">
        <v>276</v>
      </c>
      <c r="K208" s="2" t="s">
        <v>29</v>
      </c>
      <c r="L208" s="28" t="s">
        <v>277</v>
      </c>
      <c r="M208" s="3">
        <v>50</v>
      </c>
      <c r="N208" s="3">
        <v>50</v>
      </c>
      <c r="O208" s="29">
        <v>1</v>
      </c>
      <c r="Q208" s="19" t="s">
        <v>23</v>
      </c>
    </row>
    <row r="209" spans="4:17" x14ac:dyDescent="0.4">
      <c r="D209" s="25" t="s">
        <v>31</v>
      </c>
      <c r="E209" s="2" t="s">
        <v>32</v>
      </c>
      <c r="F209" s="2" t="s">
        <v>33</v>
      </c>
      <c r="G209" s="2" t="s">
        <v>34</v>
      </c>
      <c r="H209" s="26" t="s">
        <v>5</v>
      </c>
      <c r="I209" s="27">
        <v>46070</v>
      </c>
      <c r="J209" s="2" t="s">
        <v>276</v>
      </c>
      <c r="K209" s="2" t="s">
        <v>29</v>
      </c>
      <c r="L209" s="28" t="s">
        <v>278</v>
      </c>
      <c r="M209" s="3">
        <v>35</v>
      </c>
      <c r="N209" s="3">
        <v>50</v>
      </c>
      <c r="O209" s="29">
        <v>0.7</v>
      </c>
      <c r="Q209" s="19" t="s">
        <v>23</v>
      </c>
    </row>
    <row r="210" spans="4:17" x14ac:dyDescent="0.4">
      <c r="D210" s="25" t="s">
        <v>36</v>
      </c>
      <c r="E210" s="2" t="s">
        <v>37</v>
      </c>
      <c r="F210" s="2" t="s">
        <v>38</v>
      </c>
      <c r="G210" s="2" t="s">
        <v>39</v>
      </c>
      <c r="H210" s="26" t="s">
        <v>5</v>
      </c>
      <c r="I210" s="27">
        <v>46070</v>
      </c>
      <c r="J210" s="2" t="s">
        <v>276</v>
      </c>
      <c r="K210" s="2" t="s">
        <v>29</v>
      </c>
      <c r="L210" s="28" t="s">
        <v>279</v>
      </c>
      <c r="M210" s="3">
        <v>46</v>
      </c>
      <c r="N210" s="3">
        <v>50</v>
      </c>
      <c r="O210" s="29">
        <v>0.92</v>
      </c>
      <c r="Q210" s="19" t="s">
        <v>23</v>
      </c>
    </row>
    <row r="211" spans="4:17" x14ac:dyDescent="0.4">
      <c r="D211" s="25" t="s">
        <v>41</v>
      </c>
      <c r="E211" s="2" t="s">
        <v>42</v>
      </c>
      <c r="F211" s="2" t="s">
        <v>43</v>
      </c>
      <c r="G211" s="2" t="s">
        <v>44</v>
      </c>
      <c r="H211" s="26" t="s">
        <v>5</v>
      </c>
      <c r="I211" s="27">
        <v>46070</v>
      </c>
      <c r="J211" s="2" t="s">
        <v>276</v>
      </c>
      <c r="K211" s="2" t="s">
        <v>29</v>
      </c>
      <c r="L211" s="28" t="s">
        <v>280</v>
      </c>
      <c r="M211" s="3">
        <v>45</v>
      </c>
      <c r="N211" s="3">
        <v>50</v>
      </c>
      <c r="O211" s="29">
        <v>0.9</v>
      </c>
      <c r="Q211" s="19" t="s">
        <v>23</v>
      </c>
    </row>
    <row r="212" spans="4:17" x14ac:dyDescent="0.4">
      <c r="D212" s="25" t="s">
        <v>46</v>
      </c>
      <c r="E212" s="2" t="s">
        <v>47</v>
      </c>
      <c r="F212" s="2" t="s">
        <v>48</v>
      </c>
      <c r="G212" s="2" t="s">
        <v>49</v>
      </c>
      <c r="H212" s="26" t="s">
        <v>5</v>
      </c>
      <c r="I212" s="27">
        <v>46070</v>
      </c>
      <c r="J212" s="2" t="s">
        <v>276</v>
      </c>
      <c r="K212" s="2" t="s">
        <v>29</v>
      </c>
      <c r="L212" s="28" t="s">
        <v>281</v>
      </c>
      <c r="M212" s="3">
        <v>45</v>
      </c>
      <c r="N212" s="3">
        <v>50</v>
      </c>
      <c r="O212" s="29">
        <v>0.9</v>
      </c>
      <c r="Q212" s="19" t="s">
        <v>23</v>
      </c>
    </row>
    <row r="213" spans="4:17" x14ac:dyDescent="0.4">
      <c r="D213" s="25" t="s">
        <v>51</v>
      </c>
      <c r="E213" s="2" t="s">
        <v>52</v>
      </c>
      <c r="F213" s="2" t="s">
        <v>53</v>
      </c>
      <c r="G213" s="2" t="s">
        <v>54</v>
      </c>
      <c r="H213" s="26" t="s">
        <v>5</v>
      </c>
      <c r="I213" s="27">
        <v>46070</v>
      </c>
      <c r="J213" s="2" t="s">
        <v>276</v>
      </c>
      <c r="K213" s="2" t="s">
        <v>29</v>
      </c>
      <c r="L213" s="28" t="s">
        <v>282</v>
      </c>
      <c r="M213" s="3">
        <v>50</v>
      </c>
      <c r="N213" s="3">
        <v>50</v>
      </c>
      <c r="O213" s="29">
        <v>1</v>
      </c>
      <c r="Q213" s="19" t="s">
        <v>23</v>
      </c>
    </row>
    <row r="214" spans="4:17" x14ac:dyDescent="0.4">
      <c r="D214" s="25" t="s">
        <v>56</v>
      </c>
      <c r="E214" s="2" t="s">
        <v>52</v>
      </c>
      <c r="F214" s="2" t="s">
        <v>57</v>
      </c>
      <c r="G214" s="2" t="s">
        <v>58</v>
      </c>
      <c r="H214" s="26" t="s">
        <v>5</v>
      </c>
      <c r="I214" s="27">
        <v>46070</v>
      </c>
      <c r="J214" s="2" t="s">
        <v>276</v>
      </c>
      <c r="K214" s="2" t="s">
        <v>29</v>
      </c>
      <c r="L214" s="28" t="s">
        <v>283</v>
      </c>
      <c r="M214" s="3">
        <v>50</v>
      </c>
      <c r="N214" s="3">
        <v>50</v>
      </c>
      <c r="O214" s="29">
        <v>1</v>
      </c>
      <c r="Q214" s="19" t="s">
        <v>23</v>
      </c>
    </row>
    <row r="215" spans="4:17" x14ac:dyDescent="0.4">
      <c r="D215" s="25" t="s">
        <v>60</v>
      </c>
      <c r="E215" s="2" t="s">
        <v>61</v>
      </c>
      <c r="F215" s="2" t="s">
        <v>62</v>
      </c>
      <c r="G215" s="2" t="s">
        <v>63</v>
      </c>
      <c r="H215" s="26" t="s">
        <v>5</v>
      </c>
      <c r="I215" s="27">
        <v>46070</v>
      </c>
      <c r="J215" s="2" t="s">
        <v>276</v>
      </c>
      <c r="K215" s="2" t="s">
        <v>29</v>
      </c>
      <c r="L215" s="28" t="s">
        <v>284</v>
      </c>
      <c r="M215" s="3">
        <v>35</v>
      </c>
      <c r="N215" s="3">
        <v>50</v>
      </c>
      <c r="O215" s="29">
        <v>0.7</v>
      </c>
      <c r="Q215" s="19" t="s">
        <v>23</v>
      </c>
    </row>
    <row r="216" spans="4:17" x14ac:dyDescent="0.4">
      <c r="D216" s="25" t="s">
        <v>65</v>
      </c>
      <c r="E216" s="2" t="s">
        <v>66</v>
      </c>
      <c r="F216" s="2" t="s">
        <v>67</v>
      </c>
      <c r="G216" s="2" t="s">
        <v>68</v>
      </c>
      <c r="H216" s="26" t="s">
        <v>5</v>
      </c>
      <c r="I216" s="27">
        <v>46070</v>
      </c>
      <c r="J216" s="2" t="s">
        <v>276</v>
      </c>
      <c r="K216" s="2" t="s">
        <v>29</v>
      </c>
      <c r="L216" s="28" t="s">
        <v>285</v>
      </c>
      <c r="M216" s="3">
        <v>48</v>
      </c>
      <c r="N216" s="3">
        <v>50</v>
      </c>
      <c r="O216" s="29">
        <v>0.96</v>
      </c>
      <c r="Q216" s="19" t="s">
        <v>23</v>
      </c>
    </row>
    <row r="217" spans="4:17" x14ac:dyDescent="0.4">
      <c r="D217" s="25" t="s">
        <v>70</v>
      </c>
      <c r="E217" s="2" t="s">
        <v>71</v>
      </c>
      <c r="F217" s="2" t="s">
        <v>72</v>
      </c>
      <c r="G217" s="2" t="s">
        <v>73</v>
      </c>
      <c r="H217" s="26" t="s">
        <v>5</v>
      </c>
      <c r="I217" s="27">
        <v>46070</v>
      </c>
      <c r="J217" s="2" t="s">
        <v>276</v>
      </c>
      <c r="K217" s="2" t="s">
        <v>29</v>
      </c>
      <c r="L217" s="28" t="s">
        <v>285</v>
      </c>
      <c r="M217" s="3">
        <v>48</v>
      </c>
      <c r="N217" s="3">
        <v>50</v>
      </c>
      <c r="O217" s="29">
        <v>0.96</v>
      </c>
      <c r="Q217" s="19" t="s">
        <v>23</v>
      </c>
    </row>
    <row r="218" spans="4:17" x14ac:dyDescent="0.4">
      <c r="D218" s="25" t="s">
        <v>75</v>
      </c>
      <c r="E218" s="2" t="s">
        <v>76</v>
      </c>
      <c r="F218" s="2" t="s">
        <v>77</v>
      </c>
      <c r="G218" s="2" t="s">
        <v>78</v>
      </c>
      <c r="H218" s="26" t="s">
        <v>5</v>
      </c>
      <c r="I218" s="27">
        <v>46070</v>
      </c>
      <c r="J218" s="2" t="s">
        <v>276</v>
      </c>
      <c r="K218" s="2" t="s">
        <v>29</v>
      </c>
      <c r="L218" s="28" t="s">
        <v>286</v>
      </c>
      <c r="M218" s="3">
        <v>36</v>
      </c>
      <c r="N218" s="3">
        <v>50</v>
      </c>
      <c r="O218" s="29">
        <v>0.72</v>
      </c>
      <c r="Q218" s="19" t="s">
        <v>23</v>
      </c>
    </row>
    <row r="219" spans="4:17" x14ac:dyDescent="0.4">
      <c r="D219" s="25" t="s">
        <v>80</v>
      </c>
      <c r="E219" s="2" t="s">
        <v>81</v>
      </c>
      <c r="F219" s="2" t="s">
        <v>82</v>
      </c>
      <c r="G219" s="2" t="s">
        <v>83</v>
      </c>
      <c r="H219" s="26" t="s">
        <v>5</v>
      </c>
      <c r="I219" s="27">
        <v>46070</v>
      </c>
      <c r="J219" s="2" t="s">
        <v>276</v>
      </c>
      <c r="K219" s="2" t="s">
        <v>29</v>
      </c>
      <c r="L219" s="28" t="s">
        <v>287</v>
      </c>
      <c r="M219" s="3">
        <v>46</v>
      </c>
      <c r="N219" s="3">
        <v>50</v>
      </c>
      <c r="O219" s="29">
        <v>0.92</v>
      </c>
      <c r="Q219" s="19" t="s">
        <v>23</v>
      </c>
    </row>
    <row r="220" spans="4:17" x14ac:dyDescent="0.4">
      <c r="D220" s="25" t="s">
        <v>85</v>
      </c>
      <c r="E220" s="2" t="s">
        <v>86</v>
      </c>
      <c r="F220" s="2" t="s">
        <v>87</v>
      </c>
      <c r="G220" s="2" t="s">
        <v>88</v>
      </c>
      <c r="H220" s="26" t="s">
        <v>5</v>
      </c>
      <c r="I220" s="27">
        <v>46070</v>
      </c>
      <c r="J220" s="2" t="s">
        <v>276</v>
      </c>
      <c r="K220" s="2" t="s">
        <v>29</v>
      </c>
      <c r="L220" s="28" t="s">
        <v>288</v>
      </c>
      <c r="M220" s="3">
        <v>50</v>
      </c>
      <c r="N220" s="3">
        <v>50</v>
      </c>
      <c r="O220" s="29">
        <v>1</v>
      </c>
      <c r="Q220" s="19" t="s">
        <v>23</v>
      </c>
    </row>
    <row r="221" spans="4:17" x14ac:dyDescent="0.4">
      <c r="D221" s="25" t="s">
        <v>89</v>
      </c>
      <c r="E221" s="2" t="s">
        <v>90</v>
      </c>
      <c r="F221" s="2" t="s">
        <v>91</v>
      </c>
      <c r="G221" s="2" t="s">
        <v>92</v>
      </c>
      <c r="H221" s="26" t="s">
        <v>5</v>
      </c>
      <c r="I221" s="27">
        <v>46070</v>
      </c>
      <c r="J221" s="2" t="s">
        <v>276</v>
      </c>
      <c r="K221" s="2" t="s">
        <v>29</v>
      </c>
      <c r="L221" s="28" t="s">
        <v>289</v>
      </c>
      <c r="M221" s="3">
        <v>35</v>
      </c>
      <c r="N221" s="3">
        <v>50</v>
      </c>
      <c r="O221" s="29">
        <v>0.7</v>
      </c>
      <c r="Q221" s="19" t="s">
        <v>23</v>
      </c>
    </row>
    <row r="222" spans="4:17" x14ac:dyDescent="0.4">
      <c r="D222" s="25" t="s">
        <v>94</v>
      </c>
      <c r="E222" s="2" t="s">
        <v>95</v>
      </c>
      <c r="F222" s="2" t="s">
        <v>96</v>
      </c>
      <c r="G222" s="2" t="s">
        <v>97</v>
      </c>
      <c r="H222" s="26" t="s">
        <v>5</v>
      </c>
      <c r="I222" s="27">
        <v>46070</v>
      </c>
      <c r="J222" s="2" t="s">
        <v>276</v>
      </c>
      <c r="K222" s="2" t="s">
        <v>29</v>
      </c>
      <c r="L222" s="28" t="s">
        <v>290</v>
      </c>
      <c r="M222" s="3">
        <v>50</v>
      </c>
      <c r="N222" s="3">
        <v>50</v>
      </c>
      <c r="O222" s="29">
        <v>1</v>
      </c>
      <c r="Q222" s="19" t="s">
        <v>23</v>
      </c>
    </row>
    <row r="223" spans="4:17" x14ac:dyDescent="0.4">
      <c r="D223" s="25" t="s">
        <v>99</v>
      </c>
      <c r="E223" s="2" t="s">
        <v>100</v>
      </c>
      <c r="F223" s="2" t="s">
        <v>101</v>
      </c>
      <c r="G223" s="2" t="s">
        <v>102</v>
      </c>
      <c r="H223" s="26" t="s">
        <v>5</v>
      </c>
      <c r="I223" s="27">
        <v>46070</v>
      </c>
      <c r="J223" s="2" t="s">
        <v>276</v>
      </c>
      <c r="K223" s="2" t="s">
        <v>29</v>
      </c>
      <c r="L223" s="28" t="s">
        <v>291</v>
      </c>
      <c r="M223" s="3">
        <v>50</v>
      </c>
      <c r="N223" s="3">
        <v>50</v>
      </c>
      <c r="O223" s="29">
        <v>1</v>
      </c>
      <c r="Q223" s="19" t="s">
        <v>23</v>
      </c>
    </row>
    <row r="224" spans="4:17" x14ac:dyDescent="0.4">
      <c r="D224" s="25" t="s">
        <v>104</v>
      </c>
      <c r="E224" s="2" t="s">
        <v>86</v>
      </c>
      <c r="F224" s="2" t="s">
        <v>105</v>
      </c>
      <c r="G224" s="2" t="s">
        <v>106</v>
      </c>
      <c r="H224" s="26" t="s">
        <v>5</v>
      </c>
      <c r="I224" s="27">
        <v>46070</v>
      </c>
      <c r="J224" s="2" t="s">
        <v>276</v>
      </c>
      <c r="K224" s="2" t="s">
        <v>29</v>
      </c>
      <c r="L224" s="28" t="s">
        <v>292</v>
      </c>
      <c r="M224" s="3">
        <v>40</v>
      </c>
      <c r="N224" s="3">
        <v>50</v>
      </c>
      <c r="O224" s="29">
        <v>0.8</v>
      </c>
      <c r="Q224" s="19" t="s">
        <v>23</v>
      </c>
    </row>
    <row r="225" spans="4:17" x14ac:dyDescent="0.4">
      <c r="D225" s="25" t="s">
        <v>107</v>
      </c>
      <c r="E225" s="2" t="s">
        <v>108</v>
      </c>
      <c r="F225" s="2" t="s">
        <v>109</v>
      </c>
      <c r="G225" s="2" t="s">
        <v>110</v>
      </c>
      <c r="H225" s="26" t="s">
        <v>5</v>
      </c>
      <c r="I225" s="27">
        <v>46070</v>
      </c>
      <c r="J225" s="2" t="s">
        <v>276</v>
      </c>
      <c r="K225" s="2" t="s">
        <v>29</v>
      </c>
      <c r="L225" s="28" t="s">
        <v>293</v>
      </c>
      <c r="M225" s="3">
        <v>36</v>
      </c>
      <c r="N225" s="3">
        <v>50</v>
      </c>
      <c r="O225" s="29">
        <v>0.72</v>
      </c>
      <c r="Q225" s="19" t="s">
        <v>23</v>
      </c>
    </row>
    <row r="226" spans="4:17" x14ac:dyDescent="0.4">
      <c r="D226" s="25" t="s">
        <v>112</v>
      </c>
      <c r="E226" s="2" t="s">
        <v>113</v>
      </c>
      <c r="F226" s="2" t="s">
        <v>114</v>
      </c>
      <c r="G226" s="2" t="s">
        <v>115</v>
      </c>
      <c r="H226" s="26" t="s">
        <v>5</v>
      </c>
      <c r="I226" s="27">
        <v>46070</v>
      </c>
      <c r="J226" s="2" t="s">
        <v>276</v>
      </c>
      <c r="K226" s="2" t="s">
        <v>29</v>
      </c>
      <c r="L226" s="28"/>
      <c r="M226" s="3">
        <v>0</v>
      </c>
      <c r="N226" s="3">
        <v>50</v>
      </c>
      <c r="O226" s="29">
        <v>0</v>
      </c>
      <c r="Q226" s="19" t="s">
        <v>23</v>
      </c>
    </row>
    <row r="227" spans="4:17" x14ac:dyDescent="0.4">
      <c r="D227" s="25" t="s">
        <v>117</v>
      </c>
      <c r="E227" s="2" t="s">
        <v>118</v>
      </c>
      <c r="F227" s="2" t="s">
        <v>119</v>
      </c>
      <c r="G227" s="2" t="s">
        <v>120</v>
      </c>
      <c r="H227" s="26" t="s">
        <v>5</v>
      </c>
      <c r="I227" s="27">
        <v>46070</v>
      </c>
      <c r="J227" s="2" t="s">
        <v>276</v>
      </c>
      <c r="K227" s="2" t="s">
        <v>29</v>
      </c>
      <c r="L227" s="28" t="s">
        <v>293</v>
      </c>
      <c r="M227" s="3">
        <v>36</v>
      </c>
      <c r="N227" s="3">
        <v>50</v>
      </c>
      <c r="O227" s="29">
        <v>0.72</v>
      </c>
      <c r="Q227" s="19" t="s">
        <v>23</v>
      </c>
    </row>
    <row r="228" spans="4:17" x14ac:dyDescent="0.4">
      <c r="D228" s="25" t="s">
        <v>122</v>
      </c>
      <c r="E228" s="2" t="s">
        <v>123</v>
      </c>
      <c r="F228" s="2" t="s">
        <v>124</v>
      </c>
      <c r="G228" s="2" t="s">
        <v>125</v>
      </c>
      <c r="H228" s="26" t="s">
        <v>5</v>
      </c>
      <c r="I228" s="27">
        <v>46070</v>
      </c>
      <c r="J228" s="2" t="s">
        <v>276</v>
      </c>
      <c r="K228" s="2" t="s">
        <v>29</v>
      </c>
      <c r="L228" s="28" t="s">
        <v>283</v>
      </c>
      <c r="M228" s="3">
        <v>50</v>
      </c>
      <c r="N228" s="3">
        <v>50</v>
      </c>
      <c r="O228" s="29">
        <v>1</v>
      </c>
      <c r="Q228" s="19" t="s">
        <v>23</v>
      </c>
    </row>
    <row r="229" spans="4:17" x14ac:dyDescent="0.4">
      <c r="D229" s="25" t="s">
        <v>127</v>
      </c>
      <c r="E229" s="2" t="s">
        <v>128</v>
      </c>
      <c r="F229" s="2" t="s">
        <v>129</v>
      </c>
      <c r="G229" s="2" t="s">
        <v>130</v>
      </c>
      <c r="H229" s="26" t="s">
        <v>5</v>
      </c>
      <c r="I229" s="27">
        <v>46070</v>
      </c>
      <c r="J229" s="2" t="s">
        <v>276</v>
      </c>
      <c r="K229" s="2" t="s">
        <v>29</v>
      </c>
      <c r="L229" s="28" t="s">
        <v>294</v>
      </c>
      <c r="M229" s="3">
        <v>36</v>
      </c>
      <c r="N229" s="3">
        <v>50</v>
      </c>
      <c r="O229" s="29">
        <v>0.72</v>
      </c>
      <c r="Q229" s="19" t="s">
        <v>23</v>
      </c>
    </row>
    <row r="230" spans="4:17" x14ac:dyDescent="0.4">
      <c r="D230" s="25" t="s">
        <v>132</v>
      </c>
      <c r="E230" s="2" t="s">
        <v>133</v>
      </c>
      <c r="F230" s="2" t="s">
        <v>134</v>
      </c>
      <c r="G230" s="2" t="s">
        <v>135</v>
      </c>
      <c r="H230" s="26" t="s">
        <v>5</v>
      </c>
      <c r="I230" s="27">
        <v>46070</v>
      </c>
      <c r="J230" s="2" t="s">
        <v>276</v>
      </c>
      <c r="K230" s="2" t="s">
        <v>29</v>
      </c>
      <c r="L230" s="28" t="s">
        <v>294</v>
      </c>
      <c r="M230" s="3">
        <v>36</v>
      </c>
      <c r="N230" s="3">
        <v>50</v>
      </c>
      <c r="O230" s="29">
        <v>0.72</v>
      </c>
      <c r="Q230" s="19" t="s">
        <v>23</v>
      </c>
    </row>
    <row r="231" spans="4:17" x14ac:dyDescent="0.4">
      <c r="D231" s="25" t="s">
        <v>137</v>
      </c>
      <c r="E231" s="2" t="s">
        <v>138</v>
      </c>
      <c r="F231" s="2" t="s">
        <v>139</v>
      </c>
      <c r="G231" s="2" t="s">
        <v>140</v>
      </c>
      <c r="H231" s="26" t="s">
        <v>5</v>
      </c>
      <c r="I231" s="27">
        <v>46070</v>
      </c>
      <c r="J231" s="2" t="s">
        <v>276</v>
      </c>
      <c r="K231" s="2" t="s">
        <v>29</v>
      </c>
      <c r="L231" s="28" t="s">
        <v>295</v>
      </c>
      <c r="M231" s="3">
        <v>50</v>
      </c>
      <c r="N231" s="3">
        <v>50</v>
      </c>
      <c r="O231" s="29">
        <v>1</v>
      </c>
      <c r="Q231" s="19" t="s">
        <v>23</v>
      </c>
    </row>
    <row r="232" spans="4:17" x14ac:dyDescent="0.4">
      <c r="D232" s="25" t="s">
        <v>142</v>
      </c>
      <c r="E232" s="2" t="s">
        <v>143</v>
      </c>
      <c r="F232" s="2" t="s">
        <v>144</v>
      </c>
      <c r="G232" s="2" t="s">
        <v>145</v>
      </c>
      <c r="H232" s="26" t="s">
        <v>5</v>
      </c>
      <c r="I232" s="27">
        <v>46070</v>
      </c>
      <c r="J232" s="2" t="s">
        <v>276</v>
      </c>
      <c r="K232" s="2" t="s">
        <v>29</v>
      </c>
      <c r="L232" s="28" t="s">
        <v>296</v>
      </c>
      <c r="M232" s="3">
        <v>50</v>
      </c>
      <c r="N232" s="3">
        <v>50</v>
      </c>
      <c r="O232" s="29">
        <v>1</v>
      </c>
      <c r="Q232" s="19" t="s">
        <v>23</v>
      </c>
    </row>
    <row r="233" spans="4:17" x14ac:dyDescent="0.4">
      <c r="D233" s="25" t="s">
        <v>147</v>
      </c>
      <c r="E233" s="2" t="s">
        <v>148</v>
      </c>
      <c r="F233" s="2" t="s">
        <v>149</v>
      </c>
      <c r="G233" s="2" t="s">
        <v>150</v>
      </c>
      <c r="H233" s="26" t="s">
        <v>5</v>
      </c>
      <c r="I233" s="27">
        <v>46070</v>
      </c>
      <c r="J233" s="2" t="s">
        <v>276</v>
      </c>
      <c r="K233" s="2" t="s">
        <v>29</v>
      </c>
      <c r="L233" s="28" t="s">
        <v>297</v>
      </c>
      <c r="M233" s="3">
        <v>50</v>
      </c>
      <c r="N233" s="3">
        <v>50</v>
      </c>
      <c r="O233" s="29">
        <v>1</v>
      </c>
      <c r="Q233" s="19" t="s">
        <v>23</v>
      </c>
    </row>
    <row r="234" spans="4:17" x14ac:dyDescent="0.4">
      <c r="D234" s="25" t="s">
        <v>152</v>
      </c>
      <c r="E234" s="2" t="s">
        <v>66</v>
      </c>
      <c r="F234" s="2" t="s">
        <v>153</v>
      </c>
      <c r="G234" s="2" t="s">
        <v>154</v>
      </c>
      <c r="H234" s="26" t="s">
        <v>5</v>
      </c>
      <c r="I234" s="27">
        <v>46070</v>
      </c>
      <c r="J234" s="2" t="s">
        <v>276</v>
      </c>
      <c r="K234" s="2" t="s">
        <v>29</v>
      </c>
      <c r="L234" s="28"/>
      <c r="M234" s="3">
        <v>0</v>
      </c>
      <c r="N234" s="3">
        <v>50</v>
      </c>
      <c r="O234" s="29">
        <v>0</v>
      </c>
      <c r="Q234" s="19" t="s">
        <v>23</v>
      </c>
    </row>
    <row r="235" spans="4:17" x14ac:dyDescent="0.4">
      <c r="D235" s="25" t="s">
        <v>156</v>
      </c>
      <c r="E235" s="2" t="s">
        <v>157</v>
      </c>
      <c r="F235" s="2" t="s">
        <v>158</v>
      </c>
      <c r="G235" s="2" t="s">
        <v>159</v>
      </c>
      <c r="H235" s="26" t="s">
        <v>5</v>
      </c>
      <c r="I235" s="27">
        <v>46070</v>
      </c>
      <c r="J235" s="2" t="s">
        <v>276</v>
      </c>
      <c r="K235" s="2" t="s">
        <v>29</v>
      </c>
      <c r="L235" s="28"/>
      <c r="M235" s="3">
        <v>0</v>
      </c>
      <c r="N235" s="3">
        <v>50</v>
      </c>
      <c r="O235" s="29">
        <v>0</v>
      </c>
      <c r="Q235" s="19" t="s">
        <v>23</v>
      </c>
    </row>
    <row r="236" spans="4:17" x14ac:dyDescent="0.4">
      <c r="D236" s="25" t="s">
        <v>160</v>
      </c>
      <c r="E236" s="2" t="s">
        <v>81</v>
      </c>
      <c r="F236" s="2" t="s">
        <v>161</v>
      </c>
      <c r="G236" s="2" t="s">
        <v>162</v>
      </c>
      <c r="H236" s="26" t="s">
        <v>5</v>
      </c>
      <c r="I236" s="27">
        <v>46070</v>
      </c>
      <c r="J236" s="2" t="s">
        <v>276</v>
      </c>
      <c r="K236" s="2" t="s">
        <v>29</v>
      </c>
      <c r="L236" s="28" t="s">
        <v>298</v>
      </c>
      <c r="M236" s="3">
        <v>50</v>
      </c>
      <c r="N236" s="3">
        <v>50</v>
      </c>
      <c r="O236" s="29">
        <v>1</v>
      </c>
      <c r="Q236" s="19" t="s">
        <v>23</v>
      </c>
    </row>
    <row r="237" spans="4:17" x14ac:dyDescent="0.4">
      <c r="D237" s="25" t="s">
        <v>163</v>
      </c>
      <c r="E237" s="2" t="s">
        <v>164</v>
      </c>
      <c r="F237" s="2" t="s">
        <v>165</v>
      </c>
      <c r="G237" s="2" t="s">
        <v>166</v>
      </c>
      <c r="H237" s="26" t="s">
        <v>5</v>
      </c>
      <c r="I237" s="27">
        <v>46070</v>
      </c>
      <c r="J237" s="2" t="s">
        <v>276</v>
      </c>
      <c r="K237" s="2" t="s">
        <v>29</v>
      </c>
      <c r="L237" s="28" t="s">
        <v>280</v>
      </c>
      <c r="M237" s="3">
        <v>45</v>
      </c>
      <c r="N237" s="3">
        <v>50</v>
      </c>
      <c r="O237" s="29">
        <v>0.9</v>
      </c>
      <c r="Q237" s="19" t="s">
        <v>23</v>
      </c>
    </row>
    <row r="238" spans="4:17" x14ac:dyDescent="0.4">
      <c r="D238" s="25" t="s">
        <v>168</v>
      </c>
      <c r="E238" s="2" t="s">
        <v>169</v>
      </c>
      <c r="F238" s="2" t="s">
        <v>170</v>
      </c>
      <c r="G238" s="2" t="s">
        <v>171</v>
      </c>
      <c r="H238" s="26" t="s">
        <v>5</v>
      </c>
      <c r="I238" s="27">
        <v>46070</v>
      </c>
      <c r="J238" s="2" t="s">
        <v>276</v>
      </c>
      <c r="K238" s="2" t="s">
        <v>29</v>
      </c>
      <c r="L238" s="28" t="s">
        <v>299</v>
      </c>
      <c r="M238" s="3">
        <v>48</v>
      </c>
      <c r="N238" s="3">
        <v>50</v>
      </c>
      <c r="O238" s="29">
        <v>0.96</v>
      </c>
      <c r="Q238" s="19" t="s">
        <v>23</v>
      </c>
    </row>
    <row r="239" spans="4:17" x14ac:dyDescent="0.4">
      <c r="D239" s="25" t="s">
        <v>173</v>
      </c>
      <c r="E239" s="2" t="s">
        <v>174</v>
      </c>
      <c r="F239" s="2" t="s">
        <v>175</v>
      </c>
      <c r="G239" s="2" t="s">
        <v>176</v>
      </c>
      <c r="H239" s="26" t="s">
        <v>5</v>
      </c>
      <c r="I239" s="27">
        <v>46070</v>
      </c>
      <c r="J239" s="2" t="s">
        <v>276</v>
      </c>
      <c r="K239" s="2" t="s">
        <v>29</v>
      </c>
      <c r="L239" s="28" t="s">
        <v>300</v>
      </c>
      <c r="M239" s="3">
        <v>50</v>
      </c>
      <c r="N239" s="3">
        <v>50</v>
      </c>
      <c r="O239" s="29">
        <v>1</v>
      </c>
      <c r="Q239" s="19" t="s">
        <v>23</v>
      </c>
    </row>
    <row r="240" spans="4:17" x14ac:dyDescent="0.4">
      <c r="D240" s="25" t="s">
        <v>178</v>
      </c>
      <c r="E240" s="2" t="s">
        <v>179</v>
      </c>
      <c r="F240" s="2" t="s">
        <v>180</v>
      </c>
      <c r="G240" s="2" t="s">
        <v>181</v>
      </c>
      <c r="H240" s="26" t="s">
        <v>5</v>
      </c>
      <c r="I240" s="27">
        <v>46070</v>
      </c>
      <c r="J240" s="2" t="s">
        <v>276</v>
      </c>
      <c r="K240" s="2" t="s">
        <v>29</v>
      </c>
      <c r="L240" s="28" t="s">
        <v>297</v>
      </c>
      <c r="M240" s="3">
        <v>50</v>
      </c>
      <c r="N240" s="3">
        <v>50</v>
      </c>
      <c r="O240" s="29">
        <v>1</v>
      </c>
      <c r="Q240" s="19" t="s">
        <v>23</v>
      </c>
    </row>
    <row r="241" spans="4:17" x14ac:dyDescent="0.4">
      <c r="D241" s="25" t="s">
        <v>183</v>
      </c>
      <c r="E241" s="2" t="s">
        <v>184</v>
      </c>
      <c r="F241" s="2" t="s">
        <v>185</v>
      </c>
      <c r="G241" s="2" t="s">
        <v>186</v>
      </c>
      <c r="H241" s="26" t="s">
        <v>5</v>
      </c>
      <c r="I241" s="27">
        <v>46070</v>
      </c>
      <c r="J241" s="2" t="s">
        <v>276</v>
      </c>
      <c r="K241" s="2" t="s">
        <v>29</v>
      </c>
      <c r="L241" s="28"/>
      <c r="M241" s="3">
        <v>0</v>
      </c>
      <c r="N241" s="3">
        <v>50</v>
      </c>
      <c r="O241" s="29">
        <v>0</v>
      </c>
      <c r="Q241" s="19" t="s">
        <v>23</v>
      </c>
    </row>
    <row r="242" spans="4:17" x14ac:dyDescent="0.4">
      <c r="D242" s="25" t="s">
        <v>187</v>
      </c>
      <c r="E242" s="2" t="s">
        <v>188</v>
      </c>
      <c r="F242" s="2" t="s">
        <v>189</v>
      </c>
      <c r="G242" s="2" t="s">
        <v>190</v>
      </c>
      <c r="H242" s="26" t="s">
        <v>5</v>
      </c>
      <c r="I242" s="27">
        <v>46070</v>
      </c>
      <c r="J242" s="2" t="s">
        <v>276</v>
      </c>
      <c r="K242" s="2" t="s">
        <v>29</v>
      </c>
      <c r="L242" s="28" t="s">
        <v>301</v>
      </c>
      <c r="M242" s="3">
        <v>19</v>
      </c>
      <c r="N242" s="3">
        <v>50</v>
      </c>
      <c r="O242" s="29">
        <v>0.38</v>
      </c>
      <c r="Q242" s="19" t="s">
        <v>23</v>
      </c>
    </row>
    <row r="243" spans="4:17" x14ac:dyDescent="0.4">
      <c r="D243" s="25" t="s">
        <v>192</v>
      </c>
      <c r="E243" s="2" t="s">
        <v>193</v>
      </c>
      <c r="F243" s="2" t="s">
        <v>194</v>
      </c>
      <c r="G243" s="2" t="s">
        <v>195</v>
      </c>
      <c r="H243" s="26" t="s">
        <v>5</v>
      </c>
      <c r="I243" s="27">
        <v>46070</v>
      </c>
      <c r="J243" s="2" t="s">
        <v>276</v>
      </c>
      <c r="K243" s="2" t="s">
        <v>29</v>
      </c>
      <c r="L243" s="28" t="s">
        <v>297</v>
      </c>
      <c r="M243" s="3">
        <v>50</v>
      </c>
      <c r="N243" s="3">
        <v>50</v>
      </c>
      <c r="O243" s="29">
        <v>1</v>
      </c>
      <c r="Q243" s="19" t="s">
        <v>23</v>
      </c>
    </row>
    <row r="244" spans="4:17" x14ac:dyDescent="0.4">
      <c r="D244" s="25" t="s">
        <v>197</v>
      </c>
      <c r="E244" s="2" t="s">
        <v>198</v>
      </c>
      <c r="F244" s="2" t="s">
        <v>199</v>
      </c>
      <c r="G244" s="2" t="s">
        <v>200</v>
      </c>
      <c r="H244" s="26" t="s">
        <v>5</v>
      </c>
      <c r="I244" s="27">
        <v>46070</v>
      </c>
      <c r="J244" s="2" t="s">
        <v>276</v>
      </c>
      <c r="K244" s="2" t="s">
        <v>29</v>
      </c>
      <c r="L244" s="28" t="s">
        <v>298</v>
      </c>
      <c r="M244" s="3">
        <v>50</v>
      </c>
      <c r="N244" s="3">
        <v>50</v>
      </c>
      <c r="O244" s="29">
        <v>1</v>
      </c>
      <c r="Q244" s="19" t="s">
        <v>23</v>
      </c>
    </row>
    <row r="245" spans="4:17" x14ac:dyDescent="0.4">
      <c r="D245" s="25" t="s">
        <v>201</v>
      </c>
      <c r="E245" s="2" t="s">
        <v>143</v>
      </c>
      <c r="F245" s="2" t="s">
        <v>202</v>
      </c>
      <c r="G245" s="2" t="s">
        <v>203</v>
      </c>
      <c r="H245" s="26" t="s">
        <v>5</v>
      </c>
      <c r="I245" s="27">
        <v>46070</v>
      </c>
      <c r="J245" s="2" t="s">
        <v>276</v>
      </c>
      <c r="K245" s="2" t="s">
        <v>29</v>
      </c>
      <c r="L245" s="28"/>
      <c r="M245" s="3">
        <v>0</v>
      </c>
      <c r="N245" s="3">
        <v>50</v>
      </c>
      <c r="O245" s="29">
        <v>0</v>
      </c>
      <c r="Q245" s="19" t="s">
        <v>23</v>
      </c>
    </row>
    <row r="246" spans="4:17" x14ac:dyDescent="0.4">
      <c r="D246" s="25" t="s">
        <v>205</v>
      </c>
      <c r="E246" s="2" t="s">
        <v>206</v>
      </c>
      <c r="F246" s="2" t="s">
        <v>207</v>
      </c>
      <c r="G246" s="2" t="s">
        <v>208</v>
      </c>
      <c r="H246" s="26" t="s">
        <v>5</v>
      </c>
      <c r="I246" s="27">
        <v>46070</v>
      </c>
      <c r="J246" s="2" t="s">
        <v>276</v>
      </c>
      <c r="K246" s="2" t="s">
        <v>29</v>
      </c>
      <c r="L246" s="28" t="s">
        <v>302</v>
      </c>
      <c r="M246" s="3">
        <v>15</v>
      </c>
      <c r="N246" s="3">
        <v>50</v>
      </c>
      <c r="O246" s="29">
        <v>0.3</v>
      </c>
      <c r="Q246" s="19" t="s">
        <v>23</v>
      </c>
    </row>
    <row r="247" spans="4:17" x14ac:dyDescent="0.4">
      <c r="D247" s="25" t="s">
        <v>210</v>
      </c>
      <c r="E247" s="2" t="s">
        <v>211</v>
      </c>
      <c r="F247" s="2" t="s">
        <v>212</v>
      </c>
      <c r="G247" s="2" t="s">
        <v>213</v>
      </c>
      <c r="H247" s="26" t="s">
        <v>5</v>
      </c>
      <c r="I247" s="27">
        <v>46070</v>
      </c>
      <c r="J247" s="2" t="s">
        <v>276</v>
      </c>
      <c r="K247" s="2" t="s">
        <v>29</v>
      </c>
      <c r="L247" s="28" t="s">
        <v>296</v>
      </c>
      <c r="M247" s="3">
        <v>50</v>
      </c>
      <c r="N247" s="3">
        <v>50</v>
      </c>
      <c r="O247" s="29">
        <v>1</v>
      </c>
      <c r="Q247" s="19" t="s">
        <v>23</v>
      </c>
    </row>
    <row r="248" spans="4:17" x14ac:dyDescent="0.4">
      <c r="D248" s="25" t="s">
        <v>215</v>
      </c>
      <c r="E248" s="2" t="s">
        <v>216</v>
      </c>
      <c r="F248" s="2" t="s">
        <v>217</v>
      </c>
      <c r="G248" s="2" t="s">
        <v>218</v>
      </c>
      <c r="H248" s="26" t="s">
        <v>5</v>
      </c>
      <c r="I248" s="27">
        <v>46070</v>
      </c>
      <c r="J248" s="2" t="s">
        <v>276</v>
      </c>
      <c r="K248" s="2" t="s">
        <v>29</v>
      </c>
      <c r="L248" s="28" t="s">
        <v>303</v>
      </c>
      <c r="M248" s="3">
        <v>36</v>
      </c>
      <c r="N248" s="3">
        <v>50</v>
      </c>
      <c r="O248" s="29">
        <v>0.72</v>
      </c>
      <c r="Q248" s="19" t="s">
        <v>23</v>
      </c>
    </row>
    <row r="249" spans="4:17" x14ac:dyDescent="0.4">
      <c r="D249" s="25" t="s">
        <v>24</v>
      </c>
      <c r="E249" s="2" t="s">
        <v>25</v>
      </c>
      <c r="F249" s="2" t="s">
        <v>26</v>
      </c>
      <c r="G249" s="2" t="s">
        <v>27</v>
      </c>
      <c r="H249" s="26" t="s">
        <v>6</v>
      </c>
      <c r="I249" s="27">
        <v>46064</v>
      </c>
      <c r="J249" s="2" t="s">
        <v>257</v>
      </c>
      <c r="K249" s="2" t="s">
        <v>29</v>
      </c>
      <c r="L249" s="28"/>
      <c r="M249" s="3">
        <v>50</v>
      </c>
      <c r="N249" s="3">
        <v>50</v>
      </c>
      <c r="O249" s="29">
        <v>1</v>
      </c>
      <c r="Q249" s="19" t="s">
        <v>23</v>
      </c>
    </row>
    <row r="250" spans="4:17" x14ac:dyDescent="0.4">
      <c r="D250" s="25" t="s">
        <v>31</v>
      </c>
      <c r="E250" s="2" t="s">
        <v>32</v>
      </c>
      <c r="F250" s="2" t="s">
        <v>33</v>
      </c>
      <c r="G250" s="2" t="s">
        <v>34</v>
      </c>
      <c r="H250" s="26" t="s">
        <v>6</v>
      </c>
      <c r="I250" s="27">
        <v>46064</v>
      </c>
      <c r="J250" s="2" t="s">
        <v>257</v>
      </c>
      <c r="K250" s="2" t="s">
        <v>29</v>
      </c>
      <c r="L250" s="28"/>
      <c r="M250" s="3">
        <v>40</v>
      </c>
      <c r="N250" s="3">
        <v>50</v>
      </c>
      <c r="O250" s="29">
        <v>0.8</v>
      </c>
      <c r="Q250" s="19" t="s">
        <v>23</v>
      </c>
    </row>
    <row r="251" spans="4:17" x14ac:dyDescent="0.4">
      <c r="D251" s="25" t="s">
        <v>36</v>
      </c>
      <c r="E251" s="2" t="s">
        <v>37</v>
      </c>
      <c r="F251" s="2" t="s">
        <v>38</v>
      </c>
      <c r="G251" s="2" t="s">
        <v>39</v>
      </c>
      <c r="H251" s="26" t="s">
        <v>6</v>
      </c>
      <c r="I251" s="27">
        <v>46064</v>
      </c>
      <c r="J251" s="2" t="s">
        <v>257</v>
      </c>
      <c r="K251" s="2" t="s">
        <v>29</v>
      </c>
      <c r="L251" s="28"/>
      <c r="M251" s="3">
        <v>50</v>
      </c>
      <c r="N251" s="3">
        <v>50</v>
      </c>
      <c r="O251" s="29">
        <v>1</v>
      </c>
      <c r="Q251" s="19" t="s">
        <v>23</v>
      </c>
    </row>
    <row r="252" spans="4:17" x14ac:dyDescent="0.4">
      <c r="D252" s="25" t="s">
        <v>41</v>
      </c>
      <c r="E252" s="2" t="s">
        <v>42</v>
      </c>
      <c r="F252" s="2" t="s">
        <v>43</v>
      </c>
      <c r="G252" s="2" t="s">
        <v>44</v>
      </c>
      <c r="H252" s="26" t="s">
        <v>6</v>
      </c>
      <c r="I252" s="27">
        <v>46064</v>
      </c>
      <c r="J252" s="2" t="s">
        <v>257</v>
      </c>
      <c r="K252" s="2" t="s">
        <v>29</v>
      </c>
      <c r="L252" s="28"/>
      <c r="M252" s="3">
        <v>50</v>
      </c>
      <c r="N252" s="3">
        <v>50</v>
      </c>
      <c r="O252" s="29">
        <v>1</v>
      </c>
      <c r="Q252" s="19" t="s">
        <v>23</v>
      </c>
    </row>
    <row r="253" spans="4:17" x14ac:dyDescent="0.4">
      <c r="D253" s="25" t="s">
        <v>46</v>
      </c>
      <c r="E253" s="2" t="s">
        <v>47</v>
      </c>
      <c r="F253" s="2" t="s">
        <v>48</v>
      </c>
      <c r="G253" s="2" t="s">
        <v>49</v>
      </c>
      <c r="H253" s="26" t="s">
        <v>6</v>
      </c>
      <c r="I253" s="27">
        <v>46064</v>
      </c>
      <c r="J253" s="2" t="s">
        <v>257</v>
      </c>
      <c r="K253" s="2" t="s">
        <v>29</v>
      </c>
      <c r="L253" s="28"/>
      <c r="M253" s="3">
        <v>50</v>
      </c>
      <c r="N253" s="3">
        <v>50</v>
      </c>
      <c r="O253" s="29">
        <v>1</v>
      </c>
      <c r="Q253" s="19" t="s">
        <v>23</v>
      </c>
    </row>
    <row r="254" spans="4:17" x14ac:dyDescent="0.4">
      <c r="D254" s="25" t="s">
        <v>65</v>
      </c>
      <c r="E254" s="2" t="s">
        <v>66</v>
      </c>
      <c r="F254" s="2" t="s">
        <v>67</v>
      </c>
      <c r="G254" s="2" t="s">
        <v>68</v>
      </c>
      <c r="H254" s="26" t="s">
        <v>6</v>
      </c>
      <c r="I254" s="27">
        <v>46064</v>
      </c>
      <c r="J254" s="2" t="s">
        <v>257</v>
      </c>
      <c r="K254" s="2" t="s">
        <v>29</v>
      </c>
      <c r="L254" s="28"/>
      <c r="M254" s="3">
        <v>50</v>
      </c>
      <c r="N254" s="3">
        <v>50</v>
      </c>
      <c r="O254" s="29">
        <v>1</v>
      </c>
      <c r="Q254" s="19" t="s">
        <v>23</v>
      </c>
    </row>
    <row r="255" spans="4:17" x14ac:dyDescent="0.4">
      <c r="D255" s="25" t="s">
        <v>70</v>
      </c>
      <c r="E255" s="2" t="s">
        <v>71</v>
      </c>
      <c r="F255" s="2" t="s">
        <v>72</v>
      </c>
      <c r="G255" s="2" t="s">
        <v>73</v>
      </c>
      <c r="H255" s="26" t="s">
        <v>6</v>
      </c>
      <c r="I255" s="27">
        <v>46064</v>
      </c>
      <c r="J255" s="2" t="s">
        <v>257</v>
      </c>
      <c r="K255" s="2" t="s">
        <v>29</v>
      </c>
      <c r="L255" s="28"/>
      <c r="M255" s="3">
        <v>50</v>
      </c>
      <c r="N255" s="3">
        <v>50</v>
      </c>
      <c r="O255" s="29">
        <v>1</v>
      </c>
      <c r="Q255" s="19" t="s">
        <v>23</v>
      </c>
    </row>
    <row r="256" spans="4:17" x14ac:dyDescent="0.4">
      <c r="D256" s="25" t="s">
        <v>56</v>
      </c>
      <c r="E256" s="2" t="s">
        <v>52</v>
      </c>
      <c r="F256" s="2" t="s">
        <v>57</v>
      </c>
      <c r="G256" s="2" t="s">
        <v>58</v>
      </c>
      <c r="H256" s="26" t="s">
        <v>6</v>
      </c>
      <c r="I256" s="27">
        <v>46064</v>
      </c>
      <c r="J256" s="2" t="s">
        <v>257</v>
      </c>
      <c r="K256" s="2" t="s">
        <v>29</v>
      </c>
      <c r="L256" s="28"/>
      <c r="M256" s="3">
        <v>50</v>
      </c>
      <c r="N256" s="3">
        <v>50</v>
      </c>
      <c r="O256" s="29">
        <v>1</v>
      </c>
      <c r="Q256" s="19" t="s">
        <v>23</v>
      </c>
    </row>
    <row r="257" spans="4:17" x14ac:dyDescent="0.4">
      <c r="D257" s="25" t="s">
        <v>60</v>
      </c>
      <c r="E257" s="2" t="s">
        <v>61</v>
      </c>
      <c r="F257" s="2" t="s">
        <v>62</v>
      </c>
      <c r="G257" s="2" t="s">
        <v>63</v>
      </c>
      <c r="H257" s="26" t="s">
        <v>6</v>
      </c>
      <c r="I257" s="27">
        <v>46064</v>
      </c>
      <c r="J257" s="2" t="s">
        <v>257</v>
      </c>
      <c r="K257" s="2" t="s">
        <v>29</v>
      </c>
      <c r="L257" s="28"/>
      <c r="M257" s="3">
        <v>50</v>
      </c>
      <c r="N257" s="3">
        <v>50</v>
      </c>
      <c r="O257" s="29">
        <v>1</v>
      </c>
      <c r="Q257" s="19" t="s">
        <v>23</v>
      </c>
    </row>
    <row r="258" spans="4:17" x14ac:dyDescent="0.4">
      <c r="D258" s="25" t="s">
        <v>51</v>
      </c>
      <c r="E258" s="2" t="s">
        <v>52</v>
      </c>
      <c r="F258" s="2" t="s">
        <v>53</v>
      </c>
      <c r="G258" s="2" t="s">
        <v>54</v>
      </c>
      <c r="H258" s="26" t="s">
        <v>6</v>
      </c>
      <c r="I258" s="27">
        <v>46064</v>
      </c>
      <c r="J258" s="2" t="s">
        <v>257</v>
      </c>
      <c r="K258" s="2" t="s">
        <v>29</v>
      </c>
      <c r="L258" s="28"/>
      <c r="M258" s="3">
        <v>50</v>
      </c>
      <c r="N258" s="3">
        <v>50</v>
      </c>
      <c r="O258" s="29">
        <v>1</v>
      </c>
      <c r="Q258" s="19" t="s">
        <v>23</v>
      </c>
    </row>
    <row r="259" spans="4:17" x14ac:dyDescent="0.4">
      <c r="D259" s="25" t="s">
        <v>75</v>
      </c>
      <c r="E259" s="2" t="s">
        <v>76</v>
      </c>
      <c r="F259" s="2" t="s">
        <v>77</v>
      </c>
      <c r="G259" s="2" t="s">
        <v>78</v>
      </c>
      <c r="H259" s="26" t="s">
        <v>6</v>
      </c>
      <c r="I259" s="27">
        <v>46064</v>
      </c>
      <c r="J259" s="2" t="s">
        <v>257</v>
      </c>
      <c r="K259" s="2" t="s">
        <v>29</v>
      </c>
      <c r="L259" s="28"/>
      <c r="M259" s="3">
        <v>50</v>
      </c>
      <c r="N259" s="3">
        <v>50</v>
      </c>
      <c r="O259" s="29">
        <v>1</v>
      </c>
      <c r="Q259" s="19" t="s">
        <v>23</v>
      </c>
    </row>
    <row r="260" spans="4:17" x14ac:dyDescent="0.4">
      <c r="D260" s="25" t="s">
        <v>80</v>
      </c>
      <c r="E260" s="2" t="s">
        <v>81</v>
      </c>
      <c r="F260" s="2" t="s">
        <v>82</v>
      </c>
      <c r="G260" s="2" t="s">
        <v>83</v>
      </c>
      <c r="H260" s="26" t="s">
        <v>6</v>
      </c>
      <c r="I260" s="27">
        <v>46064</v>
      </c>
      <c r="J260" s="2" t="s">
        <v>257</v>
      </c>
      <c r="K260" s="2" t="s">
        <v>29</v>
      </c>
      <c r="L260" s="28"/>
      <c r="M260" s="3">
        <v>50</v>
      </c>
      <c r="N260" s="3">
        <v>50</v>
      </c>
      <c r="O260" s="29">
        <v>1</v>
      </c>
      <c r="Q260" s="19" t="s">
        <v>23</v>
      </c>
    </row>
    <row r="261" spans="4:17" x14ac:dyDescent="0.4">
      <c r="D261" s="25" t="s">
        <v>85</v>
      </c>
      <c r="E261" s="2" t="s">
        <v>86</v>
      </c>
      <c r="F261" s="2" t="s">
        <v>87</v>
      </c>
      <c r="G261" s="2" t="s">
        <v>88</v>
      </c>
      <c r="H261" s="26" t="s">
        <v>6</v>
      </c>
      <c r="I261" s="27">
        <v>46064</v>
      </c>
      <c r="J261" s="2" t="s">
        <v>257</v>
      </c>
      <c r="K261" s="2" t="s">
        <v>29</v>
      </c>
      <c r="L261" s="28"/>
      <c r="M261" s="3">
        <v>50</v>
      </c>
      <c r="N261" s="3">
        <v>50</v>
      </c>
      <c r="O261" s="29">
        <v>1</v>
      </c>
      <c r="Q261" s="19" t="s">
        <v>23</v>
      </c>
    </row>
    <row r="262" spans="4:17" x14ac:dyDescent="0.4">
      <c r="D262" s="25" t="s">
        <v>89</v>
      </c>
      <c r="E262" s="2" t="s">
        <v>90</v>
      </c>
      <c r="F262" s="2" t="s">
        <v>91</v>
      </c>
      <c r="G262" s="2" t="s">
        <v>92</v>
      </c>
      <c r="H262" s="26" t="s">
        <v>6</v>
      </c>
      <c r="I262" s="27">
        <v>46064</v>
      </c>
      <c r="J262" s="2" t="s">
        <v>257</v>
      </c>
      <c r="K262" s="2" t="s">
        <v>29</v>
      </c>
      <c r="L262" s="28"/>
      <c r="M262" s="3">
        <v>0</v>
      </c>
      <c r="N262" s="3">
        <v>50</v>
      </c>
      <c r="O262" s="29">
        <v>0</v>
      </c>
      <c r="Q262" s="19" t="s">
        <v>23</v>
      </c>
    </row>
    <row r="263" spans="4:17" x14ac:dyDescent="0.4">
      <c r="D263" s="25" t="s">
        <v>94</v>
      </c>
      <c r="E263" s="2" t="s">
        <v>95</v>
      </c>
      <c r="F263" s="2" t="s">
        <v>96</v>
      </c>
      <c r="G263" s="2" t="s">
        <v>97</v>
      </c>
      <c r="H263" s="26" t="s">
        <v>6</v>
      </c>
      <c r="I263" s="27">
        <v>46064</v>
      </c>
      <c r="J263" s="2" t="s">
        <v>257</v>
      </c>
      <c r="K263" s="2" t="s">
        <v>29</v>
      </c>
      <c r="L263" s="28"/>
      <c r="M263" s="3">
        <v>50</v>
      </c>
      <c r="N263" s="3">
        <v>50</v>
      </c>
      <c r="O263" s="29">
        <v>1</v>
      </c>
      <c r="Q263" s="19" t="s">
        <v>23</v>
      </c>
    </row>
    <row r="264" spans="4:17" x14ac:dyDescent="0.4">
      <c r="D264" s="25" t="s">
        <v>99</v>
      </c>
      <c r="E264" s="2" t="s">
        <v>100</v>
      </c>
      <c r="F264" s="2" t="s">
        <v>101</v>
      </c>
      <c r="G264" s="2" t="s">
        <v>102</v>
      </c>
      <c r="H264" s="26" t="s">
        <v>6</v>
      </c>
      <c r="I264" s="27">
        <v>46064</v>
      </c>
      <c r="J264" s="2" t="s">
        <v>257</v>
      </c>
      <c r="K264" s="2" t="s">
        <v>29</v>
      </c>
      <c r="L264" s="28"/>
      <c r="M264" s="3">
        <v>50</v>
      </c>
      <c r="N264" s="3">
        <v>50</v>
      </c>
      <c r="O264" s="29">
        <v>1</v>
      </c>
      <c r="Q264" s="19" t="s">
        <v>23</v>
      </c>
    </row>
    <row r="265" spans="4:17" x14ac:dyDescent="0.4">
      <c r="D265" s="25" t="s">
        <v>104</v>
      </c>
      <c r="E265" s="2" t="s">
        <v>86</v>
      </c>
      <c r="F265" s="2" t="s">
        <v>105</v>
      </c>
      <c r="G265" s="2" t="s">
        <v>106</v>
      </c>
      <c r="H265" s="26" t="s">
        <v>6</v>
      </c>
      <c r="I265" s="27">
        <v>46064</v>
      </c>
      <c r="J265" s="2" t="s">
        <v>257</v>
      </c>
      <c r="K265" s="2" t="s">
        <v>29</v>
      </c>
      <c r="L265" s="28"/>
      <c r="M265" s="3">
        <v>50</v>
      </c>
      <c r="N265" s="3">
        <v>50</v>
      </c>
      <c r="O265" s="29">
        <v>1</v>
      </c>
      <c r="Q265" s="19" t="s">
        <v>23</v>
      </c>
    </row>
    <row r="266" spans="4:17" x14ac:dyDescent="0.4">
      <c r="D266" s="25" t="s">
        <v>107</v>
      </c>
      <c r="E266" s="2" t="s">
        <v>108</v>
      </c>
      <c r="F266" s="2" t="s">
        <v>109</v>
      </c>
      <c r="G266" s="2" t="s">
        <v>110</v>
      </c>
      <c r="H266" s="26" t="s">
        <v>6</v>
      </c>
      <c r="I266" s="27">
        <v>46064</v>
      </c>
      <c r="J266" s="2" t="s">
        <v>257</v>
      </c>
      <c r="K266" s="2" t="s">
        <v>29</v>
      </c>
      <c r="L266" s="28"/>
      <c r="M266" s="3">
        <v>50</v>
      </c>
      <c r="N266" s="3">
        <v>50</v>
      </c>
      <c r="O266" s="29">
        <v>1</v>
      </c>
      <c r="Q266" s="19" t="s">
        <v>23</v>
      </c>
    </row>
    <row r="267" spans="4:17" x14ac:dyDescent="0.4">
      <c r="D267" s="25" t="s">
        <v>112</v>
      </c>
      <c r="E267" s="2" t="s">
        <v>113</v>
      </c>
      <c r="F267" s="2" t="s">
        <v>114</v>
      </c>
      <c r="G267" s="2" t="s">
        <v>115</v>
      </c>
      <c r="H267" s="26" t="s">
        <v>6</v>
      </c>
      <c r="I267" s="27">
        <v>46064</v>
      </c>
      <c r="J267" s="2" t="s">
        <v>257</v>
      </c>
      <c r="K267" s="2" t="s">
        <v>29</v>
      </c>
      <c r="L267" s="28"/>
      <c r="M267" s="3">
        <v>50</v>
      </c>
      <c r="N267" s="3">
        <v>50</v>
      </c>
      <c r="O267" s="29">
        <v>1</v>
      </c>
      <c r="Q267" s="19" t="s">
        <v>23</v>
      </c>
    </row>
    <row r="268" spans="4:17" x14ac:dyDescent="0.4">
      <c r="D268" s="25" t="s">
        <v>117</v>
      </c>
      <c r="E268" s="2" t="s">
        <v>118</v>
      </c>
      <c r="F268" s="2" t="s">
        <v>119</v>
      </c>
      <c r="G268" s="2" t="s">
        <v>120</v>
      </c>
      <c r="H268" s="26" t="s">
        <v>6</v>
      </c>
      <c r="I268" s="27">
        <v>46064</v>
      </c>
      <c r="J268" s="2" t="s">
        <v>257</v>
      </c>
      <c r="K268" s="2" t="s">
        <v>29</v>
      </c>
      <c r="L268" s="28"/>
      <c r="M268" s="3">
        <v>50</v>
      </c>
      <c r="N268" s="3">
        <v>50</v>
      </c>
      <c r="O268" s="29">
        <v>1</v>
      </c>
      <c r="Q268" s="19" t="s">
        <v>23</v>
      </c>
    </row>
    <row r="269" spans="4:17" x14ac:dyDescent="0.4">
      <c r="D269" s="25" t="s">
        <v>122</v>
      </c>
      <c r="E269" s="2" t="s">
        <v>123</v>
      </c>
      <c r="F269" s="2" t="s">
        <v>124</v>
      </c>
      <c r="G269" s="2" t="s">
        <v>125</v>
      </c>
      <c r="H269" s="26" t="s">
        <v>6</v>
      </c>
      <c r="I269" s="27">
        <v>46064</v>
      </c>
      <c r="J269" s="2" t="s">
        <v>257</v>
      </c>
      <c r="K269" s="2" t="s">
        <v>29</v>
      </c>
      <c r="L269" s="28"/>
      <c r="M269" s="3">
        <v>50</v>
      </c>
      <c r="N269" s="3">
        <v>50</v>
      </c>
      <c r="O269" s="29">
        <v>1</v>
      </c>
      <c r="Q269" s="19" t="s">
        <v>23</v>
      </c>
    </row>
    <row r="270" spans="4:17" x14ac:dyDescent="0.4">
      <c r="D270" s="25" t="s">
        <v>127</v>
      </c>
      <c r="E270" s="2" t="s">
        <v>128</v>
      </c>
      <c r="F270" s="2" t="s">
        <v>129</v>
      </c>
      <c r="G270" s="2" t="s">
        <v>130</v>
      </c>
      <c r="H270" s="26" t="s">
        <v>6</v>
      </c>
      <c r="I270" s="27">
        <v>46064</v>
      </c>
      <c r="J270" s="2" t="s">
        <v>257</v>
      </c>
      <c r="K270" s="2" t="s">
        <v>29</v>
      </c>
      <c r="L270" s="28"/>
      <c r="M270" s="3">
        <v>50</v>
      </c>
      <c r="N270" s="3">
        <v>50</v>
      </c>
      <c r="O270" s="29">
        <v>1</v>
      </c>
      <c r="Q270" s="19" t="s">
        <v>23</v>
      </c>
    </row>
    <row r="271" spans="4:17" x14ac:dyDescent="0.4">
      <c r="D271" s="25" t="s">
        <v>132</v>
      </c>
      <c r="E271" s="2" t="s">
        <v>133</v>
      </c>
      <c r="F271" s="2" t="s">
        <v>134</v>
      </c>
      <c r="G271" s="2" t="s">
        <v>135</v>
      </c>
      <c r="H271" s="26" t="s">
        <v>6</v>
      </c>
      <c r="I271" s="27">
        <v>46064</v>
      </c>
      <c r="J271" s="2" t="s">
        <v>257</v>
      </c>
      <c r="K271" s="2" t="s">
        <v>29</v>
      </c>
      <c r="L271" s="28"/>
      <c r="M271" s="3">
        <v>50</v>
      </c>
      <c r="N271" s="3">
        <v>50</v>
      </c>
      <c r="O271" s="29">
        <v>1</v>
      </c>
      <c r="Q271" s="19" t="s">
        <v>23</v>
      </c>
    </row>
    <row r="272" spans="4:17" x14ac:dyDescent="0.4">
      <c r="D272" s="25" t="s">
        <v>137</v>
      </c>
      <c r="E272" s="2" t="s">
        <v>138</v>
      </c>
      <c r="F272" s="2" t="s">
        <v>139</v>
      </c>
      <c r="G272" s="2" t="s">
        <v>140</v>
      </c>
      <c r="H272" s="26" t="s">
        <v>6</v>
      </c>
      <c r="I272" s="27">
        <v>46064</v>
      </c>
      <c r="J272" s="2" t="s">
        <v>257</v>
      </c>
      <c r="K272" s="2" t="s">
        <v>29</v>
      </c>
      <c r="L272" s="28"/>
      <c r="M272" s="3">
        <v>50</v>
      </c>
      <c r="N272" s="3">
        <v>50</v>
      </c>
      <c r="O272" s="29">
        <v>1</v>
      </c>
      <c r="Q272" s="19" t="s">
        <v>23</v>
      </c>
    </row>
    <row r="273" spans="4:17" x14ac:dyDescent="0.4">
      <c r="D273" s="25" t="s">
        <v>142</v>
      </c>
      <c r="E273" s="2" t="s">
        <v>143</v>
      </c>
      <c r="F273" s="2" t="s">
        <v>144</v>
      </c>
      <c r="G273" s="2" t="s">
        <v>145</v>
      </c>
      <c r="H273" s="26" t="s">
        <v>6</v>
      </c>
      <c r="I273" s="27">
        <v>46064</v>
      </c>
      <c r="J273" s="2" t="s">
        <v>257</v>
      </c>
      <c r="K273" s="2" t="s">
        <v>29</v>
      </c>
      <c r="L273" s="28"/>
      <c r="M273" s="3">
        <v>50</v>
      </c>
      <c r="N273" s="3">
        <v>50</v>
      </c>
      <c r="O273" s="29">
        <v>1</v>
      </c>
      <c r="Q273" s="19" t="s">
        <v>23</v>
      </c>
    </row>
    <row r="274" spans="4:17" x14ac:dyDescent="0.4">
      <c r="D274" s="25" t="s">
        <v>147</v>
      </c>
      <c r="E274" s="2" t="s">
        <v>148</v>
      </c>
      <c r="F274" s="2" t="s">
        <v>149</v>
      </c>
      <c r="G274" s="2" t="s">
        <v>150</v>
      </c>
      <c r="H274" s="26" t="s">
        <v>6</v>
      </c>
      <c r="I274" s="27">
        <v>46064</v>
      </c>
      <c r="J274" s="2" t="s">
        <v>257</v>
      </c>
      <c r="K274" s="2" t="s">
        <v>29</v>
      </c>
      <c r="L274" s="28"/>
      <c r="M274" s="3">
        <v>50</v>
      </c>
      <c r="N274" s="3">
        <v>50</v>
      </c>
      <c r="O274" s="29">
        <v>1</v>
      </c>
      <c r="Q274" s="19" t="s">
        <v>23</v>
      </c>
    </row>
    <row r="275" spans="4:17" x14ac:dyDescent="0.4">
      <c r="D275" s="25" t="s">
        <v>152</v>
      </c>
      <c r="E275" s="2" t="s">
        <v>66</v>
      </c>
      <c r="F275" s="2" t="s">
        <v>153</v>
      </c>
      <c r="G275" s="2" t="s">
        <v>154</v>
      </c>
      <c r="H275" s="26" t="s">
        <v>6</v>
      </c>
      <c r="I275" s="27">
        <v>46064</v>
      </c>
      <c r="J275" s="2" t="s">
        <v>257</v>
      </c>
      <c r="K275" s="2" t="s">
        <v>29</v>
      </c>
      <c r="L275" s="28"/>
      <c r="M275" s="3">
        <v>50</v>
      </c>
      <c r="N275" s="3">
        <v>50</v>
      </c>
      <c r="O275" s="29">
        <v>1</v>
      </c>
      <c r="Q275" s="19" t="s">
        <v>23</v>
      </c>
    </row>
    <row r="276" spans="4:17" x14ac:dyDescent="0.4">
      <c r="D276" s="25" t="s">
        <v>156</v>
      </c>
      <c r="E276" s="2" t="s">
        <v>157</v>
      </c>
      <c r="F276" s="2" t="s">
        <v>158</v>
      </c>
      <c r="G276" s="2" t="s">
        <v>159</v>
      </c>
      <c r="H276" s="26" t="s">
        <v>6</v>
      </c>
      <c r="I276" s="27">
        <v>46064</v>
      </c>
      <c r="J276" s="2" t="s">
        <v>257</v>
      </c>
      <c r="K276" s="2" t="s">
        <v>29</v>
      </c>
      <c r="L276" s="28"/>
      <c r="M276" s="3">
        <v>50</v>
      </c>
      <c r="N276" s="3">
        <v>50</v>
      </c>
      <c r="O276" s="29">
        <v>1</v>
      </c>
      <c r="Q276" s="19" t="s">
        <v>23</v>
      </c>
    </row>
    <row r="277" spans="4:17" x14ac:dyDescent="0.4">
      <c r="D277" s="25" t="s">
        <v>160</v>
      </c>
      <c r="E277" s="2" t="s">
        <v>81</v>
      </c>
      <c r="F277" s="2" t="s">
        <v>161</v>
      </c>
      <c r="G277" s="2" t="s">
        <v>162</v>
      </c>
      <c r="H277" s="26" t="s">
        <v>6</v>
      </c>
      <c r="I277" s="27">
        <v>46064</v>
      </c>
      <c r="J277" s="2" t="s">
        <v>257</v>
      </c>
      <c r="K277" s="2" t="s">
        <v>29</v>
      </c>
      <c r="L277" s="28"/>
      <c r="M277" s="3">
        <v>50</v>
      </c>
      <c r="N277" s="3">
        <v>50</v>
      </c>
      <c r="O277" s="29">
        <v>1</v>
      </c>
      <c r="Q277" s="19" t="s">
        <v>23</v>
      </c>
    </row>
    <row r="278" spans="4:17" x14ac:dyDescent="0.4">
      <c r="D278" s="25" t="s">
        <v>163</v>
      </c>
      <c r="E278" s="2" t="s">
        <v>164</v>
      </c>
      <c r="F278" s="2" t="s">
        <v>165</v>
      </c>
      <c r="G278" s="2" t="s">
        <v>166</v>
      </c>
      <c r="H278" s="26" t="s">
        <v>6</v>
      </c>
      <c r="I278" s="27">
        <v>46064</v>
      </c>
      <c r="J278" s="2" t="s">
        <v>257</v>
      </c>
      <c r="K278" s="2" t="s">
        <v>29</v>
      </c>
      <c r="L278" s="28"/>
      <c r="M278" s="3">
        <v>0</v>
      </c>
      <c r="N278" s="3">
        <v>50</v>
      </c>
      <c r="O278" s="29">
        <v>0</v>
      </c>
      <c r="Q278" s="19" t="s">
        <v>23</v>
      </c>
    </row>
    <row r="279" spans="4:17" x14ac:dyDescent="0.4">
      <c r="D279" s="25" t="s">
        <v>168</v>
      </c>
      <c r="E279" s="2" t="s">
        <v>169</v>
      </c>
      <c r="F279" s="2" t="s">
        <v>170</v>
      </c>
      <c r="G279" s="2" t="s">
        <v>171</v>
      </c>
      <c r="H279" s="26" t="s">
        <v>6</v>
      </c>
      <c r="I279" s="27">
        <v>46064</v>
      </c>
      <c r="J279" s="2" t="s">
        <v>257</v>
      </c>
      <c r="K279" s="2" t="s">
        <v>29</v>
      </c>
      <c r="L279" s="28"/>
      <c r="M279" s="3">
        <v>50</v>
      </c>
      <c r="N279" s="3">
        <v>50</v>
      </c>
      <c r="O279" s="29">
        <v>1</v>
      </c>
      <c r="Q279" s="19" t="s">
        <v>23</v>
      </c>
    </row>
    <row r="280" spans="4:17" x14ac:dyDescent="0.4">
      <c r="D280" s="25" t="s">
        <v>173</v>
      </c>
      <c r="E280" s="2" t="s">
        <v>174</v>
      </c>
      <c r="F280" s="2" t="s">
        <v>175</v>
      </c>
      <c r="G280" s="2" t="s">
        <v>176</v>
      </c>
      <c r="H280" s="26" t="s">
        <v>6</v>
      </c>
      <c r="I280" s="27">
        <v>46064</v>
      </c>
      <c r="J280" s="2" t="s">
        <v>257</v>
      </c>
      <c r="K280" s="2" t="s">
        <v>29</v>
      </c>
      <c r="L280" s="28"/>
      <c r="M280" s="3">
        <v>50</v>
      </c>
      <c r="N280" s="3">
        <v>50</v>
      </c>
      <c r="O280" s="29">
        <v>1</v>
      </c>
      <c r="Q280" s="19" t="s">
        <v>23</v>
      </c>
    </row>
    <row r="281" spans="4:17" x14ac:dyDescent="0.4">
      <c r="D281" s="25" t="s">
        <v>178</v>
      </c>
      <c r="E281" s="2" t="s">
        <v>179</v>
      </c>
      <c r="F281" s="2" t="s">
        <v>180</v>
      </c>
      <c r="G281" s="2" t="s">
        <v>181</v>
      </c>
      <c r="H281" s="26" t="s">
        <v>6</v>
      </c>
      <c r="I281" s="27">
        <v>46064</v>
      </c>
      <c r="J281" s="2" t="s">
        <v>257</v>
      </c>
      <c r="K281" s="2" t="s">
        <v>29</v>
      </c>
      <c r="L281" s="28"/>
      <c r="M281" s="3">
        <v>50</v>
      </c>
      <c r="N281" s="3">
        <v>50</v>
      </c>
      <c r="O281" s="29">
        <v>1</v>
      </c>
      <c r="Q281" s="19" t="s">
        <v>23</v>
      </c>
    </row>
    <row r="282" spans="4:17" x14ac:dyDescent="0.4">
      <c r="D282" s="25" t="s">
        <v>183</v>
      </c>
      <c r="E282" s="2" t="s">
        <v>184</v>
      </c>
      <c r="F282" s="2" t="s">
        <v>185</v>
      </c>
      <c r="G282" s="2" t="s">
        <v>186</v>
      </c>
      <c r="H282" s="26" t="s">
        <v>6</v>
      </c>
      <c r="I282" s="27">
        <v>46064</v>
      </c>
      <c r="J282" s="2" t="s">
        <v>257</v>
      </c>
      <c r="K282" s="2" t="s">
        <v>29</v>
      </c>
      <c r="L282" s="28"/>
      <c r="M282" s="3">
        <v>0</v>
      </c>
      <c r="N282" s="3">
        <v>50</v>
      </c>
      <c r="O282" s="29">
        <v>0</v>
      </c>
      <c r="Q282" s="19" t="s">
        <v>23</v>
      </c>
    </row>
    <row r="283" spans="4:17" x14ac:dyDescent="0.4">
      <c r="D283" s="25" t="s">
        <v>187</v>
      </c>
      <c r="E283" s="2" t="s">
        <v>188</v>
      </c>
      <c r="F283" s="2" t="s">
        <v>189</v>
      </c>
      <c r="G283" s="2" t="s">
        <v>190</v>
      </c>
      <c r="H283" s="26" t="s">
        <v>6</v>
      </c>
      <c r="I283" s="27">
        <v>46064</v>
      </c>
      <c r="J283" s="2" t="s">
        <v>257</v>
      </c>
      <c r="K283" s="2" t="s">
        <v>29</v>
      </c>
      <c r="L283" s="28"/>
      <c r="M283" s="3">
        <v>50</v>
      </c>
      <c r="N283" s="3">
        <v>50</v>
      </c>
      <c r="O283" s="29">
        <v>1</v>
      </c>
      <c r="Q283" s="19" t="s">
        <v>23</v>
      </c>
    </row>
    <row r="284" spans="4:17" x14ac:dyDescent="0.4">
      <c r="D284" s="25" t="s">
        <v>192</v>
      </c>
      <c r="E284" s="2" t="s">
        <v>193</v>
      </c>
      <c r="F284" s="2" t="s">
        <v>194</v>
      </c>
      <c r="G284" s="2" t="s">
        <v>195</v>
      </c>
      <c r="H284" s="26" t="s">
        <v>6</v>
      </c>
      <c r="I284" s="27">
        <v>46064</v>
      </c>
      <c r="J284" s="2" t="s">
        <v>257</v>
      </c>
      <c r="K284" s="2" t="s">
        <v>29</v>
      </c>
      <c r="L284" s="28"/>
      <c r="M284" s="3">
        <v>50</v>
      </c>
      <c r="N284" s="3">
        <v>50</v>
      </c>
      <c r="O284" s="29">
        <v>1</v>
      </c>
      <c r="Q284" s="19" t="s">
        <v>23</v>
      </c>
    </row>
    <row r="285" spans="4:17" x14ac:dyDescent="0.4">
      <c r="D285" s="25" t="s">
        <v>197</v>
      </c>
      <c r="E285" s="2" t="s">
        <v>198</v>
      </c>
      <c r="F285" s="2" t="s">
        <v>199</v>
      </c>
      <c r="G285" s="2" t="s">
        <v>200</v>
      </c>
      <c r="H285" s="26" t="s">
        <v>6</v>
      </c>
      <c r="I285" s="27">
        <v>46064</v>
      </c>
      <c r="J285" s="2" t="s">
        <v>257</v>
      </c>
      <c r="K285" s="2" t="s">
        <v>29</v>
      </c>
      <c r="L285" s="28"/>
      <c r="M285" s="3">
        <v>50</v>
      </c>
      <c r="N285" s="3">
        <v>50</v>
      </c>
      <c r="O285" s="29">
        <v>1</v>
      </c>
      <c r="Q285" s="19" t="s">
        <v>23</v>
      </c>
    </row>
    <row r="286" spans="4:17" x14ac:dyDescent="0.4">
      <c r="D286" s="25" t="s">
        <v>201</v>
      </c>
      <c r="E286" s="2" t="s">
        <v>143</v>
      </c>
      <c r="F286" s="2" t="s">
        <v>202</v>
      </c>
      <c r="G286" s="2" t="s">
        <v>203</v>
      </c>
      <c r="H286" s="26" t="s">
        <v>6</v>
      </c>
      <c r="I286" s="27">
        <v>46064</v>
      </c>
      <c r="J286" s="2" t="s">
        <v>257</v>
      </c>
      <c r="K286" s="2" t="s">
        <v>29</v>
      </c>
      <c r="L286" s="28"/>
      <c r="M286" s="3">
        <v>40</v>
      </c>
      <c r="N286" s="3">
        <v>50</v>
      </c>
      <c r="O286" s="29">
        <v>0.8</v>
      </c>
      <c r="Q286" s="19" t="s">
        <v>23</v>
      </c>
    </row>
    <row r="287" spans="4:17" x14ac:dyDescent="0.4">
      <c r="D287" s="25" t="s">
        <v>205</v>
      </c>
      <c r="E287" s="2" t="s">
        <v>206</v>
      </c>
      <c r="F287" s="2" t="s">
        <v>207</v>
      </c>
      <c r="G287" s="2" t="s">
        <v>208</v>
      </c>
      <c r="H287" s="26" t="s">
        <v>6</v>
      </c>
      <c r="I287" s="27">
        <v>46064</v>
      </c>
      <c r="J287" s="2" t="s">
        <v>257</v>
      </c>
      <c r="K287" s="2" t="s">
        <v>29</v>
      </c>
      <c r="L287" s="28"/>
      <c r="M287" s="3">
        <v>50</v>
      </c>
      <c r="N287" s="3">
        <v>50</v>
      </c>
      <c r="O287" s="29">
        <v>1</v>
      </c>
      <c r="Q287" s="19" t="s">
        <v>23</v>
      </c>
    </row>
    <row r="288" spans="4:17" x14ac:dyDescent="0.4">
      <c r="D288" s="25" t="s">
        <v>210</v>
      </c>
      <c r="E288" s="2" t="s">
        <v>211</v>
      </c>
      <c r="F288" s="2" t="s">
        <v>212</v>
      </c>
      <c r="G288" s="2" t="s">
        <v>213</v>
      </c>
      <c r="H288" s="26" t="s">
        <v>6</v>
      </c>
      <c r="I288" s="27">
        <v>46064</v>
      </c>
      <c r="J288" s="2" t="s">
        <v>257</v>
      </c>
      <c r="K288" s="2" t="s">
        <v>29</v>
      </c>
      <c r="L288" s="28"/>
      <c r="M288" s="3">
        <v>0</v>
      </c>
      <c r="N288" s="3">
        <v>50</v>
      </c>
      <c r="O288" s="29">
        <v>0</v>
      </c>
      <c r="Q288" s="19" t="s">
        <v>23</v>
      </c>
    </row>
    <row r="289" spans="4:17" x14ac:dyDescent="0.4">
      <c r="D289" s="25" t="s">
        <v>215</v>
      </c>
      <c r="E289" s="2" t="s">
        <v>216</v>
      </c>
      <c r="F289" s="2" t="s">
        <v>217</v>
      </c>
      <c r="G289" s="2" t="s">
        <v>218</v>
      </c>
      <c r="H289" s="26" t="s">
        <v>6</v>
      </c>
      <c r="I289" s="27">
        <v>46064</v>
      </c>
      <c r="J289" s="2" t="s">
        <v>257</v>
      </c>
      <c r="K289" s="2" t="s">
        <v>29</v>
      </c>
      <c r="L289" s="28"/>
      <c r="M289" s="3">
        <v>50</v>
      </c>
      <c r="N289" s="3">
        <v>50</v>
      </c>
      <c r="O289" s="29">
        <v>1</v>
      </c>
      <c r="Q289" s="19" t="s">
        <v>23</v>
      </c>
    </row>
    <row r="290" spans="4:17" x14ac:dyDescent="0.4">
      <c r="D290" s="25" t="s">
        <v>24</v>
      </c>
      <c r="E290" s="2" t="s">
        <v>25</v>
      </c>
      <c r="F290" s="2" t="s">
        <v>26</v>
      </c>
      <c r="G290" s="2" t="s">
        <v>27</v>
      </c>
      <c r="H290" s="26" t="s">
        <v>7</v>
      </c>
      <c r="I290" s="27">
        <v>46057</v>
      </c>
      <c r="J290" s="2" t="s">
        <v>257</v>
      </c>
      <c r="K290" s="2" t="s">
        <v>29</v>
      </c>
      <c r="L290" s="28"/>
      <c r="M290" s="3">
        <v>50</v>
      </c>
      <c r="N290" s="3">
        <v>50</v>
      </c>
      <c r="O290" s="29">
        <v>1</v>
      </c>
      <c r="Q290" s="19" t="s">
        <v>23</v>
      </c>
    </row>
    <row r="291" spans="4:17" x14ac:dyDescent="0.4">
      <c r="D291" s="25" t="s">
        <v>31</v>
      </c>
      <c r="E291" s="2" t="s">
        <v>32</v>
      </c>
      <c r="F291" s="2" t="s">
        <v>33</v>
      </c>
      <c r="G291" s="2" t="s">
        <v>34</v>
      </c>
      <c r="H291" s="26" t="s">
        <v>7</v>
      </c>
      <c r="I291" s="27">
        <v>46057</v>
      </c>
      <c r="J291" s="2" t="s">
        <v>257</v>
      </c>
      <c r="K291" s="2" t="s">
        <v>29</v>
      </c>
      <c r="L291" s="28"/>
      <c r="M291" s="3">
        <v>40</v>
      </c>
      <c r="N291" s="3">
        <v>50</v>
      </c>
      <c r="O291" s="29">
        <v>0.8</v>
      </c>
      <c r="Q291" s="19" t="s">
        <v>23</v>
      </c>
    </row>
    <row r="292" spans="4:17" x14ac:dyDescent="0.4">
      <c r="D292" s="25" t="s">
        <v>36</v>
      </c>
      <c r="E292" s="2" t="s">
        <v>37</v>
      </c>
      <c r="F292" s="2" t="s">
        <v>38</v>
      </c>
      <c r="G292" s="2" t="s">
        <v>39</v>
      </c>
      <c r="H292" s="26" t="s">
        <v>7</v>
      </c>
      <c r="I292" s="27">
        <v>46057</v>
      </c>
      <c r="J292" s="2" t="s">
        <v>257</v>
      </c>
      <c r="K292" s="2" t="s">
        <v>29</v>
      </c>
      <c r="L292" s="28"/>
      <c r="M292" s="3">
        <v>50</v>
      </c>
      <c r="N292" s="3">
        <v>50</v>
      </c>
      <c r="O292" s="29">
        <v>1</v>
      </c>
      <c r="Q292" s="19" t="s">
        <v>23</v>
      </c>
    </row>
    <row r="293" spans="4:17" x14ac:dyDescent="0.4">
      <c r="D293" s="25" t="s">
        <v>41</v>
      </c>
      <c r="E293" s="2" t="s">
        <v>42</v>
      </c>
      <c r="F293" s="2" t="s">
        <v>43</v>
      </c>
      <c r="G293" s="2" t="s">
        <v>44</v>
      </c>
      <c r="H293" s="26" t="s">
        <v>7</v>
      </c>
      <c r="I293" s="27">
        <v>46057</v>
      </c>
      <c r="J293" s="2" t="s">
        <v>257</v>
      </c>
      <c r="K293" s="2" t="s">
        <v>29</v>
      </c>
      <c r="L293" s="28"/>
      <c r="M293" s="3">
        <v>0</v>
      </c>
      <c r="N293" s="3">
        <v>50</v>
      </c>
      <c r="O293" s="29">
        <v>0</v>
      </c>
      <c r="Q293" s="19" t="s">
        <v>23</v>
      </c>
    </row>
    <row r="294" spans="4:17" x14ac:dyDescent="0.4">
      <c r="D294" s="25" t="s">
        <v>46</v>
      </c>
      <c r="E294" s="2" t="s">
        <v>47</v>
      </c>
      <c r="F294" s="2" t="s">
        <v>48</v>
      </c>
      <c r="G294" s="2" t="s">
        <v>49</v>
      </c>
      <c r="H294" s="26" t="s">
        <v>7</v>
      </c>
      <c r="I294" s="27">
        <v>46057</v>
      </c>
      <c r="J294" s="2" t="s">
        <v>257</v>
      </c>
      <c r="K294" s="2" t="s">
        <v>29</v>
      </c>
      <c r="L294" s="28"/>
      <c r="M294" s="3">
        <v>50</v>
      </c>
      <c r="N294" s="3">
        <v>50</v>
      </c>
      <c r="O294" s="29">
        <v>1</v>
      </c>
      <c r="Q294" s="19" t="s">
        <v>23</v>
      </c>
    </row>
    <row r="295" spans="4:17" x14ac:dyDescent="0.4">
      <c r="D295" s="25" t="s">
        <v>51</v>
      </c>
      <c r="E295" s="2" t="s">
        <v>52</v>
      </c>
      <c r="F295" s="2" t="s">
        <v>53</v>
      </c>
      <c r="G295" s="2" t="s">
        <v>54</v>
      </c>
      <c r="H295" s="26" t="s">
        <v>7</v>
      </c>
      <c r="I295" s="27">
        <v>46057</v>
      </c>
      <c r="J295" s="2" t="s">
        <v>257</v>
      </c>
      <c r="K295" s="2" t="s">
        <v>29</v>
      </c>
      <c r="L295" s="28"/>
      <c r="M295" s="3">
        <v>0</v>
      </c>
      <c r="N295" s="3">
        <v>50</v>
      </c>
      <c r="O295" s="29">
        <v>0</v>
      </c>
      <c r="Q295" s="19" t="s">
        <v>23</v>
      </c>
    </row>
    <row r="296" spans="4:17" x14ac:dyDescent="0.4">
      <c r="D296" s="25" t="s">
        <v>56</v>
      </c>
      <c r="E296" s="2" t="s">
        <v>52</v>
      </c>
      <c r="F296" s="2" t="s">
        <v>57</v>
      </c>
      <c r="G296" s="2" t="s">
        <v>58</v>
      </c>
      <c r="H296" s="26" t="s">
        <v>7</v>
      </c>
      <c r="I296" s="27">
        <v>46057</v>
      </c>
      <c r="J296" s="2" t="s">
        <v>257</v>
      </c>
      <c r="K296" s="2" t="s">
        <v>29</v>
      </c>
      <c r="L296" s="28"/>
      <c r="M296" s="3">
        <v>50</v>
      </c>
      <c r="N296" s="3">
        <v>50</v>
      </c>
      <c r="O296" s="29">
        <v>1</v>
      </c>
      <c r="Q296" s="19" t="s">
        <v>23</v>
      </c>
    </row>
    <row r="297" spans="4:17" x14ac:dyDescent="0.4">
      <c r="D297" s="25" t="s">
        <v>60</v>
      </c>
      <c r="E297" s="2" t="s">
        <v>61</v>
      </c>
      <c r="F297" s="2" t="s">
        <v>62</v>
      </c>
      <c r="G297" s="2" t="s">
        <v>63</v>
      </c>
      <c r="H297" s="26" t="s">
        <v>7</v>
      </c>
      <c r="I297" s="27">
        <v>46057</v>
      </c>
      <c r="J297" s="2" t="s">
        <v>257</v>
      </c>
      <c r="K297" s="2" t="s">
        <v>29</v>
      </c>
      <c r="L297" s="28"/>
      <c r="M297" s="3">
        <v>50</v>
      </c>
      <c r="N297" s="3">
        <v>50</v>
      </c>
      <c r="O297" s="29">
        <v>1</v>
      </c>
      <c r="Q297" s="19" t="s">
        <v>23</v>
      </c>
    </row>
    <row r="298" spans="4:17" x14ac:dyDescent="0.4">
      <c r="D298" s="25" t="s">
        <v>65</v>
      </c>
      <c r="E298" s="2" t="s">
        <v>66</v>
      </c>
      <c r="F298" s="2" t="s">
        <v>67</v>
      </c>
      <c r="G298" s="2" t="s">
        <v>68</v>
      </c>
      <c r="H298" s="26" t="s">
        <v>7</v>
      </c>
      <c r="I298" s="27">
        <v>46057</v>
      </c>
      <c r="J298" s="2" t="s">
        <v>257</v>
      </c>
      <c r="K298" s="2" t="s">
        <v>29</v>
      </c>
      <c r="L298" s="28"/>
      <c r="M298" s="3">
        <v>50</v>
      </c>
      <c r="N298" s="3">
        <v>50</v>
      </c>
      <c r="O298" s="29">
        <v>1</v>
      </c>
      <c r="Q298" s="19" t="s">
        <v>23</v>
      </c>
    </row>
    <row r="299" spans="4:17" x14ac:dyDescent="0.4">
      <c r="D299" s="25" t="s">
        <v>70</v>
      </c>
      <c r="E299" s="2" t="s">
        <v>71</v>
      </c>
      <c r="F299" s="2" t="s">
        <v>72</v>
      </c>
      <c r="G299" s="2" t="s">
        <v>73</v>
      </c>
      <c r="H299" s="26" t="s">
        <v>7</v>
      </c>
      <c r="I299" s="27">
        <v>46057</v>
      </c>
      <c r="J299" s="2" t="s">
        <v>257</v>
      </c>
      <c r="K299" s="2" t="s">
        <v>29</v>
      </c>
      <c r="L299" s="28"/>
      <c r="M299" s="3">
        <v>50</v>
      </c>
      <c r="N299" s="3">
        <v>50</v>
      </c>
      <c r="O299" s="29">
        <v>1</v>
      </c>
      <c r="Q299" s="19" t="s">
        <v>23</v>
      </c>
    </row>
    <row r="300" spans="4:17" x14ac:dyDescent="0.4">
      <c r="D300" s="25" t="s">
        <v>75</v>
      </c>
      <c r="E300" s="2" t="s">
        <v>76</v>
      </c>
      <c r="F300" s="2" t="s">
        <v>77</v>
      </c>
      <c r="G300" s="2" t="s">
        <v>78</v>
      </c>
      <c r="H300" s="26" t="s">
        <v>7</v>
      </c>
      <c r="I300" s="27">
        <v>46057</v>
      </c>
      <c r="J300" s="2" t="s">
        <v>257</v>
      </c>
      <c r="K300" s="2" t="s">
        <v>29</v>
      </c>
      <c r="L300" s="28"/>
      <c r="M300" s="3">
        <v>50</v>
      </c>
      <c r="N300" s="3">
        <v>50</v>
      </c>
      <c r="O300" s="29">
        <v>1</v>
      </c>
      <c r="Q300" s="19" t="s">
        <v>23</v>
      </c>
    </row>
    <row r="301" spans="4:17" x14ac:dyDescent="0.4">
      <c r="D301" s="25" t="s">
        <v>80</v>
      </c>
      <c r="E301" s="2" t="s">
        <v>81</v>
      </c>
      <c r="F301" s="2" t="s">
        <v>82</v>
      </c>
      <c r="G301" s="2" t="s">
        <v>83</v>
      </c>
      <c r="H301" s="26" t="s">
        <v>7</v>
      </c>
      <c r="I301" s="27">
        <v>46057</v>
      </c>
      <c r="J301" s="2" t="s">
        <v>257</v>
      </c>
      <c r="K301" s="2" t="s">
        <v>29</v>
      </c>
      <c r="L301" s="28"/>
      <c r="M301" s="3">
        <v>50</v>
      </c>
      <c r="N301" s="3">
        <v>50</v>
      </c>
      <c r="O301" s="29">
        <v>1</v>
      </c>
      <c r="Q301" s="19" t="s">
        <v>23</v>
      </c>
    </row>
    <row r="302" spans="4:17" x14ac:dyDescent="0.4">
      <c r="D302" s="25" t="s">
        <v>85</v>
      </c>
      <c r="E302" s="2" t="s">
        <v>86</v>
      </c>
      <c r="F302" s="2" t="s">
        <v>87</v>
      </c>
      <c r="G302" s="2" t="s">
        <v>88</v>
      </c>
      <c r="H302" s="26" t="s">
        <v>7</v>
      </c>
      <c r="I302" s="27">
        <v>46057</v>
      </c>
      <c r="J302" s="2" t="s">
        <v>257</v>
      </c>
      <c r="K302" s="2" t="s">
        <v>29</v>
      </c>
      <c r="L302" s="28"/>
      <c r="M302" s="3">
        <v>50</v>
      </c>
      <c r="N302" s="3">
        <v>50</v>
      </c>
      <c r="O302" s="29">
        <v>1</v>
      </c>
      <c r="Q302" s="19" t="s">
        <v>23</v>
      </c>
    </row>
    <row r="303" spans="4:17" x14ac:dyDescent="0.4">
      <c r="D303" s="25" t="s">
        <v>89</v>
      </c>
      <c r="E303" s="2" t="s">
        <v>90</v>
      </c>
      <c r="F303" s="2" t="s">
        <v>91</v>
      </c>
      <c r="G303" s="2" t="s">
        <v>92</v>
      </c>
      <c r="H303" s="26" t="s">
        <v>7</v>
      </c>
      <c r="I303" s="27">
        <v>46057</v>
      </c>
      <c r="J303" s="2" t="s">
        <v>257</v>
      </c>
      <c r="K303" s="2" t="s">
        <v>29</v>
      </c>
      <c r="L303" s="28"/>
      <c r="M303" s="3">
        <v>0</v>
      </c>
      <c r="N303" s="3">
        <v>50</v>
      </c>
      <c r="O303" s="29">
        <v>0</v>
      </c>
      <c r="Q303" s="19" t="s">
        <v>23</v>
      </c>
    </row>
    <row r="304" spans="4:17" x14ac:dyDescent="0.4">
      <c r="D304" s="25" t="s">
        <v>94</v>
      </c>
      <c r="E304" s="2" t="s">
        <v>95</v>
      </c>
      <c r="F304" s="2" t="s">
        <v>96</v>
      </c>
      <c r="G304" s="2" t="s">
        <v>97</v>
      </c>
      <c r="H304" s="26" t="s">
        <v>7</v>
      </c>
      <c r="I304" s="27">
        <v>46057</v>
      </c>
      <c r="J304" s="2" t="s">
        <v>257</v>
      </c>
      <c r="K304" s="2" t="s">
        <v>29</v>
      </c>
      <c r="L304" s="28"/>
      <c r="M304" s="3">
        <v>0</v>
      </c>
      <c r="N304" s="3">
        <v>50</v>
      </c>
      <c r="O304" s="29">
        <v>0</v>
      </c>
      <c r="Q304" s="19" t="s">
        <v>23</v>
      </c>
    </row>
    <row r="305" spans="4:17" x14ac:dyDescent="0.4">
      <c r="D305" s="25" t="s">
        <v>99</v>
      </c>
      <c r="E305" s="2" t="s">
        <v>100</v>
      </c>
      <c r="F305" s="2" t="s">
        <v>101</v>
      </c>
      <c r="G305" s="2" t="s">
        <v>102</v>
      </c>
      <c r="H305" s="26" t="s">
        <v>7</v>
      </c>
      <c r="I305" s="27">
        <v>46057</v>
      </c>
      <c r="J305" s="2" t="s">
        <v>257</v>
      </c>
      <c r="K305" s="2" t="s">
        <v>29</v>
      </c>
      <c r="L305" s="28"/>
      <c r="M305" s="3">
        <v>50</v>
      </c>
      <c r="N305" s="3">
        <v>50</v>
      </c>
      <c r="O305" s="29">
        <v>1</v>
      </c>
      <c r="Q305" s="19" t="s">
        <v>23</v>
      </c>
    </row>
    <row r="306" spans="4:17" x14ac:dyDescent="0.4">
      <c r="D306" s="25" t="s">
        <v>104</v>
      </c>
      <c r="E306" s="2" t="s">
        <v>86</v>
      </c>
      <c r="F306" s="2" t="s">
        <v>105</v>
      </c>
      <c r="G306" s="2" t="s">
        <v>106</v>
      </c>
      <c r="H306" s="26" t="s">
        <v>7</v>
      </c>
      <c r="I306" s="27">
        <v>46057</v>
      </c>
      <c r="J306" s="2" t="s">
        <v>257</v>
      </c>
      <c r="K306" s="2" t="s">
        <v>29</v>
      </c>
      <c r="L306" s="28"/>
      <c r="M306" s="3">
        <v>50</v>
      </c>
      <c r="N306" s="3">
        <v>50</v>
      </c>
      <c r="O306" s="29">
        <v>1</v>
      </c>
      <c r="Q306" s="19" t="s">
        <v>23</v>
      </c>
    </row>
    <row r="307" spans="4:17" x14ac:dyDescent="0.4">
      <c r="D307" s="25" t="s">
        <v>107</v>
      </c>
      <c r="E307" s="2" t="s">
        <v>108</v>
      </c>
      <c r="F307" s="2" t="s">
        <v>109</v>
      </c>
      <c r="G307" s="2" t="s">
        <v>110</v>
      </c>
      <c r="H307" s="26" t="s">
        <v>7</v>
      </c>
      <c r="I307" s="27">
        <v>46057</v>
      </c>
      <c r="J307" s="2" t="s">
        <v>257</v>
      </c>
      <c r="K307" s="2" t="s">
        <v>29</v>
      </c>
      <c r="L307" s="28"/>
      <c r="M307" s="3">
        <v>50</v>
      </c>
      <c r="N307" s="3">
        <v>50</v>
      </c>
      <c r="O307" s="29">
        <v>1</v>
      </c>
      <c r="Q307" s="19" t="s">
        <v>23</v>
      </c>
    </row>
    <row r="308" spans="4:17" x14ac:dyDescent="0.4">
      <c r="D308" s="25" t="s">
        <v>112</v>
      </c>
      <c r="E308" s="2" t="s">
        <v>113</v>
      </c>
      <c r="F308" s="2" t="s">
        <v>114</v>
      </c>
      <c r="G308" s="2" t="s">
        <v>115</v>
      </c>
      <c r="H308" s="26" t="s">
        <v>7</v>
      </c>
      <c r="I308" s="27">
        <v>46057</v>
      </c>
      <c r="J308" s="2" t="s">
        <v>257</v>
      </c>
      <c r="K308" s="2" t="s">
        <v>29</v>
      </c>
      <c r="L308" s="28"/>
      <c r="M308" s="3">
        <v>50</v>
      </c>
      <c r="N308" s="3">
        <v>50</v>
      </c>
      <c r="O308" s="29">
        <v>1</v>
      </c>
      <c r="Q308" s="19" t="s">
        <v>23</v>
      </c>
    </row>
    <row r="309" spans="4:17" x14ac:dyDescent="0.4">
      <c r="D309" s="25" t="s">
        <v>117</v>
      </c>
      <c r="E309" s="2" t="s">
        <v>118</v>
      </c>
      <c r="F309" s="2" t="s">
        <v>119</v>
      </c>
      <c r="G309" s="2" t="s">
        <v>120</v>
      </c>
      <c r="H309" s="26" t="s">
        <v>7</v>
      </c>
      <c r="I309" s="27">
        <v>46057</v>
      </c>
      <c r="J309" s="2" t="s">
        <v>257</v>
      </c>
      <c r="K309" s="2" t="s">
        <v>29</v>
      </c>
      <c r="L309" s="28"/>
      <c r="M309" s="3">
        <v>50</v>
      </c>
      <c r="N309" s="3">
        <v>50</v>
      </c>
      <c r="O309" s="29">
        <v>1</v>
      </c>
      <c r="Q309" s="19" t="s">
        <v>23</v>
      </c>
    </row>
    <row r="310" spans="4:17" x14ac:dyDescent="0.4">
      <c r="D310" s="25" t="s">
        <v>122</v>
      </c>
      <c r="E310" s="2" t="s">
        <v>123</v>
      </c>
      <c r="F310" s="2" t="s">
        <v>124</v>
      </c>
      <c r="G310" s="2" t="s">
        <v>125</v>
      </c>
      <c r="H310" s="26" t="s">
        <v>7</v>
      </c>
      <c r="I310" s="27">
        <v>46057</v>
      </c>
      <c r="J310" s="2" t="s">
        <v>257</v>
      </c>
      <c r="K310" s="2" t="s">
        <v>29</v>
      </c>
      <c r="L310" s="28"/>
      <c r="M310" s="3">
        <v>50</v>
      </c>
      <c r="N310" s="3">
        <v>50</v>
      </c>
      <c r="O310" s="29">
        <v>1</v>
      </c>
      <c r="Q310" s="19" t="s">
        <v>23</v>
      </c>
    </row>
    <row r="311" spans="4:17" x14ac:dyDescent="0.4">
      <c r="D311" s="25" t="s">
        <v>127</v>
      </c>
      <c r="E311" s="2" t="s">
        <v>128</v>
      </c>
      <c r="F311" s="2" t="s">
        <v>129</v>
      </c>
      <c r="G311" s="2" t="s">
        <v>130</v>
      </c>
      <c r="H311" s="26" t="s">
        <v>7</v>
      </c>
      <c r="I311" s="27">
        <v>46057</v>
      </c>
      <c r="J311" s="2" t="s">
        <v>257</v>
      </c>
      <c r="K311" s="2" t="s">
        <v>29</v>
      </c>
      <c r="L311" s="28"/>
      <c r="M311" s="3">
        <v>50</v>
      </c>
      <c r="N311" s="3">
        <v>50</v>
      </c>
      <c r="O311" s="29">
        <v>1</v>
      </c>
      <c r="Q311" s="19" t="s">
        <v>23</v>
      </c>
    </row>
    <row r="312" spans="4:17" x14ac:dyDescent="0.4">
      <c r="D312" s="25" t="s">
        <v>132</v>
      </c>
      <c r="E312" s="2" t="s">
        <v>133</v>
      </c>
      <c r="F312" s="2" t="s">
        <v>134</v>
      </c>
      <c r="G312" s="2" t="s">
        <v>135</v>
      </c>
      <c r="H312" s="26" t="s">
        <v>7</v>
      </c>
      <c r="I312" s="27">
        <v>46057</v>
      </c>
      <c r="J312" s="2" t="s">
        <v>257</v>
      </c>
      <c r="K312" s="2" t="s">
        <v>29</v>
      </c>
      <c r="L312" s="28"/>
      <c r="M312" s="3">
        <v>50</v>
      </c>
      <c r="N312" s="3">
        <v>50</v>
      </c>
      <c r="O312" s="29">
        <v>1</v>
      </c>
      <c r="Q312" s="19" t="s">
        <v>23</v>
      </c>
    </row>
    <row r="313" spans="4:17" x14ac:dyDescent="0.4">
      <c r="D313" s="25" t="s">
        <v>137</v>
      </c>
      <c r="E313" s="2" t="s">
        <v>138</v>
      </c>
      <c r="F313" s="2" t="s">
        <v>139</v>
      </c>
      <c r="G313" s="2" t="s">
        <v>140</v>
      </c>
      <c r="H313" s="26" t="s">
        <v>7</v>
      </c>
      <c r="I313" s="27">
        <v>46057</v>
      </c>
      <c r="J313" s="2" t="s">
        <v>257</v>
      </c>
      <c r="K313" s="2" t="s">
        <v>29</v>
      </c>
      <c r="L313" s="28"/>
      <c r="M313" s="3">
        <v>50</v>
      </c>
      <c r="N313" s="3">
        <v>50</v>
      </c>
      <c r="O313" s="29">
        <v>1</v>
      </c>
      <c r="Q313" s="19" t="s">
        <v>23</v>
      </c>
    </row>
    <row r="314" spans="4:17" x14ac:dyDescent="0.4">
      <c r="D314" s="25" t="s">
        <v>142</v>
      </c>
      <c r="E314" s="2" t="s">
        <v>143</v>
      </c>
      <c r="F314" s="2" t="s">
        <v>144</v>
      </c>
      <c r="G314" s="2" t="s">
        <v>145</v>
      </c>
      <c r="H314" s="26" t="s">
        <v>7</v>
      </c>
      <c r="I314" s="27">
        <v>46057</v>
      </c>
      <c r="J314" s="2" t="s">
        <v>257</v>
      </c>
      <c r="K314" s="2" t="s">
        <v>29</v>
      </c>
      <c r="L314" s="28"/>
      <c r="M314" s="3">
        <v>50</v>
      </c>
      <c r="N314" s="3">
        <v>50</v>
      </c>
      <c r="O314" s="29">
        <v>1</v>
      </c>
      <c r="Q314" s="19" t="s">
        <v>23</v>
      </c>
    </row>
    <row r="315" spans="4:17" x14ac:dyDescent="0.4">
      <c r="D315" s="25" t="s">
        <v>147</v>
      </c>
      <c r="E315" s="2" t="s">
        <v>148</v>
      </c>
      <c r="F315" s="2" t="s">
        <v>149</v>
      </c>
      <c r="G315" s="2" t="s">
        <v>150</v>
      </c>
      <c r="H315" s="26" t="s">
        <v>7</v>
      </c>
      <c r="I315" s="27">
        <v>46057</v>
      </c>
      <c r="J315" s="2" t="s">
        <v>257</v>
      </c>
      <c r="K315" s="2" t="s">
        <v>29</v>
      </c>
      <c r="L315" s="28"/>
      <c r="M315" s="3">
        <v>50</v>
      </c>
      <c r="N315" s="3">
        <v>50</v>
      </c>
      <c r="O315" s="29">
        <v>1</v>
      </c>
      <c r="Q315" s="19" t="s">
        <v>23</v>
      </c>
    </row>
    <row r="316" spans="4:17" x14ac:dyDescent="0.4">
      <c r="D316" s="25" t="s">
        <v>152</v>
      </c>
      <c r="E316" s="2" t="s">
        <v>66</v>
      </c>
      <c r="F316" s="2" t="s">
        <v>153</v>
      </c>
      <c r="G316" s="2" t="s">
        <v>154</v>
      </c>
      <c r="H316" s="26" t="s">
        <v>7</v>
      </c>
      <c r="I316" s="27">
        <v>46057</v>
      </c>
      <c r="J316" s="2" t="s">
        <v>257</v>
      </c>
      <c r="K316" s="2" t="s">
        <v>29</v>
      </c>
      <c r="L316" s="28"/>
      <c r="M316" s="3">
        <v>50</v>
      </c>
      <c r="N316" s="3">
        <v>50</v>
      </c>
      <c r="O316" s="29">
        <v>1</v>
      </c>
      <c r="Q316" s="19" t="s">
        <v>23</v>
      </c>
    </row>
    <row r="317" spans="4:17" x14ac:dyDescent="0.4">
      <c r="D317" s="25" t="s">
        <v>156</v>
      </c>
      <c r="E317" s="2" t="s">
        <v>157</v>
      </c>
      <c r="F317" s="2" t="s">
        <v>158</v>
      </c>
      <c r="G317" s="2" t="s">
        <v>159</v>
      </c>
      <c r="H317" s="26" t="s">
        <v>7</v>
      </c>
      <c r="I317" s="27">
        <v>46057</v>
      </c>
      <c r="J317" s="2" t="s">
        <v>257</v>
      </c>
      <c r="K317" s="2" t="s">
        <v>29</v>
      </c>
      <c r="L317" s="28"/>
      <c r="M317" s="3">
        <v>0</v>
      </c>
      <c r="N317" s="3">
        <v>50</v>
      </c>
      <c r="O317" s="29">
        <v>0</v>
      </c>
      <c r="Q317" s="19" t="s">
        <v>23</v>
      </c>
    </row>
    <row r="318" spans="4:17" x14ac:dyDescent="0.4">
      <c r="D318" s="25" t="s">
        <v>160</v>
      </c>
      <c r="E318" s="2" t="s">
        <v>81</v>
      </c>
      <c r="F318" s="2" t="s">
        <v>161</v>
      </c>
      <c r="G318" s="2" t="s">
        <v>162</v>
      </c>
      <c r="H318" s="26" t="s">
        <v>7</v>
      </c>
      <c r="I318" s="27">
        <v>46057</v>
      </c>
      <c r="J318" s="2" t="s">
        <v>257</v>
      </c>
      <c r="K318" s="2" t="s">
        <v>29</v>
      </c>
      <c r="L318" s="28"/>
      <c r="M318" s="3">
        <v>50</v>
      </c>
      <c r="N318" s="3">
        <v>50</v>
      </c>
      <c r="O318" s="29">
        <v>1</v>
      </c>
      <c r="Q318" s="19" t="s">
        <v>23</v>
      </c>
    </row>
    <row r="319" spans="4:17" x14ac:dyDescent="0.4">
      <c r="D319" s="25" t="s">
        <v>163</v>
      </c>
      <c r="E319" s="2" t="s">
        <v>164</v>
      </c>
      <c r="F319" s="2" t="s">
        <v>165</v>
      </c>
      <c r="G319" s="2" t="s">
        <v>166</v>
      </c>
      <c r="H319" s="26" t="s">
        <v>7</v>
      </c>
      <c r="I319" s="27">
        <v>46057</v>
      </c>
      <c r="J319" s="2" t="s">
        <v>257</v>
      </c>
      <c r="K319" s="2" t="s">
        <v>29</v>
      </c>
      <c r="L319" s="28"/>
      <c r="M319" s="3">
        <v>50</v>
      </c>
      <c r="N319" s="3">
        <v>50</v>
      </c>
      <c r="O319" s="29">
        <v>1</v>
      </c>
      <c r="Q319" s="19" t="s">
        <v>23</v>
      </c>
    </row>
    <row r="320" spans="4:17" x14ac:dyDescent="0.4">
      <c r="D320" s="25" t="s">
        <v>168</v>
      </c>
      <c r="E320" s="2" t="s">
        <v>169</v>
      </c>
      <c r="F320" s="2" t="s">
        <v>170</v>
      </c>
      <c r="G320" s="2" t="s">
        <v>171</v>
      </c>
      <c r="H320" s="26" t="s">
        <v>7</v>
      </c>
      <c r="I320" s="27">
        <v>46057</v>
      </c>
      <c r="J320" s="2" t="s">
        <v>257</v>
      </c>
      <c r="K320" s="2" t="s">
        <v>29</v>
      </c>
      <c r="L320" s="28"/>
      <c r="M320" s="3">
        <v>50</v>
      </c>
      <c r="N320" s="3">
        <v>50</v>
      </c>
      <c r="O320" s="29">
        <v>1</v>
      </c>
      <c r="Q320" s="19" t="s">
        <v>23</v>
      </c>
    </row>
    <row r="321" spans="4:17" x14ac:dyDescent="0.4">
      <c r="D321" s="25" t="s">
        <v>173</v>
      </c>
      <c r="E321" s="2" t="s">
        <v>174</v>
      </c>
      <c r="F321" s="2" t="s">
        <v>175</v>
      </c>
      <c r="G321" s="2" t="s">
        <v>176</v>
      </c>
      <c r="H321" s="26" t="s">
        <v>7</v>
      </c>
      <c r="I321" s="27">
        <v>46057</v>
      </c>
      <c r="J321" s="2" t="s">
        <v>257</v>
      </c>
      <c r="K321" s="2" t="s">
        <v>29</v>
      </c>
      <c r="L321" s="28"/>
      <c r="M321" s="3">
        <v>50</v>
      </c>
      <c r="N321" s="3">
        <v>50</v>
      </c>
      <c r="O321" s="29">
        <v>1</v>
      </c>
      <c r="Q321" s="19" t="s">
        <v>23</v>
      </c>
    </row>
    <row r="322" spans="4:17" x14ac:dyDescent="0.4">
      <c r="D322" s="25" t="s">
        <v>178</v>
      </c>
      <c r="E322" s="2" t="s">
        <v>179</v>
      </c>
      <c r="F322" s="2" t="s">
        <v>180</v>
      </c>
      <c r="G322" s="2" t="s">
        <v>181</v>
      </c>
      <c r="H322" s="26" t="s">
        <v>7</v>
      </c>
      <c r="I322" s="27">
        <v>46057</v>
      </c>
      <c r="J322" s="2" t="s">
        <v>257</v>
      </c>
      <c r="K322" s="2" t="s">
        <v>29</v>
      </c>
      <c r="L322" s="28"/>
      <c r="M322" s="3">
        <v>50</v>
      </c>
      <c r="N322" s="3">
        <v>50</v>
      </c>
      <c r="O322" s="29">
        <v>1</v>
      </c>
      <c r="Q322" s="19" t="s">
        <v>23</v>
      </c>
    </row>
    <row r="323" spans="4:17" x14ac:dyDescent="0.4">
      <c r="D323" s="25" t="s">
        <v>183</v>
      </c>
      <c r="E323" s="2" t="s">
        <v>184</v>
      </c>
      <c r="F323" s="2" t="s">
        <v>185</v>
      </c>
      <c r="G323" s="2" t="s">
        <v>186</v>
      </c>
      <c r="H323" s="26" t="s">
        <v>7</v>
      </c>
      <c r="I323" s="27">
        <v>46057</v>
      </c>
      <c r="J323" s="2" t="s">
        <v>257</v>
      </c>
      <c r="K323" s="2" t="s">
        <v>29</v>
      </c>
      <c r="L323" s="28"/>
      <c r="M323" s="3">
        <v>0</v>
      </c>
      <c r="N323" s="3">
        <v>50</v>
      </c>
      <c r="O323" s="29">
        <v>0</v>
      </c>
      <c r="Q323" s="19" t="s">
        <v>23</v>
      </c>
    </row>
    <row r="324" spans="4:17" x14ac:dyDescent="0.4">
      <c r="D324" s="25" t="s">
        <v>187</v>
      </c>
      <c r="E324" s="2" t="s">
        <v>188</v>
      </c>
      <c r="F324" s="2" t="s">
        <v>189</v>
      </c>
      <c r="G324" s="2" t="s">
        <v>190</v>
      </c>
      <c r="H324" s="26" t="s">
        <v>7</v>
      </c>
      <c r="I324" s="27">
        <v>46057</v>
      </c>
      <c r="J324" s="2" t="s">
        <v>257</v>
      </c>
      <c r="K324" s="2" t="s">
        <v>29</v>
      </c>
      <c r="L324" s="28"/>
      <c r="M324" s="3">
        <v>50</v>
      </c>
      <c r="N324" s="3">
        <v>50</v>
      </c>
      <c r="O324" s="29">
        <v>1</v>
      </c>
      <c r="Q324" s="19" t="s">
        <v>23</v>
      </c>
    </row>
    <row r="325" spans="4:17" x14ac:dyDescent="0.4">
      <c r="D325" s="25" t="s">
        <v>192</v>
      </c>
      <c r="E325" s="2" t="s">
        <v>193</v>
      </c>
      <c r="F325" s="2" t="s">
        <v>194</v>
      </c>
      <c r="G325" s="2" t="s">
        <v>195</v>
      </c>
      <c r="H325" s="26" t="s">
        <v>7</v>
      </c>
      <c r="I325" s="27">
        <v>46057</v>
      </c>
      <c r="J325" s="2" t="s">
        <v>257</v>
      </c>
      <c r="K325" s="2" t="s">
        <v>29</v>
      </c>
      <c r="L325" s="28"/>
      <c r="M325" s="3">
        <v>50</v>
      </c>
      <c r="N325" s="3">
        <v>50</v>
      </c>
      <c r="O325" s="29">
        <v>1</v>
      </c>
      <c r="Q325" s="19" t="s">
        <v>23</v>
      </c>
    </row>
    <row r="326" spans="4:17" x14ac:dyDescent="0.4">
      <c r="D326" s="25" t="s">
        <v>197</v>
      </c>
      <c r="E326" s="2" t="s">
        <v>198</v>
      </c>
      <c r="F326" s="2" t="s">
        <v>199</v>
      </c>
      <c r="G326" s="2" t="s">
        <v>200</v>
      </c>
      <c r="H326" s="26" t="s">
        <v>7</v>
      </c>
      <c r="I326" s="27">
        <v>46057</v>
      </c>
      <c r="J326" s="2" t="s">
        <v>257</v>
      </c>
      <c r="K326" s="2" t="s">
        <v>29</v>
      </c>
      <c r="L326" s="28"/>
      <c r="M326" s="3">
        <v>50</v>
      </c>
      <c r="N326" s="3">
        <v>50</v>
      </c>
      <c r="O326" s="29">
        <v>1</v>
      </c>
      <c r="Q326" s="19" t="s">
        <v>23</v>
      </c>
    </row>
    <row r="327" spans="4:17" x14ac:dyDescent="0.4">
      <c r="D327" s="25" t="s">
        <v>201</v>
      </c>
      <c r="E327" s="2" t="s">
        <v>143</v>
      </c>
      <c r="F327" s="2" t="s">
        <v>202</v>
      </c>
      <c r="G327" s="2" t="s">
        <v>203</v>
      </c>
      <c r="H327" s="26" t="s">
        <v>7</v>
      </c>
      <c r="I327" s="27">
        <v>46057</v>
      </c>
      <c r="J327" s="2" t="s">
        <v>257</v>
      </c>
      <c r="K327" s="2" t="s">
        <v>29</v>
      </c>
      <c r="L327" s="28"/>
      <c r="M327" s="3">
        <v>50</v>
      </c>
      <c r="N327" s="3">
        <v>50</v>
      </c>
      <c r="O327" s="29">
        <v>1</v>
      </c>
      <c r="Q327" s="19" t="s">
        <v>23</v>
      </c>
    </row>
    <row r="328" spans="4:17" x14ac:dyDescent="0.4">
      <c r="D328" s="25" t="s">
        <v>205</v>
      </c>
      <c r="E328" s="2" t="s">
        <v>206</v>
      </c>
      <c r="F328" s="2" t="s">
        <v>207</v>
      </c>
      <c r="G328" s="2" t="s">
        <v>208</v>
      </c>
      <c r="H328" s="26" t="s">
        <v>7</v>
      </c>
      <c r="I328" s="27">
        <v>46057</v>
      </c>
      <c r="J328" s="2" t="s">
        <v>257</v>
      </c>
      <c r="K328" s="2" t="s">
        <v>29</v>
      </c>
      <c r="L328" s="28"/>
      <c r="M328" s="3">
        <v>50</v>
      </c>
      <c r="N328" s="3">
        <v>50</v>
      </c>
      <c r="O328" s="29">
        <v>1</v>
      </c>
      <c r="Q328" s="19" t="s">
        <v>23</v>
      </c>
    </row>
    <row r="329" spans="4:17" x14ac:dyDescent="0.4">
      <c r="D329" s="25" t="s">
        <v>210</v>
      </c>
      <c r="E329" s="2" t="s">
        <v>211</v>
      </c>
      <c r="F329" s="2" t="s">
        <v>212</v>
      </c>
      <c r="G329" s="2" t="s">
        <v>213</v>
      </c>
      <c r="H329" s="26" t="s">
        <v>7</v>
      </c>
      <c r="I329" s="27">
        <v>46057</v>
      </c>
      <c r="J329" s="2" t="s">
        <v>257</v>
      </c>
      <c r="K329" s="2" t="s">
        <v>29</v>
      </c>
      <c r="L329" s="28"/>
      <c r="M329" s="3">
        <v>50</v>
      </c>
      <c r="N329" s="3">
        <v>50</v>
      </c>
      <c r="O329" s="29">
        <v>1</v>
      </c>
      <c r="Q329" s="19" t="s">
        <v>23</v>
      </c>
    </row>
    <row r="330" spans="4:17" x14ac:dyDescent="0.4">
      <c r="D330" s="25" t="s">
        <v>215</v>
      </c>
      <c r="E330" s="2" t="s">
        <v>216</v>
      </c>
      <c r="F330" s="2" t="s">
        <v>217</v>
      </c>
      <c r="G330" s="2" t="s">
        <v>218</v>
      </c>
      <c r="H330" s="26" t="s">
        <v>7</v>
      </c>
      <c r="I330" s="27">
        <v>46057</v>
      </c>
      <c r="J330" s="2" t="s">
        <v>257</v>
      </c>
      <c r="K330" s="2" t="s">
        <v>29</v>
      </c>
      <c r="L330" s="28"/>
      <c r="M330" s="3">
        <v>50</v>
      </c>
      <c r="N330" s="3">
        <v>50</v>
      </c>
      <c r="O330" s="29">
        <v>1</v>
      </c>
      <c r="Q330" s="19" t="s">
        <v>23</v>
      </c>
    </row>
    <row r="331" spans="4:17" x14ac:dyDescent="0.4">
      <c r="D331" s="25" t="s">
        <v>24</v>
      </c>
      <c r="E331" s="2" t="s">
        <v>25</v>
      </c>
      <c r="F331" s="2" t="s">
        <v>26</v>
      </c>
      <c r="G331" s="2" t="s">
        <v>27</v>
      </c>
      <c r="H331" s="26" t="s">
        <v>8</v>
      </c>
      <c r="I331" s="27">
        <v>46056</v>
      </c>
      <c r="J331" s="2" t="s">
        <v>276</v>
      </c>
      <c r="K331" s="2" t="s">
        <v>29</v>
      </c>
      <c r="L331" s="28" t="s">
        <v>304</v>
      </c>
      <c r="M331" s="3">
        <v>50</v>
      </c>
      <c r="N331" s="3">
        <v>50</v>
      </c>
      <c r="O331" s="29">
        <v>1</v>
      </c>
      <c r="Q331" s="19" t="s">
        <v>23</v>
      </c>
    </row>
    <row r="332" spans="4:17" x14ac:dyDescent="0.4">
      <c r="D332" s="25" t="s">
        <v>31</v>
      </c>
      <c r="E332" s="2" t="s">
        <v>32</v>
      </c>
      <c r="F332" s="2" t="s">
        <v>33</v>
      </c>
      <c r="G332" s="2" t="s">
        <v>34</v>
      </c>
      <c r="H332" s="26" t="s">
        <v>8</v>
      </c>
      <c r="I332" s="27">
        <v>46056</v>
      </c>
      <c r="J332" s="2" t="s">
        <v>276</v>
      </c>
      <c r="K332" s="2" t="s">
        <v>29</v>
      </c>
      <c r="L332" s="28" t="s">
        <v>305</v>
      </c>
      <c r="M332" s="3">
        <v>40</v>
      </c>
      <c r="N332" s="3">
        <v>50</v>
      </c>
      <c r="O332" s="29">
        <v>0.8</v>
      </c>
      <c r="Q332" s="19" t="s">
        <v>23</v>
      </c>
    </row>
    <row r="333" spans="4:17" x14ac:dyDescent="0.4">
      <c r="D333" s="25" t="s">
        <v>36</v>
      </c>
      <c r="E333" s="2" t="s">
        <v>37</v>
      </c>
      <c r="F333" s="2" t="s">
        <v>38</v>
      </c>
      <c r="G333" s="2" t="s">
        <v>39</v>
      </c>
      <c r="H333" s="26" t="s">
        <v>8</v>
      </c>
      <c r="I333" s="27">
        <v>46056</v>
      </c>
      <c r="J333" s="2" t="s">
        <v>276</v>
      </c>
      <c r="K333" s="2" t="s">
        <v>29</v>
      </c>
      <c r="L333" s="28"/>
      <c r="M333" s="3">
        <v>0</v>
      </c>
      <c r="N333" s="3">
        <v>50</v>
      </c>
      <c r="O333" s="29">
        <v>0</v>
      </c>
      <c r="Q333" s="19" t="s">
        <v>23</v>
      </c>
    </row>
    <row r="334" spans="4:17" x14ac:dyDescent="0.4">
      <c r="D334" s="25" t="s">
        <v>41</v>
      </c>
      <c r="E334" s="2" t="s">
        <v>42</v>
      </c>
      <c r="F334" s="2" t="s">
        <v>43</v>
      </c>
      <c r="G334" s="2" t="s">
        <v>44</v>
      </c>
      <c r="H334" s="26" t="s">
        <v>8</v>
      </c>
      <c r="I334" s="27">
        <v>46056</v>
      </c>
      <c r="J334" s="2" t="s">
        <v>276</v>
      </c>
      <c r="K334" s="2" t="s">
        <v>29</v>
      </c>
      <c r="L334" s="28" t="s">
        <v>306</v>
      </c>
      <c r="M334" s="3">
        <v>50</v>
      </c>
      <c r="N334" s="3">
        <v>50</v>
      </c>
      <c r="O334" s="29">
        <v>1</v>
      </c>
      <c r="Q334" s="19" t="s">
        <v>23</v>
      </c>
    </row>
    <row r="335" spans="4:17" x14ac:dyDescent="0.4">
      <c r="D335" s="25" t="s">
        <v>46</v>
      </c>
      <c r="E335" s="2" t="s">
        <v>47</v>
      </c>
      <c r="F335" s="2" t="s">
        <v>48</v>
      </c>
      <c r="G335" s="2" t="s">
        <v>49</v>
      </c>
      <c r="H335" s="26" t="s">
        <v>8</v>
      </c>
      <c r="I335" s="27">
        <v>46056</v>
      </c>
      <c r="J335" s="2" t="s">
        <v>276</v>
      </c>
      <c r="K335" s="2" t="s">
        <v>29</v>
      </c>
      <c r="L335" s="28" t="s">
        <v>307</v>
      </c>
      <c r="M335" s="3">
        <v>40</v>
      </c>
      <c r="N335" s="3">
        <v>50</v>
      </c>
      <c r="O335" s="29">
        <v>0.8</v>
      </c>
      <c r="Q335" s="19" t="s">
        <v>23</v>
      </c>
    </row>
    <row r="336" spans="4:17" x14ac:dyDescent="0.4">
      <c r="D336" s="25" t="s">
        <v>51</v>
      </c>
      <c r="E336" s="2" t="s">
        <v>52</v>
      </c>
      <c r="F336" s="2" t="s">
        <v>53</v>
      </c>
      <c r="G336" s="2" t="s">
        <v>54</v>
      </c>
      <c r="H336" s="26" t="s">
        <v>8</v>
      </c>
      <c r="I336" s="27">
        <v>46056</v>
      </c>
      <c r="J336" s="2" t="s">
        <v>276</v>
      </c>
      <c r="K336" s="2" t="s">
        <v>29</v>
      </c>
      <c r="L336" s="28" t="s">
        <v>308</v>
      </c>
      <c r="M336" s="3">
        <v>40</v>
      </c>
      <c r="N336" s="3">
        <v>50</v>
      </c>
      <c r="O336" s="29">
        <v>0.8</v>
      </c>
      <c r="Q336" s="19" t="s">
        <v>23</v>
      </c>
    </row>
    <row r="337" spans="4:17" x14ac:dyDescent="0.4">
      <c r="D337" s="25" t="s">
        <v>56</v>
      </c>
      <c r="E337" s="2" t="s">
        <v>52</v>
      </c>
      <c r="F337" s="2" t="s">
        <v>57</v>
      </c>
      <c r="G337" s="2" t="s">
        <v>58</v>
      </c>
      <c r="H337" s="26" t="s">
        <v>8</v>
      </c>
      <c r="I337" s="27">
        <v>46056</v>
      </c>
      <c r="J337" s="2" t="s">
        <v>276</v>
      </c>
      <c r="K337" s="2" t="s">
        <v>29</v>
      </c>
      <c r="L337" s="28" t="s">
        <v>309</v>
      </c>
      <c r="M337" s="3">
        <v>50</v>
      </c>
      <c r="N337" s="3">
        <v>50</v>
      </c>
      <c r="O337" s="29">
        <v>1</v>
      </c>
      <c r="Q337" s="19" t="s">
        <v>23</v>
      </c>
    </row>
    <row r="338" spans="4:17" x14ac:dyDescent="0.4">
      <c r="D338" s="25" t="s">
        <v>60</v>
      </c>
      <c r="E338" s="2" t="s">
        <v>61</v>
      </c>
      <c r="F338" s="2" t="s">
        <v>62</v>
      </c>
      <c r="G338" s="2" t="s">
        <v>63</v>
      </c>
      <c r="H338" s="26" t="s">
        <v>8</v>
      </c>
      <c r="I338" s="27">
        <v>46056</v>
      </c>
      <c r="J338" s="2" t="s">
        <v>276</v>
      </c>
      <c r="K338" s="2" t="s">
        <v>29</v>
      </c>
      <c r="L338" s="28"/>
      <c r="M338" s="3">
        <v>0</v>
      </c>
      <c r="N338" s="3">
        <v>50</v>
      </c>
      <c r="O338" s="29">
        <v>0</v>
      </c>
      <c r="Q338" s="19" t="s">
        <v>23</v>
      </c>
    </row>
    <row r="339" spans="4:17" x14ac:dyDescent="0.4">
      <c r="D339" s="25" t="s">
        <v>65</v>
      </c>
      <c r="E339" s="2" t="s">
        <v>66</v>
      </c>
      <c r="F339" s="2" t="s">
        <v>67</v>
      </c>
      <c r="G339" s="2" t="s">
        <v>68</v>
      </c>
      <c r="H339" s="26" t="s">
        <v>8</v>
      </c>
      <c r="I339" s="27">
        <v>46056</v>
      </c>
      <c r="J339" s="2" t="s">
        <v>276</v>
      </c>
      <c r="K339" s="2" t="s">
        <v>29</v>
      </c>
      <c r="L339" s="28" t="s">
        <v>310</v>
      </c>
      <c r="M339" s="3">
        <v>43</v>
      </c>
      <c r="N339" s="3">
        <v>50</v>
      </c>
      <c r="O339" s="29">
        <v>0.86</v>
      </c>
      <c r="Q339" s="19" t="s">
        <v>23</v>
      </c>
    </row>
    <row r="340" spans="4:17" x14ac:dyDescent="0.4">
      <c r="D340" s="25" t="s">
        <v>70</v>
      </c>
      <c r="E340" s="2" t="s">
        <v>71</v>
      </c>
      <c r="F340" s="2" t="s">
        <v>72</v>
      </c>
      <c r="G340" s="2" t="s">
        <v>73</v>
      </c>
      <c r="H340" s="26" t="s">
        <v>8</v>
      </c>
      <c r="I340" s="27">
        <v>46056</v>
      </c>
      <c r="J340" s="2" t="s">
        <v>276</v>
      </c>
      <c r="K340" s="2" t="s">
        <v>29</v>
      </c>
      <c r="L340" s="28" t="s">
        <v>311</v>
      </c>
      <c r="M340" s="3">
        <v>50</v>
      </c>
      <c r="N340" s="3">
        <v>50</v>
      </c>
      <c r="O340" s="29">
        <v>1</v>
      </c>
      <c r="Q340" s="19" t="s">
        <v>23</v>
      </c>
    </row>
    <row r="341" spans="4:17" x14ac:dyDescent="0.4">
      <c r="D341" s="25" t="s">
        <v>75</v>
      </c>
      <c r="E341" s="2" t="s">
        <v>76</v>
      </c>
      <c r="F341" s="2" t="s">
        <v>77</v>
      </c>
      <c r="G341" s="2" t="s">
        <v>78</v>
      </c>
      <c r="H341" s="26" t="s">
        <v>8</v>
      </c>
      <c r="I341" s="27">
        <v>46056</v>
      </c>
      <c r="J341" s="2" t="s">
        <v>276</v>
      </c>
      <c r="K341" s="2" t="s">
        <v>29</v>
      </c>
      <c r="L341" s="28" t="s">
        <v>312</v>
      </c>
      <c r="M341" s="3">
        <v>0</v>
      </c>
      <c r="N341" s="3">
        <v>50</v>
      </c>
      <c r="O341" s="29">
        <v>0</v>
      </c>
      <c r="Q341" s="19" t="s">
        <v>23</v>
      </c>
    </row>
    <row r="342" spans="4:17" x14ac:dyDescent="0.4">
      <c r="D342" s="25" t="s">
        <v>80</v>
      </c>
      <c r="E342" s="2" t="s">
        <v>81</v>
      </c>
      <c r="F342" s="2" t="s">
        <v>82</v>
      </c>
      <c r="G342" s="2" t="s">
        <v>83</v>
      </c>
      <c r="H342" s="26" t="s">
        <v>8</v>
      </c>
      <c r="I342" s="27">
        <v>46056</v>
      </c>
      <c r="J342" s="2" t="s">
        <v>276</v>
      </c>
      <c r="K342" s="2" t="s">
        <v>29</v>
      </c>
      <c r="L342" s="28" t="s">
        <v>313</v>
      </c>
      <c r="M342" s="3">
        <v>46</v>
      </c>
      <c r="N342" s="3">
        <v>50</v>
      </c>
      <c r="O342" s="29">
        <v>0.92</v>
      </c>
      <c r="Q342" s="19" t="s">
        <v>23</v>
      </c>
    </row>
    <row r="343" spans="4:17" x14ac:dyDescent="0.4">
      <c r="D343" s="25" t="s">
        <v>85</v>
      </c>
      <c r="E343" s="2" t="s">
        <v>86</v>
      </c>
      <c r="F343" s="2" t="s">
        <v>87</v>
      </c>
      <c r="G343" s="2" t="s">
        <v>88</v>
      </c>
      <c r="H343" s="26" t="s">
        <v>8</v>
      </c>
      <c r="I343" s="27">
        <v>46056</v>
      </c>
      <c r="J343" s="2" t="s">
        <v>276</v>
      </c>
      <c r="K343" s="2" t="s">
        <v>29</v>
      </c>
      <c r="L343" s="28" t="s">
        <v>314</v>
      </c>
      <c r="M343" s="3">
        <v>50</v>
      </c>
      <c r="N343" s="3">
        <v>50</v>
      </c>
      <c r="O343" s="29">
        <v>1</v>
      </c>
      <c r="Q343" s="19" t="s">
        <v>23</v>
      </c>
    </row>
    <row r="344" spans="4:17" x14ac:dyDescent="0.4">
      <c r="D344" s="25" t="s">
        <v>89</v>
      </c>
      <c r="E344" s="2" t="s">
        <v>90</v>
      </c>
      <c r="F344" s="2" t="s">
        <v>91</v>
      </c>
      <c r="G344" s="2" t="s">
        <v>92</v>
      </c>
      <c r="H344" s="26" t="s">
        <v>8</v>
      </c>
      <c r="I344" s="27">
        <v>46056</v>
      </c>
      <c r="J344" s="2" t="s">
        <v>276</v>
      </c>
      <c r="K344" s="2" t="s">
        <v>29</v>
      </c>
      <c r="L344" s="28"/>
      <c r="M344" s="3">
        <v>0</v>
      </c>
      <c r="N344" s="3">
        <v>50</v>
      </c>
      <c r="O344" s="29">
        <v>0</v>
      </c>
      <c r="Q344" s="19" t="s">
        <v>23</v>
      </c>
    </row>
    <row r="345" spans="4:17" x14ac:dyDescent="0.4">
      <c r="D345" s="25" t="s">
        <v>94</v>
      </c>
      <c r="E345" s="2" t="s">
        <v>95</v>
      </c>
      <c r="F345" s="2" t="s">
        <v>96</v>
      </c>
      <c r="G345" s="2" t="s">
        <v>97</v>
      </c>
      <c r="H345" s="26" t="s">
        <v>8</v>
      </c>
      <c r="I345" s="27">
        <v>46056</v>
      </c>
      <c r="J345" s="2" t="s">
        <v>276</v>
      </c>
      <c r="K345" s="2" t="s">
        <v>29</v>
      </c>
      <c r="L345" s="28"/>
      <c r="M345" s="3">
        <v>0</v>
      </c>
      <c r="N345" s="3">
        <v>50</v>
      </c>
      <c r="O345" s="29">
        <v>0</v>
      </c>
      <c r="Q345" s="19" t="s">
        <v>23</v>
      </c>
    </row>
    <row r="346" spans="4:17" x14ac:dyDescent="0.4">
      <c r="D346" s="25" t="s">
        <v>99</v>
      </c>
      <c r="E346" s="2" t="s">
        <v>100</v>
      </c>
      <c r="F346" s="2" t="s">
        <v>101</v>
      </c>
      <c r="G346" s="2" t="s">
        <v>102</v>
      </c>
      <c r="H346" s="26" t="s">
        <v>8</v>
      </c>
      <c r="I346" s="27">
        <v>46056</v>
      </c>
      <c r="J346" s="2" t="s">
        <v>276</v>
      </c>
      <c r="K346" s="2" t="s">
        <v>29</v>
      </c>
      <c r="L346" s="28" t="s">
        <v>315</v>
      </c>
      <c r="M346" s="3">
        <v>47</v>
      </c>
      <c r="N346" s="3">
        <v>50</v>
      </c>
      <c r="O346" s="29">
        <v>0.94</v>
      </c>
      <c r="Q346" s="19" t="s">
        <v>23</v>
      </c>
    </row>
    <row r="347" spans="4:17" x14ac:dyDescent="0.4">
      <c r="D347" s="25" t="s">
        <v>104</v>
      </c>
      <c r="E347" s="2" t="s">
        <v>86</v>
      </c>
      <c r="F347" s="2" t="s">
        <v>105</v>
      </c>
      <c r="G347" s="2" t="s">
        <v>106</v>
      </c>
      <c r="H347" s="26" t="s">
        <v>8</v>
      </c>
      <c r="I347" s="27">
        <v>46056</v>
      </c>
      <c r="J347" s="2" t="s">
        <v>276</v>
      </c>
      <c r="K347" s="2" t="s">
        <v>29</v>
      </c>
      <c r="L347" s="28"/>
      <c r="M347" s="3">
        <v>0</v>
      </c>
      <c r="N347" s="3">
        <v>50</v>
      </c>
      <c r="O347" s="29">
        <v>0</v>
      </c>
      <c r="Q347" s="19" t="s">
        <v>23</v>
      </c>
    </row>
    <row r="348" spans="4:17" x14ac:dyDescent="0.4">
      <c r="D348" s="25" t="s">
        <v>107</v>
      </c>
      <c r="E348" s="2" t="s">
        <v>108</v>
      </c>
      <c r="F348" s="2" t="s">
        <v>109</v>
      </c>
      <c r="G348" s="2" t="s">
        <v>110</v>
      </c>
      <c r="H348" s="26" t="s">
        <v>8</v>
      </c>
      <c r="I348" s="27">
        <v>46056</v>
      </c>
      <c r="J348" s="2" t="s">
        <v>276</v>
      </c>
      <c r="K348" s="2" t="s">
        <v>29</v>
      </c>
      <c r="L348" s="28" t="s">
        <v>316</v>
      </c>
      <c r="M348" s="3">
        <v>44</v>
      </c>
      <c r="N348" s="3">
        <v>50</v>
      </c>
      <c r="O348" s="29">
        <v>0.88</v>
      </c>
      <c r="Q348" s="19" t="s">
        <v>23</v>
      </c>
    </row>
    <row r="349" spans="4:17" x14ac:dyDescent="0.4">
      <c r="D349" s="25" t="s">
        <v>112</v>
      </c>
      <c r="E349" s="2" t="s">
        <v>113</v>
      </c>
      <c r="F349" s="2" t="s">
        <v>114</v>
      </c>
      <c r="G349" s="2" t="s">
        <v>115</v>
      </c>
      <c r="H349" s="26" t="s">
        <v>8</v>
      </c>
      <c r="I349" s="27">
        <v>46056</v>
      </c>
      <c r="J349" s="2" t="s">
        <v>276</v>
      </c>
      <c r="K349" s="2" t="s">
        <v>29</v>
      </c>
      <c r="L349" s="28"/>
      <c r="M349" s="3">
        <v>0</v>
      </c>
      <c r="N349" s="3">
        <v>50</v>
      </c>
      <c r="O349" s="29">
        <v>0</v>
      </c>
      <c r="Q349" s="19" t="s">
        <v>23</v>
      </c>
    </row>
    <row r="350" spans="4:17" x14ac:dyDescent="0.4">
      <c r="D350" s="25" t="s">
        <v>117</v>
      </c>
      <c r="E350" s="2" t="s">
        <v>118</v>
      </c>
      <c r="F350" s="2" t="s">
        <v>119</v>
      </c>
      <c r="G350" s="2" t="s">
        <v>120</v>
      </c>
      <c r="H350" s="26" t="s">
        <v>8</v>
      </c>
      <c r="I350" s="27">
        <v>46056</v>
      </c>
      <c r="J350" s="2" t="s">
        <v>276</v>
      </c>
      <c r="K350" s="2" t="s">
        <v>29</v>
      </c>
      <c r="L350" s="28" t="s">
        <v>317</v>
      </c>
      <c r="M350" s="3">
        <v>50</v>
      </c>
      <c r="N350" s="3">
        <v>50</v>
      </c>
      <c r="O350" s="29">
        <v>1</v>
      </c>
      <c r="Q350" s="19" t="s">
        <v>23</v>
      </c>
    </row>
    <row r="351" spans="4:17" x14ac:dyDescent="0.4">
      <c r="D351" s="25" t="s">
        <v>122</v>
      </c>
      <c r="E351" s="2" t="s">
        <v>123</v>
      </c>
      <c r="F351" s="2" t="s">
        <v>124</v>
      </c>
      <c r="G351" s="2" t="s">
        <v>125</v>
      </c>
      <c r="H351" s="26" t="s">
        <v>8</v>
      </c>
      <c r="I351" s="27">
        <v>46056</v>
      </c>
      <c r="J351" s="2" t="s">
        <v>276</v>
      </c>
      <c r="K351" s="2" t="s">
        <v>29</v>
      </c>
      <c r="L351" s="28" t="s">
        <v>318</v>
      </c>
      <c r="M351" s="3">
        <v>50</v>
      </c>
      <c r="N351" s="3">
        <v>50</v>
      </c>
      <c r="O351" s="29">
        <v>1</v>
      </c>
      <c r="Q351" s="19" t="s">
        <v>23</v>
      </c>
    </row>
    <row r="352" spans="4:17" x14ac:dyDescent="0.4">
      <c r="D352" s="25" t="s">
        <v>127</v>
      </c>
      <c r="E352" s="2" t="s">
        <v>128</v>
      </c>
      <c r="F352" s="2" t="s">
        <v>129</v>
      </c>
      <c r="G352" s="2" t="s">
        <v>130</v>
      </c>
      <c r="H352" s="26" t="s">
        <v>8</v>
      </c>
      <c r="I352" s="27">
        <v>46056</v>
      </c>
      <c r="J352" s="2" t="s">
        <v>276</v>
      </c>
      <c r="K352" s="2" t="s">
        <v>29</v>
      </c>
      <c r="L352" s="28" t="s">
        <v>319</v>
      </c>
      <c r="M352" s="3">
        <v>38</v>
      </c>
      <c r="N352" s="3">
        <v>50</v>
      </c>
      <c r="O352" s="29">
        <v>0.76</v>
      </c>
      <c r="Q352" s="19" t="s">
        <v>23</v>
      </c>
    </row>
    <row r="353" spans="4:17" x14ac:dyDescent="0.4">
      <c r="D353" s="25" t="s">
        <v>132</v>
      </c>
      <c r="E353" s="2" t="s">
        <v>133</v>
      </c>
      <c r="F353" s="2" t="s">
        <v>134</v>
      </c>
      <c r="G353" s="2" t="s">
        <v>135</v>
      </c>
      <c r="H353" s="26" t="s">
        <v>8</v>
      </c>
      <c r="I353" s="27">
        <v>46056</v>
      </c>
      <c r="J353" s="2" t="s">
        <v>276</v>
      </c>
      <c r="K353" s="2" t="s">
        <v>29</v>
      </c>
      <c r="L353" s="28" t="s">
        <v>320</v>
      </c>
      <c r="M353" s="3">
        <v>50</v>
      </c>
      <c r="N353" s="3">
        <v>50</v>
      </c>
      <c r="O353" s="29">
        <v>1</v>
      </c>
      <c r="Q353" s="19" t="s">
        <v>23</v>
      </c>
    </row>
    <row r="354" spans="4:17" x14ac:dyDescent="0.4">
      <c r="D354" s="25" t="s">
        <v>137</v>
      </c>
      <c r="E354" s="2" t="s">
        <v>138</v>
      </c>
      <c r="F354" s="2" t="s">
        <v>139</v>
      </c>
      <c r="G354" s="2" t="s">
        <v>140</v>
      </c>
      <c r="H354" s="26" t="s">
        <v>8</v>
      </c>
      <c r="I354" s="27">
        <v>46056</v>
      </c>
      <c r="J354" s="2" t="s">
        <v>276</v>
      </c>
      <c r="K354" s="2" t="s">
        <v>29</v>
      </c>
      <c r="L354" s="28" t="s">
        <v>321</v>
      </c>
      <c r="M354" s="3">
        <v>50</v>
      </c>
      <c r="N354" s="3">
        <v>50</v>
      </c>
      <c r="O354" s="29">
        <v>1</v>
      </c>
      <c r="Q354" s="19" t="s">
        <v>23</v>
      </c>
    </row>
    <row r="355" spans="4:17" x14ac:dyDescent="0.4">
      <c r="D355" s="25" t="s">
        <v>142</v>
      </c>
      <c r="E355" s="2" t="s">
        <v>143</v>
      </c>
      <c r="F355" s="2" t="s">
        <v>144</v>
      </c>
      <c r="G355" s="2" t="s">
        <v>145</v>
      </c>
      <c r="H355" s="26" t="s">
        <v>8</v>
      </c>
      <c r="I355" s="27">
        <v>46056</v>
      </c>
      <c r="J355" s="2" t="s">
        <v>276</v>
      </c>
      <c r="K355" s="2" t="s">
        <v>29</v>
      </c>
      <c r="L355" s="28" t="s">
        <v>322</v>
      </c>
      <c r="M355" s="3">
        <v>44</v>
      </c>
      <c r="N355" s="3">
        <v>50</v>
      </c>
      <c r="O355" s="29">
        <v>0.88</v>
      </c>
      <c r="Q355" s="19" t="s">
        <v>23</v>
      </c>
    </row>
    <row r="356" spans="4:17" x14ac:dyDescent="0.4">
      <c r="D356" s="25" t="s">
        <v>147</v>
      </c>
      <c r="E356" s="2" t="s">
        <v>148</v>
      </c>
      <c r="F356" s="2" t="s">
        <v>149</v>
      </c>
      <c r="G356" s="2" t="s">
        <v>150</v>
      </c>
      <c r="H356" s="26" t="s">
        <v>8</v>
      </c>
      <c r="I356" s="27">
        <v>46056</v>
      </c>
      <c r="J356" s="2" t="s">
        <v>276</v>
      </c>
      <c r="K356" s="2" t="s">
        <v>29</v>
      </c>
      <c r="L356" s="28" t="s">
        <v>323</v>
      </c>
      <c r="M356" s="3">
        <v>42</v>
      </c>
      <c r="N356" s="3">
        <v>50</v>
      </c>
      <c r="O356" s="29">
        <v>0.84</v>
      </c>
      <c r="Q356" s="19" t="s">
        <v>23</v>
      </c>
    </row>
    <row r="357" spans="4:17" x14ac:dyDescent="0.4">
      <c r="D357" s="25" t="s">
        <v>152</v>
      </c>
      <c r="E357" s="2" t="s">
        <v>66</v>
      </c>
      <c r="F357" s="2" t="s">
        <v>153</v>
      </c>
      <c r="G357" s="2" t="s">
        <v>154</v>
      </c>
      <c r="H357" s="26" t="s">
        <v>8</v>
      </c>
      <c r="I357" s="27">
        <v>46056</v>
      </c>
      <c r="J357" s="2" t="s">
        <v>276</v>
      </c>
      <c r="K357" s="2" t="s">
        <v>29</v>
      </c>
      <c r="L357" s="28"/>
      <c r="M357" s="3">
        <v>0</v>
      </c>
      <c r="N357" s="3">
        <v>50</v>
      </c>
      <c r="O357" s="29">
        <v>0</v>
      </c>
      <c r="Q357" s="19" t="s">
        <v>23</v>
      </c>
    </row>
    <row r="358" spans="4:17" x14ac:dyDescent="0.4">
      <c r="D358" s="25" t="s">
        <v>156</v>
      </c>
      <c r="E358" s="2" t="s">
        <v>157</v>
      </c>
      <c r="F358" s="2" t="s">
        <v>158</v>
      </c>
      <c r="G358" s="2" t="s">
        <v>159</v>
      </c>
      <c r="H358" s="26" t="s">
        <v>8</v>
      </c>
      <c r="I358" s="27">
        <v>46056</v>
      </c>
      <c r="J358" s="2" t="s">
        <v>276</v>
      </c>
      <c r="K358" s="2" t="s">
        <v>29</v>
      </c>
      <c r="L358" s="28"/>
      <c r="M358" s="3">
        <v>0</v>
      </c>
      <c r="N358" s="3">
        <v>50</v>
      </c>
      <c r="O358" s="29">
        <v>0</v>
      </c>
      <c r="Q358" s="19" t="s">
        <v>23</v>
      </c>
    </row>
    <row r="359" spans="4:17" x14ac:dyDescent="0.4">
      <c r="D359" s="25" t="s">
        <v>160</v>
      </c>
      <c r="E359" s="2" t="s">
        <v>81</v>
      </c>
      <c r="F359" s="2" t="s">
        <v>161</v>
      </c>
      <c r="G359" s="2" t="s">
        <v>162</v>
      </c>
      <c r="H359" s="26" t="s">
        <v>8</v>
      </c>
      <c r="I359" s="27">
        <v>46056</v>
      </c>
      <c r="J359" s="2" t="s">
        <v>276</v>
      </c>
      <c r="K359" s="2" t="s">
        <v>29</v>
      </c>
      <c r="L359" s="28" t="s">
        <v>324</v>
      </c>
      <c r="M359" s="3">
        <v>50</v>
      </c>
      <c r="N359" s="3">
        <v>50</v>
      </c>
      <c r="O359" s="29">
        <v>1</v>
      </c>
      <c r="Q359" s="19" t="s">
        <v>23</v>
      </c>
    </row>
    <row r="360" spans="4:17" x14ac:dyDescent="0.4">
      <c r="D360" s="25" t="s">
        <v>163</v>
      </c>
      <c r="E360" s="2" t="s">
        <v>164</v>
      </c>
      <c r="F360" s="2" t="s">
        <v>165</v>
      </c>
      <c r="G360" s="2" t="s">
        <v>166</v>
      </c>
      <c r="H360" s="26" t="s">
        <v>8</v>
      </c>
      <c r="I360" s="27">
        <v>46056</v>
      </c>
      <c r="J360" s="2" t="s">
        <v>276</v>
      </c>
      <c r="K360" s="2" t="s">
        <v>29</v>
      </c>
      <c r="L360" s="28"/>
      <c r="M360" s="3">
        <v>0</v>
      </c>
      <c r="N360" s="3">
        <v>50</v>
      </c>
      <c r="O360" s="29">
        <v>0</v>
      </c>
      <c r="Q360" s="19" t="s">
        <v>23</v>
      </c>
    </row>
    <row r="361" spans="4:17" x14ac:dyDescent="0.4">
      <c r="D361" s="25" t="s">
        <v>168</v>
      </c>
      <c r="E361" s="2" t="s">
        <v>169</v>
      </c>
      <c r="F361" s="2" t="s">
        <v>170</v>
      </c>
      <c r="G361" s="2" t="s">
        <v>171</v>
      </c>
      <c r="H361" s="26" t="s">
        <v>8</v>
      </c>
      <c r="I361" s="27">
        <v>46056</v>
      </c>
      <c r="J361" s="2" t="s">
        <v>276</v>
      </c>
      <c r="K361" s="2" t="s">
        <v>29</v>
      </c>
      <c r="L361" s="28" t="s">
        <v>325</v>
      </c>
      <c r="M361" s="3">
        <v>50</v>
      </c>
      <c r="N361" s="3">
        <v>50</v>
      </c>
      <c r="O361" s="29">
        <v>1</v>
      </c>
      <c r="Q361" s="19" t="s">
        <v>23</v>
      </c>
    </row>
    <row r="362" spans="4:17" x14ac:dyDescent="0.4">
      <c r="D362" s="25" t="s">
        <v>173</v>
      </c>
      <c r="E362" s="2" t="s">
        <v>174</v>
      </c>
      <c r="F362" s="2" t="s">
        <v>175</v>
      </c>
      <c r="G362" s="2" t="s">
        <v>176</v>
      </c>
      <c r="H362" s="26" t="s">
        <v>8</v>
      </c>
      <c r="I362" s="27">
        <v>46056</v>
      </c>
      <c r="J362" s="2" t="s">
        <v>276</v>
      </c>
      <c r="K362" s="2" t="s">
        <v>29</v>
      </c>
      <c r="L362" s="28" t="s">
        <v>326</v>
      </c>
      <c r="M362" s="3">
        <v>50</v>
      </c>
      <c r="N362" s="3">
        <v>50</v>
      </c>
      <c r="O362" s="29">
        <v>1</v>
      </c>
      <c r="Q362" s="19" t="s">
        <v>23</v>
      </c>
    </row>
    <row r="363" spans="4:17" x14ac:dyDescent="0.4">
      <c r="D363" s="25" t="s">
        <v>178</v>
      </c>
      <c r="E363" s="2" t="s">
        <v>179</v>
      </c>
      <c r="F363" s="2" t="s">
        <v>180</v>
      </c>
      <c r="G363" s="2" t="s">
        <v>181</v>
      </c>
      <c r="H363" s="26" t="s">
        <v>8</v>
      </c>
      <c r="I363" s="27">
        <v>46056</v>
      </c>
      <c r="J363" s="2" t="s">
        <v>276</v>
      </c>
      <c r="K363" s="2" t="s">
        <v>29</v>
      </c>
      <c r="L363" s="28" t="s">
        <v>327</v>
      </c>
      <c r="M363" s="3">
        <v>45</v>
      </c>
      <c r="N363" s="3">
        <v>50</v>
      </c>
      <c r="O363" s="29">
        <v>0.9</v>
      </c>
      <c r="Q363" s="19" t="s">
        <v>23</v>
      </c>
    </row>
    <row r="364" spans="4:17" x14ac:dyDescent="0.4">
      <c r="D364" s="25" t="s">
        <v>183</v>
      </c>
      <c r="E364" s="2" t="s">
        <v>184</v>
      </c>
      <c r="F364" s="2" t="s">
        <v>185</v>
      </c>
      <c r="G364" s="2" t="s">
        <v>186</v>
      </c>
      <c r="H364" s="26" t="s">
        <v>8</v>
      </c>
      <c r="I364" s="27">
        <v>46056</v>
      </c>
      <c r="J364" s="2" t="s">
        <v>276</v>
      </c>
      <c r="K364" s="2" t="s">
        <v>29</v>
      </c>
      <c r="L364" s="28"/>
      <c r="M364" s="3">
        <v>0</v>
      </c>
      <c r="N364" s="3">
        <v>50</v>
      </c>
      <c r="O364" s="29">
        <v>0</v>
      </c>
      <c r="Q364" s="19" t="s">
        <v>23</v>
      </c>
    </row>
    <row r="365" spans="4:17" x14ac:dyDescent="0.4">
      <c r="D365" s="25" t="s">
        <v>187</v>
      </c>
      <c r="E365" s="2" t="s">
        <v>188</v>
      </c>
      <c r="F365" s="2" t="s">
        <v>189</v>
      </c>
      <c r="G365" s="2" t="s">
        <v>190</v>
      </c>
      <c r="H365" s="26" t="s">
        <v>8</v>
      </c>
      <c r="I365" s="27">
        <v>46056</v>
      </c>
      <c r="J365" s="2" t="s">
        <v>276</v>
      </c>
      <c r="K365" s="2" t="s">
        <v>29</v>
      </c>
      <c r="L365" s="28" t="s">
        <v>328</v>
      </c>
      <c r="M365" s="3">
        <v>47</v>
      </c>
      <c r="N365" s="3">
        <v>50</v>
      </c>
      <c r="O365" s="29">
        <v>0.94</v>
      </c>
      <c r="Q365" s="19" t="s">
        <v>23</v>
      </c>
    </row>
    <row r="366" spans="4:17" x14ac:dyDescent="0.4">
      <c r="D366" s="25" t="s">
        <v>192</v>
      </c>
      <c r="E366" s="2" t="s">
        <v>193</v>
      </c>
      <c r="F366" s="2" t="s">
        <v>194</v>
      </c>
      <c r="G366" s="2" t="s">
        <v>195</v>
      </c>
      <c r="H366" s="26" t="s">
        <v>8</v>
      </c>
      <c r="I366" s="27">
        <v>46056</v>
      </c>
      <c r="J366" s="2" t="s">
        <v>276</v>
      </c>
      <c r="K366" s="2" t="s">
        <v>29</v>
      </c>
      <c r="L366" s="28" t="s">
        <v>329</v>
      </c>
      <c r="M366" s="3">
        <v>45</v>
      </c>
      <c r="N366" s="3">
        <v>50</v>
      </c>
      <c r="O366" s="29">
        <v>0.9</v>
      </c>
      <c r="Q366" s="19" t="s">
        <v>23</v>
      </c>
    </row>
    <row r="367" spans="4:17" x14ac:dyDescent="0.4">
      <c r="D367" s="25" t="s">
        <v>197</v>
      </c>
      <c r="E367" s="2" t="s">
        <v>198</v>
      </c>
      <c r="F367" s="2" t="s">
        <v>199</v>
      </c>
      <c r="G367" s="2" t="s">
        <v>200</v>
      </c>
      <c r="H367" s="26" t="s">
        <v>8</v>
      </c>
      <c r="I367" s="27">
        <v>46056</v>
      </c>
      <c r="J367" s="2" t="s">
        <v>276</v>
      </c>
      <c r="K367" s="2" t="s">
        <v>29</v>
      </c>
      <c r="L367" s="28" t="s">
        <v>330</v>
      </c>
      <c r="M367" s="3">
        <v>38</v>
      </c>
      <c r="N367" s="3">
        <v>50</v>
      </c>
      <c r="O367" s="29">
        <v>0.76</v>
      </c>
      <c r="Q367" s="19" t="s">
        <v>23</v>
      </c>
    </row>
    <row r="368" spans="4:17" x14ac:dyDescent="0.4">
      <c r="D368" s="25" t="s">
        <v>201</v>
      </c>
      <c r="E368" s="2" t="s">
        <v>143</v>
      </c>
      <c r="F368" s="2" t="s">
        <v>202</v>
      </c>
      <c r="G368" s="2" t="s">
        <v>203</v>
      </c>
      <c r="H368" s="26" t="s">
        <v>8</v>
      </c>
      <c r="I368" s="27">
        <v>46056</v>
      </c>
      <c r="J368" s="2" t="s">
        <v>276</v>
      </c>
      <c r="K368" s="2" t="s">
        <v>29</v>
      </c>
      <c r="L368" s="28" t="s">
        <v>331</v>
      </c>
      <c r="M368" s="3">
        <v>48</v>
      </c>
      <c r="N368" s="3">
        <v>50</v>
      </c>
      <c r="O368" s="29">
        <v>0.96</v>
      </c>
      <c r="Q368" s="19" t="s">
        <v>23</v>
      </c>
    </row>
    <row r="369" spans="4:17" x14ac:dyDescent="0.4">
      <c r="D369" s="25" t="s">
        <v>205</v>
      </c>
      <c r="E369" s="2" t="s">
        <v>206</v>
      </c>
      <c r="F369" s="2" t="s">
        <v>207</v>
      </c>
      <c r="G369" s="2" t="s">
        <v>208</v>
      </c>
      <c r="H369" s="26" t="s">
        <v>8</v>
      </c>
      <c r="I369" s="27">
        <v>46056</v>
      </c>
      <c r="J369" s="2" t="s">
        <v>276</v>
      </c>
      <c r="K369" s="2" t="s">
        <v>29</v>
      </c>
      <c r="L369" s="28" t="s">
        <v>332</v>
      </c>
      <c r="M369" s="3">
        <v>41</v>
      </c>
      <c r="N369" s="3">
        <v>50</v>
      </c>
      <c r="O369" s="29">
        <v>0.82</v>
      </c>
      <c r="Q369" s="19" t="s">
        <v>23</v>
      </c>
    </row>
    <row r="370" spans="4:17" x14ac:dyDescent="0.4">
      <c r="D370" s="25" t="s">
        <v>210</v>
      </c>
      <c r="E370" s="2" t="s">
        <v>211</v>
      </c>
      <c r="F370" s="2" t="s">
        <v>212</v>
      </c>
      <c r="G370" s="2" t="s">
        <v>213</v>
      </c>
      <c r="H370" s="26" t="s">
        <v>8</v>
      </c>
      <c r="I370" s="27">
        <v>46056</v>
      </c>
      <c r="J370" s="2" t="s">
        <v>276</v>
      </c>
      <c r="K370" s="2" t="s">
        <v>29</v>
      </c>
      <c r="L370" s="28" t="s">
        <v>333</v>
      </c>
      <c r="M370" s="3">
        <v>44</v>
      </c>
      <c r="N370" s="3">
        <v>50</v>
      </c>
      <c r="O370" s="29">
        <v>0.88</v>
      </c>
      <c r="Q370" s="19" t="s">
        <v>23</v>
      </c>
    </row>
    <row r="371" spans="4:17" x14ac:dyDescent="0.4">
      <c r="D371" s="25" t="s">
        <v>215</v>
      </c>
      <c r="E371" s="2" t="s">
        <v>216</v>
      </c>
      <c r="F371" s="2" t="s">
        <v>217</v>
      </c>
      <c r="G371" s="2" t="s">
        <v>218</v>
      </c>
      <c r="H371" s="26" t="s">
        <v>8</v>
      </c>
      <c r="I371" s="27">
        <v>46056</v>
      </c>
      <c r="J371" s="2" t="s">
        <v>276</v>
      </c>
      <c r="K371" s="2" t="s">
        <v>29</v>
      </c>
      <c r="L371" s="28" t="s">
        <v>334</v>
      </c>
      <c r="M371" s="3">
        <v>50</v>
      </c>
      <c r="N371" s="3">
        <v>50</v>
      </c>
      <c r="O371" s="29">
        <v>1</v>
      </c>
      <c r="Q371" s="19" t="s">
        <v>23</v>
      </c>
    </row>
    <row r="372" spans="4:17" x14ac:dyDescent="0.4">
      <c r="D372" s="25" t="s">
        <v>24</v>
      </c>
      <c r="E372" s="2" t="s">
        <v>25</v>
      </c>
      <c r="F372" s="2" t="s">
        <v>26</v>
      </c>
      <c r="G372" s="2" t="s">
        <v>27</v>
      </c>
      <c r="H372" s="26" t="s">
        <v>9</v>
      </c>
      <c r="I372" s="27">
        <v>46050</v>
      </c>
      <c r="J372" s="2" t="s">
        <v>257</v>
      </c>
      <c r="K372" s="2" t="s">
        <v>29</v>
      </c>
      <c r="L372" s="28"/>
      <c r="M372" s="3">
        <v>50</v>
      </c>
      <c r="N372" s="3">
        <v>50</v>
      </c>
      <c r="O372" s="29">
        <v>1</v>
      </c>
      <c r="Q372" s="19" t="s">
        <v>23</v>
      </c>
    </row>
    <row r="373" spans="4:17" x14ac:dyDescent="0.4">
      <c r="D373" s="25" t="s">
        <v>31</v>
      </c>
      <c r="E373" s="2" t="s">
        <v>32</v>
      </c>
      <c r="F373" s="2" t="s">
        <v>33</v>
      </c>
      <c r="G373" s="2" t="s">
        <v>34</v>
      </c>
      <c r="H373" s="26" t="s">
        <v>9</v>
      </c>
      <c r="I373" s="27">
        <v>46050</v>
      </c>
      <c r="J373" s="2" t="s">
        <v>257</v>
      </c>
      <c r="K373" s="2" t="s">
        <v>29</v>
      </c>
      <c r="L373" s="28"/>
      <c r="M373" s="3">
        <v>50</v>
      </c>
      <c r="N373" s="3">
        <v>50</v>
      </c>
      <c r="O373" s="29">
        <v>1</v>
      </c>
      <c r="Q373" s="19" t="s">
        <v>23</v>
      </c>
    </row>
    <row r="374" spans="4:17" x14ac:dyDescent="0.4">
      <c r="D374" s="25" t="s">
        <v>36</v>
      </c>
      <c r="E374" s="2" t="s">
        <v>37</v>
      </c>
      <c r="F374" s="2" t="s">
        <v>38</v>
      </c>
      <c r="G374" s="2" t="s">
        <v>39</v>
      </c>
      <c r="H374" s="26" t="s">
        <v>9</v>
      </c>
      <c r="I374" s="27">
        <v>46050</v>
      </c>
      <c r="J374" s="2" t="s">
        <v>257</v>
      </c>
      <c r="K374" s="2" t="s">
        <v>29</v>
      </c>
      <c r="L374" s="28"/>
      <c r="M374" s="3">
        <v>50</v>
      </c>
      <c r="N374" s="3">
        <v>50</v>
      </c>
      <c r="O374" s="29">
        <v>1</v>
      </c>
      <c r="Q374" s="19" t="s">
        <v>23</v>
      </c>
    </row>
    <row r="375" spans="4:17" x14ac:dyDescent="0.4">
      <c r="D375" s="25" t="s">
        <v>41</v>
      </c>
      <c r="E375" s="2" t="s">
        <v>42</v>
      </c>
      <c r="F375" s="2" t="s">
        <v>43</v>
      </c>
      <c r="G375" s="2" t="s">
        <v>44</v>
      </c>
      <c r="H375" s="26" t="s">
        <v>9</v>
      </c>
      <c r="I375" s="27">
        <v>46050</v>
      </c>
      <c r="J375" s="2" t="s">
        <v>257</v>
      </c>
      <c r="K375" s="2" t="s">
        <v>29</v>
      </c>
      <c r="L375" s="28"/>
      <c r="M375" s="3">
        <v>50</v>
      </c>
      <c r="N375" s="3">
        <v>50</v>
      </c>
      <c r="O375" s="29">
        <v>1</v>
      </c>
      <c r="Q375" s="19" t="s">
        <v>23</v>
      </c>
    </row>
    <row r="376" spans="4:17" x14ac:dyDescent="0.4">
      <c r="D376" s="25" t="s">
        <v>46</v>
      </c>
      <c r="E376" s="2" t="s">
        <v>47</v>
      </c>
      <c r="F376" s="2" t="s">
        <v>48</v>
      </c>
      <c r="G376" s="2" t="s">
        <v>49</v>
      </c>
      <c r="H376" s="26" t="s">
        <v>9</v>
      </c>
      <c r="I376" s="27">
        <v>46050</v>
      </c>
      <c r="J376" s="2" t="s">
        <v>257</v>
      </c>
      <c r="K376" s="2" t="s">
        <v>29</v>
      </c>
      <c r="L376" s="28"/>
      <c r="M376" s="3">
        <v>50</v>
      </c>
      <c r="N376" s="3">
        <v>50</v>
      </c>
      <c r="O376" s="29">
        <v>1</v>
      </c>
      <c r="Q376" s="19" t="s">
        <v>23</v>
      </c>
    </row>
    <row r="377" spans="4:17" x14ac:dyDescent="0.4">
      <c r="D377" s="25" t="s">
        <v>51</v>
      </c>
      <c r="E377" s="2" t="s">
        <v>52</v>
      </c>
      <c r="F377" s="2" t="s">
        <v>53</v>
      </c>
      <c r="G377" s="2" t="s">
        <v>54</v>
      </c>
      <c r="H377" s="26" t="s">
        <v>9</v>
      </c>
      <c r="I377" s="27">
        <v>46050</v>
      </c>
      <c r="J377" s="2" t="s">
        <v>257</v>
      </c>
      <c r="K377" s="2" t="s">
        <v>29</v>
      </c>
      <c r="L377" s="28"/>
      <c r="M377" s="3">
        <v>50</v>
      </c>
      <c r="N377" s="3">
        <v>50</v>
      </c>
      <c r="O377" s="29">
        <v>1</v>
      </c>
      <c r="Q377" s="19" t="s">
        <v>23</v>
      </c>
    </row>
    <row r="378" spans="4:17" x14ac:dyDescent="0.4">
      <c r="D378" s="25" t="s">
        <v>56</v>
      </c>
      <c r="E378" s="2" t="s">
        <v>52</v>
      </c>
      <c r="F378" s="2" t="s">
        <v>57</v>
      </c>
      <c r="G378" s="2" t="s">
        <v>58</v>
      </c>
      <c r="H378" s="26" t="s">
        <v>9</v>
      </c>
      <c r="I378" s="27">
        <v>46050</v>
      </c>
      <c r="J378" s="2" t="s">
        <v>257</v>
      </c>
      <c r="K378" s="2" t="s">
        <v>29</v>
      </c>
      <c r="L378" s="28"/>
      <c r="M378" s="3">
        <v>50</v>
      </c>
      <c r="N378" s="3">
        <v>50</v>
      </c>
      <c r="O378" s="29">
        <v>1</v>
      </c>
      <c r="Q378" s="19" t="s">
        <v>23</v>
      </c>
    </row>
    <row r="379" spans="4:17" x14ac:dyDescent="0.4">
      <c r="D379" s="25" t="s">
        <v>60</v>
      </c>
      <c r="E379" s="2" t="s">
        <v>61</v>
      </c>
      <c r="F379" s="2" t="s">
        <v>62</v>
      </c>
      <c r="G379" s="2" t="s">
        <v>63</v>
      </c>
      <c r="H379" s="26" t="s">
        <v>9</v>
      </c>
      <c r="I379" s="27">
        <v>46050</v>
      </c>
      <c r="J379" s="2" t="s">
        <v>257</v>
      </c>
      <c r="K379" s="2" t="s">
        <v>29</v>
      </c>
      <c r="L379" s="28"/>
      <c r="M379" s="3">
        <v>50</v>
      </c>
      <c r="N379" s="3">
        <v>50</v>
      </c>
      <c r="O379" s="29">
        <v>1</v>
      </c>
      <c r="Q379" s="19" t="s">
        <v>23</v>
      </c>
    </row>
    <row r="380" spans="4:17" x14ac:dyDescent="0.4">
      <c r="D380" s="25" t="s">
        <v>65</v>
      </c>
      <c r="E380" s="2" t="s">
        <v>66</v>
      </c>
      <c r="F380" s="2" t="s">
        <v>67</v>
      </c>
      <c r="G380" s="2" t="s">
        <v>68</v>
      </c>
      <c r="H380" s="26" t="s">
        <v>9</v>
      </c>
      <c r="I380" s="27">
        <v>46050</v>
      </c>
      <c r="J380" s="2" t="s">
        <v>257</v>
      </c>
      <c r="K380" s="2" t="s">
        <v>29</v>
      </c>
      <c r="L380" s="28"/>
      <c r="M380" s="3">
        <v>50</v>
      </c>
      <c r="N380" s="3">
        <v>50</v>
      </c>
      <c r="O380" s="29">
        <v>1</v>
      </c>
      <c r="Q380" s="19" t="s">
        <v>23</v>
      </c>
    </row>
    <row r="381" spans="4:17" x14ac:dyDescent="0.4">
      <c r="D381" s="25" t="s">
        <v>70</v>
      </c>
      <c r="E381" s="2" t="s">
        <v>71</v>
      </c>
      <c r="F381" s="2" t="s">
        <v>72</v>
      </c>
      <c r="G381" s="2" t="s">
        <v>73</v>
      </c>
      <c r="H381" s="26" t="s">
        <v>9</v>
      </c>
      <c r="I381" s="27">
        <v>46050</v>
      </c>
      <c r="J381" s="2" t="s">
        <v>257</v>
      </c>
      <c r="K381" s="2" t="s">
        <v>29</v>
      </c>
      <c r="L381" s="28"/>
      <c r="M381" s="3">
        <v>50</v>
      </c>
      <c r="N381" s="3">
        <v>50</v>
      </c>
      <c r="O381" s="29">
        <v>1</v>
      </c>
      <c r="Q381" s="19" t="s">
        <v>23</v>
      </c>
    </row>
    <row r="382" spans="4:17" x14ac:dyDescent="0.4">
      <c r="D382" s="25" t="s">
        <v>75</v>
      </c>
      <c r="E382" s="2" t="s">
        <v>76</v>
      </c>
      <c r="F382" s="2" t="s">
        <v>77</v>
      </c>
      <c r="G382" s="2" t="s">
        <v>78</v>
      </c>
      <c r="H382" s="26" t="s">
        <v>9</v>
      </c>
      <c r="I382" s="27">
        <v>46050</v>
      </c>
      <c r="J382" s="2" t="s">
        <v>257</v>
      </c>
      <c r="K382" s="2" t="s">
        <v>29</v>
      </c>
      <c r="L382" s="28"/>
      <c r="M382" s="3">
        <v>50</v>
      </c>
      <c r="N382" s="3">
        <v>50</v>
      </c>
      <c r="O382" s="29">
        <v>1</v>
      </c>
      <c r="Q382" s="19" t="s">
        <v>23</v>
      </c>
    </row>
    <row r="383" spans="4:17" x14ac:dyDescent="0.4">
      <c r="D383" s="25" t="s">
        <v>80</v>
      </c>
      <c r="E383" s="2" t="s">
        <v>81</v>
      </c>
      <c r="F383" s="2" t="s">
        <v>82</v>
      </c>
      <c r="G383" s="2" t="s">
        <v>83</v>
      </c>
      <c r="H383" s="26" t="s">
        <v>9</v>
      </c>
      <c r="I383" s="27">
        <v>46050</v>
      </c>
      <c r="J383" s="2" t="s">
        <v>257</v>
      </c>
      <c r="K383" s="2" t="s">
        <v>29</v>
      </c>
      <c r="L383" s="28"/>
      <c r="M383" s="3">
        <v>50</v>
      </c>
      <c r="N383" s="3">
        <v>50</v>
      </c>
      <c r="O383" s="29">
        <v>1</v>
      </c>
      <c r="Q383" s="19" t="s">
        <v>23</v>
      </c>
    </row>
    <row r="384" spans="4:17" x14ac:dyDescent="0.4">
      <c r="D384" s="25" t="s">
        <v>85</v>
      </c>
      <c r="E384" s="2" t="s">
        <v>86</v>
      </c>
      <c r="F384" s="2" t="s">
        <v>87</v>
      </c>
      <c r="G384" s="2" t="s">
        <v>88</v>
      </c>
      <c r="H384" s="26" t="s">
        <v>9</v>
      </c>
      <c r="I384" s="27">
        <v>46050</v>
      </c>
      <c r="J384" s="2" t="s">
        <v>257</v>
      </c>
      <c r="K384" s="2" t="s">
        <v>29</v>
      </c>
      <c r="L384" s="28"/>
      <c r="M384" s="3">
        <v>50</v>
      </c>
      <c r="N384" s="3">
        <v>50</v>
      </c>
      <c r="O384" s="29">
        <v>1</v>
      </c>
      <c r="Q384" s="19" t="s">
        <v>23</v>
      </c>
    </row>
    <row r="385" spans="4:17" x14ac:dyDescent="0.4">
      <c r="D385" s="25" t="s">
        <v>89</v>
      </c>
      <c r="E385" s="2" t="s">
        <v>90</v>
      </c>
      <c r="F385" s="2" t="s">
        <v>91</v>
      </c>
      <c r="G385" s="2" t="s">
        <v>92</v>
      </c>
      <c r="H385" s="26" t="s">
        <v>9</v>
      </c>
      <c r="I385" s="27">
        <v>46050</v>
      </c>
      <c r="J385" s="2" t="s">
        <v>257</v>
      </c>
      <c r="K385" s="2" t="s">
        <v>29</v>
      </c>
      <c r="L385" s="28"/>
      <c r="M385" s="3">
        <v>50</v>
      </c>
      <c r="N385" s="3">
        <v>50</v>
      </c>
      <c r="O385" s="29">
        <v>1</v>
      </c>
      <c r="Q385" s="19" t="s">
        <v>23</v>
      </c>
    </row>
    <row r="386" spans="4:17" x14ac:dyDescent="0.4">
      <c r="D386" s="25" t="s">
        <v>94</v>
      </c>
      <c r="E386" s="2" t="s">
        <v>95</v>
      </c>
      <c r="F386" s="2" t="s">
        <v>96</v>
      </c>
      <c r="G386" s="2" t="s">
        <v>97</v>
      </c>
      <c r="H386" s="26" t="s">
        <v>9</v>
      </c>
      <c r="I386" s="27">
        <v>46050</v>
      </c>
      <c r="J386" s="2" t="s">
        <v>257</v>
      </c>
      <c r="K386" s="2" t="s">
        <v>29</v>
      </c>
      <c r="L386" s="28"/>
      <c r="M386" s="3">
        <v>50</v>
      </c>
      <c r="N386" s="3">
        <v>50</v>
      </c>
      <c r="O386" s="29">
        <v>1</v>
      </c>
      <c r="Q386" s="19" t="s">
        <v>23</v>
      </c>
    </row>
    <row r="387" spans="4:17" x14ac:dyDescent="0.4">
      <c r="D387" s="25" t="s">
        <v>99</v>
      </c>
      <c r="E387" s="2" t="s">
        <v>100</v>
      </c>
      <c r="F387" s="2" t="s">
        <v>101</v>
      </c>
      <c r="G387" s="2" t="s">
        <v>102</v>
      </c>
      <c r="H387" s="26" t="s">
        <v>9</v>
      </c>
      <c r="I387" s="27">
        <v>46050</v>
      </c>
      <c r="J387" s="2" t="s">
        <v>257</v>
      </c>
      <c r="K387" s="2" t="s">
        <v>29</v>
      </c>
      <c r="L387" s="28"/>
      <c r="M387" s="3">
        <v>50</v>
      </c>
      <c r="N387" s="3">
        <v>50</v>
      </c>
      <c r="O387" s="29">
        <v>1</v>
      </c>
      <c r="Q387" s="19" t="s">
        <v>23</v>
      </c>
    </row>
    <row r="388" spans="4:17" x14ac:dyDescent="0.4">
      <c r="D388" s="25" t="s">
        <v>104</v>
      </c>
      <c r="E388" s="2" t="s">
        <v>86</v>
      </c>
      <c r="F388" s="2" t="s">
        <v>105</v>
      </c>
      <c r="G388" s="2" t="s">
        <v>106</v>
      </c>
      <c r="H388" s="26" t="s">
        <v>9</v>
      </c>
      <c r="I388" s="27">
        <v>46050</v>
      </c>
      <c r="J388" s="2" t="s">
        <v>257</v>
      </c>
      <c r="K388" s="2" t="s">
        <v>29</v>
      </c>
      <c r="L388" s="28"/>
      <c r="M388" s="3">
        <v>50</v>
      </c>
      <c r="N388" s="3">
        <v>50</v>
      </c>
      <c r="O388" s="29">
        <v>1</v>
      </c>
      <c r="Q388" s="19" t="s">
        <v>23</v>
      </c>
    </row>
    <row r="389" spans="4:17" x14ac:dyDescent="0.4">
      <c r="D389" s="25" t="s">
        <v>107</v>
      </c>
      <c r="E389" s="2" t="s">
        <v>108</v>
      </c>
      <c r="F389" s="2" t="s">
        <v>109</v>
      </c>
      <c r="G389" s="2" t="s">
        <v>110</v>
      </c>
      <c r="H389" s="26" t="s">
        <v>9</v>
      </c>
      <c r="I389" s="27">
        <v>46050</v>
      </c>
      <c r="J389" s="2" t="s">
        <v>257</v>
      </c>
      <c r="K389" s="2" t="s">
        <v>29</v>
      </c>
      <c r="L389" s="28"/>
      <c r="M389" s="3">
        <v>50</v>
      </c>
      <c r="N389" s="3">
        <v>50</v>
      </c>
      <c r="O389" s="29">
        <v>1</v>
      </c>
      <c r="Q389" s="19" t="s">
        <v>23</v>
      </c>
    </row>
    <row r="390" spans="4:17" x14ac:dyDescent="0.4">
      <c r="D390" s="25" t="s">
        <v>112</v>
      </c>
      <c r="E390" s="2" t="s">
        <v>113</v>
      </c>
      <c r="F390" s="2" t="s">
        <v>114</v>
      </c>
      <c r="G390" s="2" t="s">
        <v>115</v>
      </c>
      <c r="H390" s="26" t="s">
        <v>9</v>
      </c>
      <c r="I390" s="27">
        <v>46050</v>
      </c>
      <c r="J390" s="2" t="s">
        <v>257</v>
      </c>
      <c r="K390" s="2" t="s">
        <v>29</v>
      </c>
      <c r="L390" s="28"/>
      <c r="M390" s="3">
        <v>50</v>
      </c>
      <c r="N390" s="3">
        <v>50</v>
      </c>
      <c r="O390" s="29">
        <v>1</v>
      </c>
      <c r="Q390" s="19" t="s">
        <v>23</v>
      </c>
    </row>
    <row r="391" spans="4:17" x14ac:dyDescent="0.4">
      <c r="D391" s="25" t="s">
        <v>117</v>
      </c>
      <c r="E391" s="2" t="s">
        <v>118</v>
      </c>
      <c r="F391" s="2" t="s">
        <v>119</v>
      </c>
      <c r="G391" s="2" t="s">
        <v>120</v>
      </c>
      <c r="H391" s="26" t="s">
        <v>9</v>
      </c>
      <c r="I391" s="27">
        <v>46050</v>
      </c>
      <c r="J391" s="2" t="s">
        <v>257</v>
      </c>
      <c r="K391" s="2" t="s">
        <v>29</v>
      </c>
      <c r="L391" s="28"/>
      <c r="M391" s="3">
        <v>50</v>
      </c>
      <c r="N391" s="3">
        <v>50</v>
      </c>
      <c r="O391" s="29">
        <v>1</v>
      </c>
      <c r="Q391" s="19" t="s">
        <v>23</v>
      </c>
    </row>
    <row r="392" spans="4:17" x14ac:dyDescent="0.4">
      <c r="D392" s="25" t="s">
        <v>122</v>
      </c>
      <c r="E392" s="2" t="s">
        <v>123</v>
      </c>
      <c r="F392" s="2" t="s">
        <v>124</v>
      </c>
      <c r="G392" s="2" t="s">
        <v>125</v>
      </c>
      <c r="H392" s="26" t="s">
        <v>9</v>
      </c>
      <c r="I392" s="27">
        <v>46050</v>
      </c>
      <c r="J392" s="2" t="s">
        <v>257</v>
      </c>
      <c r="K392" s="2" t="s">
        <v>29</v>
      </c>
      <c r="L392" s="28"/>
      <c r="M392" s="3">
        <v>50</v>
      </c>
      <c r="N392" s="3">
        <v>50</v>
      </c>
      <c r="O392" s="29">
        <v>1</v>
      </c>
      <c r="Q392" s="19" t="s">
        <v>23</v>
      </c>
    </row>
    <row r="393" spans="4:17" x14ac:dyDescent="0.4">
      <c r="D393" s="25" t="s">
        <v>127</v>
      </c>
      <c r="E393" s="2" t="s">
        <v>128</v>
      </c>
      <c r="F393" s="2" t="s">
        <v>129</v>
      </c>
      <c r="G393" s="2" t="s">
        <v>130</v>
      </c>
      <c r="H393" s="26" t="s">
        <v>9</v>
      </c>
      <c r="I393" s="27">
        <v>46050</v>
      </c>
      <c r="J393" s="2" t="s">
        <v>257</v>
      </c>
      <c r="K393" s="2" t="s">
        <v>29</v>
      </c>
      <c r="L393" s="28"/>
      <c r="M393" s="3">
        <v>50</v>
      </c>
      <c r="N393" s="3">
        <v>50</v>
      </c>
      <c r="O393" s="29">
        <v>1</v>
      </c>
      <c r="Q393" s="19" t="s">
        <v>23</v>
      </c>
    </row>
    <row r="394" spans="4:17" x14ac:dyDescent="0.4">
      <c r="D394" s="25" t="s">
        <v>132</v>
      </c>
      <c r="E394" s="2" t="s">
        <v>133</v>
      </c>
      <c r="F394" s="2" t="s">
        <v>134</v>
      </c>
      <c r="G394" s="2" t="s">
        <v>135</v>
      </c>
      <c r="H394" s="26" t="s">
        <v>9</v>
      </c>
      <c r="I394" s="27">
        <v>46050</v>
      </c>
      <c r="J394" s="2" t="s">
        <v>257</v>
      </c>
      <c r="K394" s="2" t="s">
        <v>29</v>
      </c>
      <c r="L394" s="28"/>
      <c r="M394" s="3">
        <v>50</v>
      </c>
      <c r="N394" s="3">
        <v>50</v>
      </c>
      <c r="O394" s="29">
        <v>1</v>
      </c>
      <c r="Q394" s="19" t="s">
        <v>23</v>
      </c>
    </row>
    <row r="395" spans="4:17" x14ac:dyDescent="0.4">
      <c r="D395" s="25" t="s">
        <v>137</v>
      </c>
      <c r="E395" s="2" t="s">
        <v>138</v>
      </c>
      <c r="F395" s="2" t="s">
        <v>139</v>
      </c>
      <c r="G395" s="2" t="s">
        <v>140</v>
      </c>
      <c r="H395" s="26" t="s">
        <v>9</v>
      </c>
      <c r="I395" s="27">
        <v>46050</v>
      </c>
      <c r="J395" s="2" t="s">
        <v>257</v>
      </c>
      <c r="K395" s="2" t="s">
        <v>29</v>
      </c>
      <c r="L395" s="28"/>
      <c r="M395" s="3">
        <v>50</v>
      </c>
      <c r="N395" s="3">
        <v>50</v>
      </c>
      <c r="O395" s="29">
        <v>1</v>
      </c>
      <c r="Q395" s="19" t="s">
        <v>23</v>
      </c>
    </row>
    <row r="396" spans="4:17" x14ac:dyDescent="0.4">
      <c r="D396" s="25" t="s">
        <v>142</v>
      </c>
      <c r="E396" s="2" t="s">
        <v>143</v>
      </c>
      <c r="F396" s="2" t="s">
        <v>144</v>
      </c>
      <c r="G396" s="2" t="s">
        <v>145</v>
      </c>
      <c r="H396" s="26" t="s">
        <v>9</v>
      </c>
      <c r="I396" s="27">
        <v>46050</v>
      </c>
      <c r="J396" s="2" t="s">
        <v>257</v>
      </c>
      <c r="K396" s="2" t="s">
        <v>29</v>
      </c>
      <c r="L396" s="28"/>
      <c r="M396" s="3">
        <v>50</v>
      </c>
      <c r="N396" s="3">
        <v>50</v>
      </c>
      <c r="O396" s="29">
        <v>1</v>
      </c>
      <c r="Q396" s="19" t="s">
        <v>23</v>
      </c>
    </row>
    <row r="397" spans="4:17" x14ac:dyDescent="0.4">
      <c r="D397" s="25" t="s">
        <v>147</v>
      </c>
      <c r="E397" s="2" t="s">
        <v>148</v>
      </c>
      <c r="F397" s="2" t="s">
        <v>149</v>
      </c>
      <c r="G397" s="2" t="s">
        <v>150</v>
      </c>
      <c r="H397" s="26" t="s">
        <v>9</v>
      </c>
      <c r="I397" s="27">
        <v>46050</v>
      </c>
      <c r="J397" s="2" t="s">
        <v>257</v>
      </c>
      <c r="K397" s="2" t="s">
        <v>29</v>
      </c>
      <c r="L397" s="28"/>
      <c r="M397" s="3">
        <v>50</v>
      </c>
      <c r="N397" s="3">
        <v>50</v>
      </c>
      <c r="O397" s="29">
        <v>1</v>
      </c>
      <c r="Q397" s="19" t="s">
        <v>23</v>
      </c>
    </row>
    <row r="398" spans="4:17" x14ac:dyDescent="0.4">
      <c r="D398" s="25" t="s">
        <v>152</v>
      </c>
      <c r="E398" s="2" t="s">
        <v>66</v>
      </c>
      <c r="F398" s="2" t="s">
        <v>153</v>
      </c>
      <c r="G398" s="2" t="s">
        <v>154</v>
      </c>
      <c r="H398" s="26" t="s">
        <v>9</v>
      </c>
      <c r="I398" s="27">
        <v>46050</v>
      </c>
      <c r="J398" s="2" t="s">
        <v>257</v>
      </c>
      <c r="K398" s="2" t="s">
        <v>29</v>
      </c>
      <c r="L398" s="28"/>
      <c r="M398" s="3">
        <v>50</v>
      </c>
      <c r="N398" s="3">
        <v>50</v>
      </c>
      <c r="O398" s="29">
        <v>1</v>
      </c>
      <c r="Q398" s="19" t="s">
        <v>23</v>
      </c>
    </row>
    <row r="399" spans="4:17" x14ac:dyDescent="0.4">
      <c r="D399" s="25" t="s">
        <v>156</v>
      </c>
      <c r="E399" s="2" t="s">
        <v>157</v>
      </c>
      <c r="F399" s="2" t="s">
        <v>158</v>
      </c>
      <c r="G399" s="2" t="s">
        <v>159</v>
      </c>
      <c r="H399" s="26" t="s">
        <v>9</v>
      </c>
      <c r="I399" s="27">
        <v>46050</v>
      </c>
      <c r="J399" s="2" t="s">
        <v>257</v>
      </c>
      <c r="K399" s="2" t="s">
        <v>29</v>
      </c>
      <c r="L399" s="28"/>
      <c r="M399" s="3">
        <v>50</v>
      </c>
      <c r="N399" s="3">
        <v>50</v>
      </c>
      <c r="O399" s="29">
        <v>1</v>
      </c>
      <c r="Q399" s="19" t="s">
        <v>23</v>
      </c>
    </row>
    <row r="400" spans="4:17" x14ac:dyDescent="0.4">
      <c r="D400" s="25" t="s">
        <v>160</v>
      </c>
      <c r="E400" s="2" t="s">
        <v>81</v>
      </c>
      <c r="F400" s="2" t="s">
        <v>161</v>
      </c>
      <c r="G400" s="2" t="s">
        <v>162</v>
      </c>
      <c r="H400" s="26" t="s">
        <v>9</v>
      </c>
      <c r="I400" s="27">
        <v>46050</v>
      </c>
      <c r="J400" s="2" t="s">
        <v>257</v>
      </c>
      <c r="K400" s="2" t="s">
        <v>29</v>
      </c>
      <c r="L400" s="28"/>
      <c r="M400" s="3">
        <v>50</v>
      </c>
      <c r="N400" s="3">
        <v>50</v>
      </c>
      <c r="O400" s="29">
        <v>1</v>
      </c>
      <c r="Q400" s="19" t="s">
        <v>23</v>
      </c>
    </row>
    <row r="401" spans="4:17" x14ac:dyDescent="0.4">
      <c r="D401" s="25" t="s">
        <v>163</v>
      </c>
      <c r="E401" s="2" t="s">
        <v>164</v>
      </c>
      <c r="F401" s="2" t="s">
        <v>165</v>
      </c>
      <c r="G401" s="2" t="s">
        <v>166</v>
      </c>
      <c r="H401" s="26" t="s">
        <v>9</v>
      </c>
      <c r="I401" s="27">
        <v>46050</v>
      </c>
      <c r="J401" s="2" t="s">
        <v>257</v>
      </c>
      <c r="K401" s="2" t="s">
        <v>29</v>
      </c>
      <c r="L401" s="28"/>
      <c r="M401" s="3">
        <v>50</v>
      </c>
      <c r="N401" s="3">
        <v>50</v>
      </c>
      <c r="O401" s="29">
        <v>1</v>
      </c>
      <c r="Q401" s="19" t="s">
        <v>23</v>
      </c>
    </row>
    <row r="402" spans="4:17" x14ac:dyDescent="0.4">
      <c r="D402" s="25" t="s">
        <v>168</v>
      </c>
      <c r="E402" s="2" t="s">
        <v>169</v>
      </c>
      <c r="F402" s="2" t="s">
        <v>170</v>
      </c>
      <c r="G402" s="2" t="s">
        <v>171</v>
      </c>
      <c r="H402" s="26" t="s">
        <v>9</v>
      </c>
      <c r="I402" s="27">
        <v>46050</v>
      </c>
      <c r="J402" s="2" t="s">
        <v>257</v>
      </c>
      <c r="K402" s="2" t="s">
        <v>29</v>
      </c>
      <c r="L402" s="28"/>
      <c r="M402" s="3">
        <v>50</v>
      </c>
      <c r="N402" s="3">
        <v>50</v>
      </c>
      <c r="O402" s="29">
        <v>1</v>
      </c>
      <c r="Q402" s="19" t="s">
        <v>23</v>
      </c>
    </row>
    <row r="403" spans="4:17" x14ac:dyDescent="0.4">
      <c r="D403" s="25" t="s">
        <v>173</v>
      </c>
      <c r="E403" s="2" t="s">
        <v>174</v>
      </c>
      <c r="F403" s="2" t="s">
        <v>175</v>
      </c>
      <c r="G403" s="2" t="s">
        <v>176</v>
      </c>
      <c r="H403" s="26" t="s">
        <v>9</v>
      </c>
      <c r="I403" s="27">
        <v>46050</v>
      </c>
      <c r="J403" s="2" t="s">
        <v>257</v>
      </c>
      <c r="K403" s="2" t="s">
        <v>29</v>
      </c>
      <c r="L403" s="28"/>
      <c r="M403" s="3">
        <v>50</v>
      </c>
      <c r="N403" s="3">
        <v>50</v>
      </c>
      <c r="O403" s="29">
        <v>1</v>
      </c>
      <c r="Q403" s="19" t="s">
        <v>23</v>
      </c>
    </row>
    <row r="404" spans="4:17" x14ac:dyDescent="0.4">
      <c r="D404" s="25" t="s">
        <v>178</v>
      </c>
      <c r="E404" s="2" t="s">
        <v>179</v>
      </c>
      <c r="F404" s="2" t="s">
        <v>180</v>
      </c>
      <c r="G404" s="2" t="s">
        <v>181</v>
      </c>
      <c r="H404" s="26" t="s">
        <v>9</v>
      </c>
      <c r="I404" s="27">
        <v>46050</v>
      </c>
      <c r="J404" s="2" t="s">
        <v>257</v>
      </c>
      <c r="K404" s="2" t="s">
        <v>29</v>
      </c>
      <c r="L404" s="28"/>
      <c r="M404" s="3">
        <v>50</v>
      </c>
      <c r="N404" s="3">
        <v>50</v>
      </c>
      <c r="O404" s="29">
        <v>1</v>
      </c>
      <c r="Q404" s="19" t="s">
        <v>23</v>
      </c>
    </row>
    <row r="405" spans="4:17" x14ac:dyDescent="0.4">
      <c r="D405" s="25" t="s">
        <v>183</v>
      </c>
      <c r="E405" s="2" t="s">
        <v>184</v>
      </c>
      <c r="F405" s="2" t="s">
        <v>185</v>
      </c>
      <c r="G405" s="2" t="s">
        <v>186</v>
      </c>
      <c r="H405" s="26" t="s">
        <v>9</v>
      </c>
      <c r="I405" s="27">
        <v>46050</v>
      </c>
      <c r="J405" s="2" t="s">
        <v>257</v>
      </c>
      <c r="K405" s="2" t="s">
        <v>29</v>
      </c>
      <c r="L405" s="28"/>
      <c r="M405" s="3">
        <v>50</v>
      </c>
      <c r="N405" s="3">
        <v>50</v>
      </c>
      <c r="O405" s="29">
        <v>1</v>
      </c>
      <c r="Q405" s="19" t="s">
        <v>23</v>
      </c>
    </row>
    <row r="406" spans="4:17" x14ac:dyDescent="0.4">
      <c r="D406" s="25" t="s">
        <v>187</v>
      </c>
      <c r="E406" s="2" t="s">
        <v>188</v>
      </c>
      <c r="F406" s="2" t="s">
        <v>189</v>
      </c>
      <c r="G406" s="2" t="s">
        <v>190</v>
      </c>
      <c r="H406" s="26" t="s">
        <v>9</v>
      </c>
      <c r="I406" s="27">
        <v>46050</v>
      </c>
      <c r="J406" s="2" t="s">
        <v>257</v>
      </c>
      <c r="K406" s="2" t="s">
        <v>29</v>
      </c>
      <c r="L406" s="28"/>
      <c r="M406" s="3">
        <v>50</v>
      </c>
      <c r="N406" s="3">
        <v>50</v>
      </c>
      <c r="O406" s="29">
        <v>1</v>
      </c>
      <c r="Q406" s="19" t="s">
        <v>23</v>
      </c>
    </row>
    <row r="407" spans="4:17" x14ac:dyDescent="0.4">
      <c r="D407" s="25" t="s">
        <v>192</v>
      </c>
      <c r="E407" s="2" t="s">
        <v>193</v>
      </c>
      <c r="F407" s="2" t="s">
        <v>194</v>
      </c>
      <c r="G407" s="2" t="s">
        <v>195</v>
      </c>
      <c r="H407" s="26" t="s">
        <v>9</v>
      </c>
      <c r="I407" s="27">
        <v>46050</v>
      </c>
      <c r="J407" s="2" t="s">
        <v>257</v>
      </c>
      <c r="K407" s="2" t="s">
        <v>29</v>
      </c>
      <c r="L407" s="28"/>
      <c r="M407" s="3">
        <v>50</v>
      </c>
      <c r="N407" s="3">
        <v>50</v>
      </c>
      <c r="O407" s="29">
        <v>1</v>
      </c>
      <c r="Q407" s="19" t="s">
        <v>23</v>
      </c>
    </row>
    <row r="408" spans="4:17" x14ac:dyDescent="0.4">
      <c r="D408" s="25" t="s">
        <v>197</v>
      </c>
      <c r="E408" s="2" t="s">
        <v>198</v>
      </c>
      <c r="F408" s="2" t="s">
        <v>199</v>
      </c>
      <c r="G408" s="2" t="s">
        <v>200</v>
      </c>
      <c r="H408" s="26" t="s">
        <v>9</v>
      </c>
      <c r="I408" s="27">
        <v>46050</v>
      </c>
      <c r="J408" s="2" t="s">
        <v>257</v>
      </c>
      <c r="K408" s="2" t="s">
        <v>29</v>
      </c>
      <c r="L408" s="28"/>
      <c r="M408" s="3">
        <v>50</v>
      </c>
      <c r="N408" s="3">
        <v>50</v>
      </c>
      <c r="O408" s="29">
        <v>1</v>
      </c>
      <c r="Q408" s="19" t="s">
        <v>23</v>
      </c>
    </row>
    <row r="409" spans="4:17" x14ac:dyDescent="0.4">
      <c r="D409" s="25" t="s">
        <v>201</v>
      </c>
      <c r="E409" s="2" t="s">
        <v>143</v>
      </c>
      <c r="F409" s="2" t="s">
        <v>202</v>
      </c>
      <c r="G409" s="2" t="s">
        <v>203</v>
      </c>
      <c r="H409" s="26" t="s">
        <v>9</v>
      </c>
      <c r="I409" s="27">
        <v>46050</v>
      </c>
      <c r="J409" s="2" t="s">
        <v>257</v>
      </c>
      <c r="K409" s="2" t="s">
        <v>29</v>
      </c>
      <c r="L409" s="28"/>
      <c r="M409" s="3">
        <v>50</v>
      </c>
      <c r="N409" s="3">
        <v>50</v>
      </c>
      <c r="O409" s="29">
        <v>1</v>
      </c>
      <c r="Q409" s="19" t="s">
        <v>23</v>
      </c>
    </row>
    <row r="410" spans="4:17" x14ac:dyDescent="0.4">
      <c r="D410" s="25" t="s">
        <v>205</v>
      </c>
      <c r="E410" s="2" t="s">
        <v>206</v>
      </c>
      <c r="F410" s="2" t="s">
        <v>207</v>
      </c>
      <c r="G410" s="2" t="s">
        <v>208</v>
      </c>
      <c r="H410" s="26" t="s">
        <v>9</v>
      </c>
      <c r="I410" s="27">
        <v>46050</v>
      </c>
      <c r="J410" s="2" t="s">
        <v>257</v>
      </c>
      <c r="K410" s="2" t="s">
        <v>29</v>
      </c>
      <c r="L410" s="28"/>
      <c r="M410" s="3">
        <v>50</v>
      </c>
      <c r="N410" s="3">
        <v>50</v>
      </c>
      <c r="O410" s="29">
        <v>1</v>
      </c>
      <c r="Q410" s="19" t="s">
        <v>23</v>
      </c>
    </row>
    <row r="411" spans="4:17" x14ac:dyDescent="0.4">
      <c r="D411" s="25" t="s">
        <v>210</v>
      </c>
      <c r="E411" s="2" t="s">
        <v>211</v>
      </c>
      <c r="F411" s="2" t="s">
        <v>212</v>
      </c>
      <c r="G411" s="2" t="s">
        <v>213</v>
      </c>
      <c r="H411" s="26" t="s">
        <v>9</v>
      </c>
      <c r="I411" s="27">
        <v>46050</v>
      </c>
      <c r="J411" s="2" t="s">
        <v>257</v>
      </c>
      <c r="K411" s="2" t="s">
        <v>29</v>
      </c>
      <c r="L411" s="28"/>
      <c r="M411" s="3">
        <v>50</v>
      </c>
      <c r="N411" s="3">
        <v>50</v>
      </c>
      <c r="O411" s="29">
        <v>1</v>
      </c>
      <c r="Q411" s="19" t="s">
        <v>23</v>
      </c>
    </row>
    <row r="412" spans="4:17" x14ac:dyDescent="0.4">
      <c r="D412" s="31" t="s">
        <v>215</v>
      </c>
      <c r="E412" s="32" t="s">
        <v>216</v>
      </c>
      <c r="F412" s="32" t="s">
        <v>217</v>
      </c>
      <c r="G412" s="32" t="s">
        <v>218</v>
      </c>
      <c r="H412" s="33" t="s">
        <v>9</v>
      </c>
      <c r="I412" s="34">
        <v>46050</v>
      </c>
      <c r="J412" s="32" t="s">
        <v>257</v>
      </c>
      <c r="K412" s="32" t="s">
        <v>29</v>
      </c>
      <c r="L412" s="35"/>
      <c r="M412" s="36">
        <v>50</v>
      </c>
      <c r="N412" s="36">
        <v>50</v>
      </c>
      <c r="O412" s="37">
        <v>1</v>
      </c>
      <c r="Q412" s="19" t="s">
        <v>23</v>
      </c>
    </row>
  </sheetData>
  <hyperlinks>
    <hyperlink ref="H3" r:id="rId1" xr:uid="{00000000-0004-0000-0000-000000000000}"/>
    <hyperlink ref="H4" r:id="rId2" xr:uid="{00000000-0004-0000-0000-000001000000}"/>
    <hyperlink ref="H5" r:id="rId3" xr:uid="{00000000-0004-0000-0000-000002000000}"/>
    <hyperlink ref="H6" r:id="rId4" xr:uid="{00000000-0004-0000-0000-000003000000}"/>
    <hyperlink ref="H7" r:id="rId5" xr:uid="{00000000-0004-0000-0000-000004000000}"/>
    <hyperlink ref="H8" r:id="rId6" xr:uid="{00000000-0004-0000-0000-000005000000}"/>
    <hyperlink ref="H9" r:id="rId7" xr:uid="{00000000-0004-0000-0000-000006000000}"/>
    <hyperlink ref="H10" r:id="rId8" xr:uid="{00000000-0004-0000-0000-000007000000}"/>
    <hyperlink ref="H11" r:id="rId9" xr:uid="{00000000-0004-0000-0000-000008000000}"/>
    <hyperlink ref="H12" r:id="rId10" xr:uid="{00000000-0004-0000-0000-000009000000}"/>
    <hyperlink ref="H13" r:id="rId11" xr:uid="{00000000-0004-0000-0000-00000A000000}"/>
    <hyperlink ref="H14" r:id="rId12" xr:uid="{00000000-0004-0000-0000-00000B000000}"/>
    <hyperlink ref="H15" r:id="rId13" xr:uid="{00000000-0004-0000-0000-00000C000000}"/>
    <hyperlink ref="H16" r:id="rId14" xr:uid="{00000000-0004-0000-0000-00000D000000}"/>
    <hyperlink ref="H17" r:id="rId15" xr:uid="{00000000-0004-0000-0000-00000E000000}"/>
    <hyperlink ref="H18" r:id="rId16" xr:uid="{00000000-0004-0000-0000-00000F000000}"/>
    <hyperlink ref="H19" r:id="rId17" xr:uid="{00000000-0004-0000-0000-000010000000}"/>
    <hyperlink ref="H20" r:id="rId18" xr:uid="{00000000-0004-0000-0000-000011000000}"/>
    <hyperlink ref="H21" r:id="rId19" xr:uid="{00000000-0004-0000-0000-000012000000}"/>
    <hyperlink ref="H22" r:id="rId20" xr:uid="{00000000-0004-0000-0000-000013000000}"/>
    <hyperlink ref="H23" r:id="rId21" xr:uid="{00000000-0004-0000-0000-000014000000}"/>
    <hyperlink ref="H24" r:id="rId22" xr:uid="{00000000-0004-0000-0000-000015000000}"/>
    <hyperlink ref="H25" r:id="rId23" xr:uid="{00000000-0004-0000-0000-000016000000}"/>
    <hyperlink ref="H26" r:id="rId24" xr:uid="{00000000-0004-0000-0000-000017000000}"/>
    <hyperlink ref="H27" r:id="rId25" xr:uid="{00000000-0004-0000-0000-000018000000}"/>
    <hyperlink ref="H28" r:id="rId26" xr:uid="{00000000-0004-0000-0000-000019000000}"/>
    <hyperlink ref="H29" r:id="rId27" xr:uid="{00000000-0004-0000-0000-00001A000000}"/>
    <hyperlink ref="H30" r:id="rId28" xr:uid="{00000000-0004-0000-0000-00001B000000}"/>
    <hyperlink ref="H31" r:id="rId29" xr:uid="{00000000-0004-0000-0000-00001C000000}"/>
    <hyperlink ref="H32" r:id="rId30" xr:uid="{00000000-0004-0000-0000-00001D000000}"/>
    <hyperlink ref="H33" r:id="rId31" xr:uid="{00000000-0004-0000-0000-00001E000000}"/>
    <hyperlink ref="H34" r:id="rId32" xr:uid="{00000000-0004-0000-0000-00001F000000}"/>
    <hyperlink ref="H35" r:id="rId33" xr:uid="{00000000-0004-0000-0000-000020000000}"/>
    <hyperlink ref="H36" r:id="rId34" xr:uid="{00000000-0004-0000-0000-000021000000}"/>
    <hyperlink ref="H37" r:id="rId35" xr:uid="{00000000-0004-0000-0000-000022000000}"/>
    <hyperlink ref="H38" r:id="rId36" xr:uid="{00000000-0004-0000-0000-000023000000}"/>
    <hyperlink ref="H39" r:id="rId37" xr:uid="{00000000-0004-0000-0000-000024000000}"/>
    <hyperlink ref="H40" r:id="rId38" xr:uid="{00000000-0004-0000-0000-000025000000}"/>
    <hyperlink ref="H41" r:id="rId39" xr:uid="{00000000-0004-0000-0000-000026000000}"/>
    <hyperlink ref="H42" r:id="rId40" xr:uid="{00000000-0004-0000-0000-000027000000}"/>
    <hyperlink ref="H43" r:id="rId41" xr:uid="{00000000-0004-0000-0000-000028000000}"/>
    <hyperlink ref="H44" r:id="rId42" xr:uid="{00000000-0004-0000-0000-000029000000}"/>
    <hyperlink ref="H45" r:id="rId43" xr:uid="{00000000-0004-0000-0000-00002A000000}"/>
    <hyperlink ref="H46" r:id="rId44" xr:uid="{00000000-0004-0000-0000-00002B000000}"/>
    <hyperlink ref="H47" r:id="rId45" xr:uid="{00000000-0004-0000-0000-00002C000000}"/>
    <hyperlink ref="H48" r:id="rId46" xr:uid="{00000000-0004-0000-0000-00002D000000}"/>
    <hyperlink ref="H49" r:id="rId47" xr:uid="{00000000-0004-0000-0000-00002E000000}"/>
    <hyperlink ref="H50" r:id="rId48" xr:uid="{00000000-0004-0000-0000-00002F000000}"/>
    <hyperlink ref="H51" r:id="rId49" xr:uid="{00000000-0004-0000-0000-000030000000}"/>
    <hyperlink ref="H52" r:id="rId50" xr:uid="{00000000-0004-0000-0000-000031000000}"/>
    <hyperlink ref="H53" r:id="rId51" xr:uid="{00000000-0004-0000-0000-000032000000}"/>
    <hyperlink ref="H54" r:id="rId52" xr:uid="{00000000-0004-0000-0000-000033000000}"/>
    <hyperlink ref="H55" r:id="rId53" xr:uid="{00000000-0004-0000-0000-000034000000}"/>
    <hyperlink ref="H56" r:id="rId54" xr:uid="{00000000-0004-0000-0000-000035000000}"/>
    <hyperlink ref="H57" r:id="rId55" xr:uid="{00000000-0004-0000-0000-000036000000}"/>
    <hyperlink ref="H58" r:id="rId56" xr:uid="{00000000-0004-0000-0000-000037000000}"/>
    <hyperlink ref="H59" r:id="rId57" xr:uid="{00000000-0004-0000-0000-000038000000}"/>
    <hyperlink ref="H60" r:id="rId58" xr:uid="{00000000-0004-0000-0000-000039000000}"/>
    <hyperlink ref="H61" r:id="rId59" xr:uid="{00000000-0004-0000-0000-00003A000000}"/>
    <hyperlink ref="H62" r:id="rId60" xr:uid="{00000000-0004-0000-0000-00003B000000}"/>
    <hyperlink ref="H63" r:id="rId61" xr:uid="{00000000-0004-0000-0000-00003C000000}"/>
    <hyperlink ref="H64" r:id="rId62" xr:uid="{00000000-0004-0000-0000-00003D000000}"/>
    <hyperlink ref="H65" r:id="rId63" xr:uid="{00000000-0004-0000-0000-00003E000000}"/>
    <hyperlink ref="H66" r:id="rId64" xr:uid="{00000000-0004-0000-0000-00003F000000}"/>
    <hyperlink ref="H67" r:id="rId65" xr:uid="{00000000-0004-0000-0000-000040000000}"/>
    <hyperlink ref="H68" r:id="rId66" xr:uid="{00000000-0004-0000-0000-000041000000}"/>
    <hyperlink ref="H69" r:id="rId67" xr:uid="{00000000-0004-0000-0000-000042000000}"/>
    <hyperlink ref="H70" r:id="rId68" xr:uid="{00000000-0004-0000-0000-000043000000}"/>
    <hyperlink ref="H71" r:id="rId69" xr:uid="{00000000-0004-0000-0000-000044000000}"/>
    <hyperlink ref="H72" r:id="rId70" xr:uid="{00000000-0004-0000-0000-000045000000}"/>
    <hyperlink ref="H73" r:id="rId71" xr:uid="{00000000-0004-0000-0000-000046000000}"/>
    <hyperlink ref="H74" r:id="rId72" xr:uid="{00000000-0004-0000-0000-000047000000}"/>
    <hyperlink ref="H75" r:id="rId73" xr:uid="{00000000-0004-0000-0000-000048000000}"/>
    <hyperlink ref="H76" r:id="rId74" xr:uid="{00000000-0004-0000-0000-000049000000}"/>
    <hyperlink ref="H77" r:id="rId75" xr:uid="{00000000-0004-0000-0000-00004A000000}"/>
    <hyperlink ref="H78" r:id="rId76" xr:uid="{00000000-0004-0000-0000-00004B000000}"/>
    <hyperlink ref="H79" r:id="rId77" xr:uid="{00000000-0004-0000-0000-00004C000000}"/>
    <hyperlink ref="H80" r:id="rId78" xr:uid="{00000000-0004-0000-0000-00004D000000}"/>
    <hyperlink ref="H81" r:id="rId79" xr:uid="{00000000-0004-0000-0000-00004E000000}"/>
    <hyperlink ref="H82" r:id="rId80" xr:uid="{00000000-0004-0000-0000-00004F000000}"/>
    <hyperlink ref="H83" r:id="rId81" xr:uid="{00000000-0004-0000-0000-000050000000}"/>
    <hyperlink ref="H84" r:id="rId82" xr:uid="{00000000-0004-0000-0000-000051000000}"/>
    <hyperlink ref="H85" r:id="rId83" xr:uid="{00000000-0004-0000-0000-000052000000}"/>
    <hyperlink ref="H86" r:id="rId84" xr:uid="{00000000-0004-0000-0000-000053000000}"/>
    <hyperlink ref="H87" r:id="rId85" xr:uid="{00000000-0004-0000-0000-000054000000}"/>
    <hyperlink ref="H88" r:id="rId86" xr:uid="{00000000-0004-0000-0000-000055000000}"/>
    <hyperlink ref="H89" r:id="rId87" xr:uid="{00000000-0004-0000-0000-000056000000}"/>
    <hyperlink ref="H90" r:id="rId88" xr:uid="{00000000-0004-0000-0000-000057000000}"/>
    <hyperlink ref="H91" r:id="rId89" xr:uid="{00000000-0004-0000-0000-000058000000}"/>
    <hyperlink ref="H92" r:id="rId90" xr:uid="{00000000-0004-0000-0000-000059000000}"/>
    <hyperlink ref="H93" r:id="rId91" xr:uid="{00000000-0004-0000-0000-00005A000000}"/>
    <hyperlink ref="H94" r:id="rId92" xr:uid="{00000000-0004-0000-0000-00005B000000}"/>
    <hyperlink ref="H95" r:id="rId93" xr:uid="{00000000-0004-0000-0000-00005C000000}"/>
    <hyperlink ref="H96" r:id="rId94" xr:uid="{00000000-0004-0000-0000-00005D000000}"/>
    <hyperlink ref="H97" r:id="rId95" xr:uid="{00000000-0004-0000-0000-00005E000000}"/>
    <hyperlink ref="H98" r:id="rId96" xr:uid="{00000000-0004-0000-0000-00005F000000}"/>
    <hyperlink ref="H99" r:id="rId97" xr:uid="{00000000-0004-0000-0000-000060000000}"/>
    <hyperlink ref="H100" r:id="rId98" xr:uid="{00000000-0004-0000-0000-000061000000}"/>
    <hyperlink ref="H101" r:id="rId99" xr:uid="{00000000-0004-0000-0000-000062000000}"/>
    <hyperlink ref="H102" r:id="rId100" xr:uid="{00000000-0004-0000-0000-000063000000}"/>
    <hyperlink ref="H103" r:id="rId101" xr:uid="{00000000-0004-0000-0000-000064000000}"/>
    <hyperlink ref="H104" r:id="rId102" xr:uid="{00000000-0004-0000-0000-000065000000}"/>
    <hyperlink ref="H105" r:id="rId103" xr:uid="{00000000-0004-0000-0000-000066000000}"/>
    <hyperlink ref="H106" r:id="rId104" xr:uid="{00000000-0004-0000-0000-000067000000}"/>
    <hyperlink ref="H107" r:id="rId105" xr:uid="{00000000-0004-0000-0000-000068000000}"/>
    <hyperlink ref="H108" r:id="rId106" xr:uid="{00000000-0004-0000-0000-000069000000}"/>
    <hyperlink ref="H109" r:id="rId107" xr:uid="{00000000-0004-0000-0000-00006A000000}"/>
    <hyperlink ref="H110" r:id="rId108" xr:uid="{00000000-0004-0000-0000-00006B000000}"/>
    <hyperlink ref="H111" r:id="rId109" xr:uid="{00000000-0004-0000-0000-00006C000000}"/>
    <hyperlink ref="H112" r:id="rId110" xr:uid="{00000000-0004-0000-0000-00006D000000}"/>
    <hyperlink ref="H113" r:id="rId111" xr:uid="{00000000-0004-0000-0000-00006E000000}"/>
    <hyperlink ref="H114" r:id="rId112" xr:uid="{00000000-0004-0000-0000-00006F000000}"/>
    <hyperlink ref="H115" r:id="rId113" xr:uid="{00000000-0004-0000-0000-000070000000}"/>
    <hyperlink ref="H116" r:id="rId114" xr:uid="{00000000-0004-0000-0000-000071000000}"/>
    <hyperlink ref="H117" r:id="rId115" xr:uid="{00000000-0004-0000-0000-000072000000}"/>
    <hyperlink ref="H118" r:id="rId116" xr:uid="{00000000-0004-0000-0000-000073000000}"/>
    <hyperlink ref="H119" r:id="rId117" xr:uid="{00000000-0004-0000-0000-000074000000}"/>
    <hyperlink ref="H120" r:id="rId118" xr:uid="{00000000-0004-0000-0000-000075000000}"/>
    <hyperlink ref="H121" r:id="rId119" xr:uid="{00000000-0004-0000-0000-000076000000}"/>
    <hyperlink ref="H122" r:id="rId120" xr:uid="{00000000-0004-0000-0000-000077000000}"/>
    <hyperlink ref="H123" r:id="rId121" xr:uid="{00000000-0004-0000-0000-000078000000}"/>
    <hyperlink ref="H124" r:id="rId122" xr:uid="{00000000-0004-0000-0000-000079000000}"/>
    <hyperlink ref="H125" r:id="rId123" xr:uid="{00000000-0004-0000-0000-00007A000000}"/>
    <hyperlink ref="H126" r:id="rId124" xr:uid="{00000000-0004-0000-0000-00007B000000}"/>
    <hyperlink ref="H127" r:id="rId125" xr:uid="{00000000-0004-0000-0000-00007C000000}"/>
    <hyperlink ref="H128" r:id="rId126" xr:uid="{00000000-0004-0000-0000-00007D000000}"/>
    <hyperlink ref="H129" r:id="rId127" xr:uid="{00000000-0004-0000-0000-00007E000000}"/>
    <hyperlink ref="H130" r:id="rId128" xr:uid="{00000000-0004-0000-0000-00007F000000}"/>
    <hyperlink ref="H131" r:id="rId129" xr:uid="{00000000-0004-0000-0000-000080000000}"/>
    <hyperlink ref="H132" r:id="rId130" xr:uid="{00000000-0004-0000-0000-000081000000}"/>
    <hyperlink ref="H133" r:id="rId131" xr:uid="{00000000-0004-0000-0000-000082000000}"/>
    <hyperlink ref="H134" r:id="rId132" xr:uid="{00000000-0004-0000-0000-000083000000}"/>
    <hyperlink ref="H135" r:id="rId133" xr:uid="{00000000-0004-0000-0000-000084000000}"/>
    <hyperlink ref="H136" r:id="rId134" xr:uid="{00000000-0004-0000-0000-000085000000}"/>
    <hyperlink ref="H137" r:id="rId135" xr:uid="{00000000-0004-0000-0000-000086000000}"/>
    <hyperlink ref="H138" r:id="rId136" xr:uid="{00000000-0004-0000-0000-000087000000}"/>
    <hyperlink ref="H139" r:id="rId137" xr:uid="{00000000-0004-0000-0000-000088000000}"/>
    <hyperlink ref="H140" r:id="rId138" xr:uid="{00000000-0004-0000-0000-000089000000}"/>
    <hyperlink ref="H141" r:id="rId139" xr:uid="{00000000-0004-0000-0000-00008A000000}"/>
    <hyperlink ref="H142" r:id="rId140" xr:uid="{00000000-0004-0000-0000-00008B000000}"/>
    <hyperlink ref="H143" r:id="rId141" xr:uid="{00000000-0004-0000-0000-00008C000000}"/>
    <hyperlink ref="H144" r:id="rId142" xr:uid="{00000000-0004-0000-0000-00008D000000}"/>
    <hyperlink ref="H145" r:id="rId143" xr:uid="{00000000-0004-0000-0000-00008E000000}"/>
    <hyperlink ref="H146" r:id="rId144" xr:uid="{00000000-0004-0000-0000-00008F000000}"/>
    <hyperlink ref="H147" r:id="rId145" xr:uid="{00000000-0004-0000-0000-000090000000}"/>
    <hyperlink ref="H148" r:id="rId146" xr:uid="{00000000-0004-0000-0000-000091000000}"/>
    <hyperlink ref="H149" r:id="rId147" xr:uid="{00000000-0004-0000-0000-000092000000}"/>
    <hyperlink ref="H150" r:id="rId148" xr:uid="{00000000-0004-0000-0000-000093000000}"/>
    <hyperlink ref="H151" r:id="rId149" xr:uid="{00000000-0004-0000-0000-000094000000}"/>
    <hyperlink ref="H152" r:id="rId150" xr:uid="{00000000-0004-0000-0000-000095000000}"/>
    <hyperlink ref="H153" r:id="rId151" xr:uid="{00000000-0004-0000-0000-000096000000}"/>
    <hyperlink ref="H154" r:id="rId152" xr:uid="{00000000-0004-0000-0000-000097000000}"/>
    <hyperlink ref="H155" r:id="rId153" xr:uid="{00000000-0004-0000-0000-000098000000}"/>
    <hyperlink ref="H156" r:id="rId154" xr:uid="{00000000-0004-0000-0000-000099000000}"/>
    <hyperlink ref="H157" r:id="rId155" xr:uid="{00000000-0004-0000-0000-00009A000000}"/>
    <hyperlink ref="H158" r:id="rId156" xr:uid="{00000000-0004-0000-0000-00009B000000}"/>
    <hyperlink ref="H159" r:id="rId157" xr:uid="{00000000-0004-0000-0000-00009C000000}"/>
    <hyperlink ref="H160" r:id="rId158" xr:uid="{00000000-0004-0000-0000-00009D000000}"/>
    <hyperlink ref="H161" r:id="rId159" xr:uid="{00000000-0004-0000-0000-00009E000000}"/>
    <hyperlink ref="H162" r:id="rId160" xr:uid="{00000000-0004-0000-0000-00009F000000}"/>
    <hyperlink ref="H163" r:id="rId161" xr:uid="{00000000-0004-0000-0000-0000A0000000}"/>
    <hyperlink ref="H164" r:id="rId162" xr:uid="{00000000-0004-0000-0000-0000A1000000}"/>
    <hyperlink ref="H165" r:id="rId163" xr:uid="{00000000-0004-0000-0000-0000A2000000}"/>
    <hyperlink ref="H166" r:id="rId164" xr:uid="{00000000-0004-0000-0000-0000A3000000}"/>
    <hyperlink ref="H167" r:id="rId165" xr:uid="{00000000-0004-0000-0000-0000A4000000}"/>
    <hyperlink ref="H168" r:id="rId166" xr:uid="{00000000-0004-0000-0000-0000A5000000}"/>
    <hyperlink ref="H169" r:id="rId167" xr:uid="{00000000-0004-0000-0000-0000A6000000}"/>
    <hyperlink ref="H170" r:id="rId168" xr:uid="{00000000-0004-0000-0000-0000A7000000}"/>
    <hyperlink ref="H171" r:id="rId169" xr:uid="{00000000-0004-0000-0000-0000A8000000}"/>
    <hyperlink ref="H172" r:id="rId170" xr:uid="{00000000-0004-0000-0000-0000A9000000}"/>
    <hyperlink ref="H173" r:id="rId171" xr:uid="{00000000-0004-0000-0000-0000AA000000}"/>
    <hyperlink ref="H174" r:id="rId172" xr:uid="{00000000-0004-0000-0000-0000AB000000}"/>
    <hyperlink ref="H175" r:id="rId173" xr:uid="{00000000-0004-0000-0000-0000AC000000}"/>
    <hyperlink ref="H176" r:id="rId174" xr:uid="{00000000-0004-0000-0000-0000AD000000}"/>
    <hyperlink ref="H177" r:id="rId175" xr:uid="{00000000-0004-0000-0000-0000AE000000}"/>
    <hyperlink ref="H178" r:id="rId176" xr:uid="{00000000-0004-0000-0000-0000AF000000}"/>
    <hyperlink ref="H179" r:id="rId177" xr:uid="{00000000-0004-0000-0000-0000B0000000}"/>
    <hyperlink ref="H180" r:id="rId178" xr:uid="{00000000-0004-0000-0000-0000B1000000}"/>
    <hyperlink ref="H181" r:id="rId179" xr:uid="{00000000-0004-0000-0000-0000B2000000}"/>
    <hyperlink ref="H182" r:id="rId180" xr:uid="{00000000-0004-0000-0000-0000B3000000}"/>
    <hyperlink ref="H183" r:id="rId181" xr:uid="{00000000-0004-0000-0000-0000B4000000}"/>
    <hyperlink ref="H184" r:id="rId182" xr:uid="{00000000-0004-0000-0000-0000B5000000}"/>
    <hyperlink ref="H185" r:id="rId183" xr:uid="{00000000-0004-0000-0000-0000B6000000}"/>
    <hyperlink ref="H186" r:id="rId184" xr:uid="{00000000-0004-0000-0000-0000B7000000}"/>
    <hyperlink ref="H187" r:id="rId185" xr:uid="{00000000-0004-0000-0000-0000B8000000}"/>
    <hyperlink ref="H188" r:id="rId186" xr:uid="{00000000-0004-0000-0000-0000B9000000}"/>
    <hyperlink ref="H189" r:id="rId187" xr:uid="{00000000-0004-0000-0000-0000BA000000}"/>
    <hyperlink ref="H190" r:id="rId188" xr:uid="{00000000-0004-0000-0000-0000BB000000}"/>
    <hyperlink ref="H191" r:id="rId189" xr:uid="{00000000-0004-0000-0000-0000BC000000}"/>
    <hyperlink ref="H192" r:id="rId190" xr:uid="{00000000-0004-0000-0000-0000BD000000}"/>
    <hyperlink ref="H193" r:id="rId191" xr:uid="{00000000-0004-0000-0000-0000BE000000}"/>
    <hyperlink ref="H194" r:id="rId192" xr:uid="{00000000-0004-0000-0000-0000BF000000}"/>
    <hyperlink ref="H195" r:id="rId193" xr:uid="{00000000-0004-0000-0000-0000C0000000}"/>
    <hyperlink ref="H196" r:id="rId194" xr:uid="{00000000-0004-0000-0000-0000C1000000}"/>
    <hyperlink ref="H197" r:id="rId195" xr:uid="{00000000-0004-0000-0000-0000C2000000}"/>
    <hyperlink ref="H198" r:id="rId196" xr:uid="{00000000-0004-0000-0000-0000C3000000}"/>
    <hyperlink ref="H199" r:id="rId197" xr:uid="{00000000-0004-0000-0000-0000C4000000}"/>
    <hyperlink ref="H200" r:id="rId198" xr:uid="{00000000-0004-0000-0000-0000C5000000}"/>
    <hyperlink ref="H201" r:id="rId199" xr:uid="{00000000-0004-0000-0000-0000C6000000}"/>
    <hyperlink ref="H202" r:id="rId200" xr:uid="{00000000-0004-0000-0000-0000C7000000}"/>
    <hyperlink ref="H203" r:id="rId201" xr:uid="{00000000-0004-0000-0000-0000C8000000}"/>
    <hyperlink ref="H204" r:id="rId202" xr:uid="{00000000-0004-0000-0000-0000C9000000}"/>
    <hyperlink ref="H205" r:id="rId203" xr:uid="{00000000-0004-0000-0000-0000CA000000}"/>
    <hyperlink ref="H206" r:id="rId204" xr:uid="{00000000-0004-0000-0000-0000CB000000}"/>
    <hyperlink ref="H207" r:id="rId205" xr:uid="{00000000-0004-0000-0000-0000CC000000}"/>
    <hyperlink ref="H208" r:id="rId206" xr:uid="{00000000-0004-0000-0000-0000CD000000}"/>
    <hyperlink ref="H209" r:id="rId207" xr:uid="{00000000-0004-0000-0000-0000CE000000}"/>
    <hyperlink ref="H210" r:id="rId208" xr:uid="{00000000-0004-0000-0000-0000CF000000}"/>
    <hyperlink ref="H211" r:id="rId209" xr:uid="{00000000-0004-0000-0000-0000D0000000}"/>
    <hyperlink ref="H212" r:id="rId210" xr:uid="{00000000-0004-0000-0000-0000D1000000}"/>
    <hyperlink ref="H213" r:id="rId211" xr:uid="{00000000-0004-0000-0000-0000D2000000}"/>
    <hyperlink ref="H214" r:id="rId212" xr:uid="{00000000-0004-0000-0000-0000D3000000}"/>
    <hyperlink ref="H215" r:id="rId213" xr:uid="{00000000-0004-0000-0000-0000D4000000}"/>
    <hyperlink ref="H216" r:id="rId214" xr:uid="{00000000-0004-0000-0000-0000D5000000}"/>
    <hyperlink ref="H217" r:id="rId215" xr:uid="{00000000-0004-0000-0000-0000D6000000}"/>
    <hyperlink ref="H218" r:id="rId216" xr:uid="{00000000-0004-0000-0000-0000D7000000}"/>
    <hyperlink ref="H219" r:id="rId217" xr:uid="{00000000-0004-0000-0000-0000D8000000}"/>
    <hyperlink ref="H220" r:id="rId218" xr:uid="{00000000-0004-0000-0000-0000D9000000}"/>
    <hyperlink ref="H221" r:id="rId219" xr:uid="{00000000-0004-0000-0000-0000DA000000}"/>
    <hyperlink ref="H222" r:id="rId220" xr:uid="{00000000-0004-0000-0000-0000DB000000}"/>
    <hyperlink ref="H223" r:id="rId221" xr:uid="{00000000-0004-0000-0000-0000DC000000}"/>
    <hyperlink ref="H224" r:id="rId222" xr:uid="{00000000-0004-0000-0000-0000DD000000}"/>
    <hyperlink ref="H225" r:id="rId223" xr:uid="{00000000-0004-0000-0000-0000DE000000}"/>
    <hyperlink ref="H226" r:id="rId224" xr:uid="{00000000-0004-0000-0000-0000DF000000}"/>
    <hyperlink ref="H227" r:id="rId225" xr:uid="{00000000-0004-0000-0000-0000E0000000}"/>
    <hyperlink ref="H228" r:id="rId226" xr:uid="{00000000-0004-0000-0000-0000E1000000}"/>
    <hyperlink ref="H229" r:id="rId227" xr:uid="{00000000-0004-0000-0000-0000E2000000}"/>
    <hyperlink ref="H230" r:id="rId228" xr:uid="{00000000-0004-0000-0000-0000E3000000}"/>
    <hyperlink ref="H231" r:id="rId229" xr:uid="{00000000-0004-0000-0000-0000E4000000}"/>
    <hyperlink ref="H232" r:id="rId230" xr:uid="{00000000-0004-0000-0000-0000E5000000}"/>
    <hyperlink ref="H233" r:id="rId231" xr:uid="{00000000-0004-0000-0000-0000E6000000}"/>
    <hyperlink ref="H234" r:id="rId232" xr:uid="{00000000-0004-0000-0000-0000E7000000}"/>
    <hyperlink ref="H235" r:id="rId233" xr:uid="{00000000-0004-0000-0000-0000E8000000}"/>
    <hyperlink ref="H236" r:id="rId234" xr:uid="{00000000-0004-0000-0000-0000E9000000}"/>
    <hyperlink ref="H237" r:id="rId235" xr:uid="{00000000-0004-0000-0000-0000EA000000}"/>
    <hyperlink ref="H238" r:id="rId236" xr:uid="{00000000-0004-0000-0000-0000EB000000}"/>
    <hyperlink ref="H239" r:id="rId237" xr:uid="{00000000-0004-0000-0000-0000EC000000}"/>
    <hyperlink ref="H240" r:id="rId238" xr:uid="{00000000-0004-0000-0000-0000ED000000}"/>
    <hyperlink ref="H241" r:id="rId239" xr:uid="{00000000-0004-0000-0000-0000EE000000}"/>
    <hyperlink ref="H242" r:id="rId240" xr:uid="{00000000-0004-0000-0000-0000EF000000}"/>
    <hyperlink ref="H243" r:id="rId241" xr:uid="{00000000-0004-0000-0000-0000F0000000}"/>
    <hyperlink ref="H244" r:id="rId242" xr:uid="{00000000-0004-0000-0000-0000F1000000}"/>
    <hyperlink ref="H245" r:id="rId243" xr:uid="{00000000-0004-0000-0000-0000F2000000}"/>
    <hyperlink ref="H246" r:id="rId244" xr:uid="{00000000-0004-0000-0000-0000F3000000}"/>
    <hyperlink ref="H247" r:id="rId245" xr:uid="{00000000-0004-0000-0000-0000F4000000}"/>
    <hyperlink ref="H248" r:id="rId246" xr:uid="{00000000-0004-0000-0000-0000F5000000}"/>
    <hyperlink ref="H249" r:id="rId247" xr:uid="{00000000-0004-0000-0000-0000F6000000}"/>
    <hyperlink ref="H250" r:id="rId248" xr:uid="{00000000-0004-0000-0000-0000F7000000}"/>
    <hyperlink ref="H251" r:id="rId249" xr:uid="{00000000-0004-0000-0000-0000F8000000}"/>
    <hyperlink ref="H252" r:id="rId250" xr:uid="{00000000-0004-0000-0000-0000F9000000}"/>
    <hyperlink ref="H253" r:id="rId251" xr:uid="{00000000-0004-0000-0000-0000FA000000}"/>
    <hyperlink ref="H254" r:id="rId252" xr:uid="{00000000-0004-0000-0000-0000FB000000}"/>
    <hyperlink ref="H255" r:id="rId253" xr:uid="{00000000-0004-0000-0000-0000FC000000}"/>
    <hyperlink ref="H256" r:id="rId254" xr:uid="{00000000-0004-0000-0000-0000FD000000}"/>
    <hyperlink ref="H257" r:id="rId255" xr:uid="{00000000-0004-0000-0000-0000FE000000}"/>
    <hyperlink ref="H258" r:id="rId256" xr:uid="{00000000-0004-0000-0000-0000FF000000}"/>
    <hyperlink ref="H259" r:id="rId257" xr:uid="{00000000-0004-0000-0000-000000010000}"/>
    <hyperlink ref="H260" r:id="rId258" xr:uid="{00000000-0004-0000-0000-000001010000}"/>
    <hyperlink ref="H261" r:id="rId259" xr:uid="{00000000-0004-0000-0000-000002010000}"/>
    <hyperlink ref="H262" r:id="rId260" xr:uid="{00000000-0004-0000-0000-000003010000}"/>
    <hyperlink ref="H263" r:id="rId261" xr:uid="{00000000-0004-0000-0000-000004010000}"/>
    <hyperlink ref="H264" r:id="rId262" xr:uid="{00000000-0004-0000-0000-000005010000}"/>
    <hyperlink ref="H265" r:id="rId263" xr:uid="{00000000-0004-0000-0000-000006010000}"/>
    <hyperlink ref="H266" r:id="rId264" xr:uid="{00000000-0004-0000-0000-000007010000}"/>
    <hyperlink ref="H267" r:id="rId265" xr:uid="{00000000-0004-0000-0000-000008010000}"/>
    <hyperlink ref="H268" r:id="rId266" xr:uid="{00000000-0004-0000-0000-000009010000}"/>
    <hyperlink ref="H269" r:id="rId267" xr:uid="{00000000-0004-0000-0000-00000A010000}"/>
    <hyperlink ref="H270" r:id="rId268" xr:uid="{00000000-0004-0000-0000-00000B010000}"/>
    <hyperlink ref="H271" r:id="rId269" xr:uid="{00000000-0004-0000-0000-00000C010000}"/>
    <hyperlink ref="H272" r:id="rId270" xr:uid="{00000000-0004-0000-0000-00000D010000}"/>
    <hyperlink ref="H273" r:id="rId271" xr:uid="{00000000-0004-0000-0000-00000E010000}"/>
    <hyperlink ref="H274" r:id="rId272" xr:uid="{00000000-0004-0000-0000-00000F010000}"/>
    <hyperlink ref="H275" r:id="rId273" xr:uid="{00000000-0004-0000-0000-000010010000}"/>
    <hyperlink ref="H276" r:id="rId274" xr:uid="{00000000-0004-0000-0000-000011010000}"/>
    <hyperlink ref="H277" r:id="rId275" xr:uid="{00000000-0004-0000-0000-000012010000}"/>
    <hyperlink ref="H278" r:id="rId276" xr:uid="{00000000-0004-0000-0000-000013010000}"/>
    <hyperlink ref="H279" r:id="rId277" xr:uid="{00000000-0004-0000-0000-000014010000}"/>
    <hyperlink ref="H280" r:id="rId278" xr:uid="{00000000-0004-0000-0000-000015010000}"/>
    <hyperlink ref="H281" r:id="rId279" xr:uid="{00000000-0004-0000-0000-000016010000}"/>
    <hyperlink ref="H282" r:id="rId280" xr:uid="{00000000-0004-0000-0000-000017010000}"/>
    <hyperlink ref="H283" r:id="rId281" xr:uid="{00000000-0004-0000-0000-000018010000}"/>
    <hyperlink ref="H284" r:id="rId282" xr:uid="{00000000-0004-0000-0000-000019010000}"/>
    <hyperlink ref="H285" r:id="rId283" xr:uid="{00000000-0004-0000-0000-00001A010000}"/>
    <hyperlink ref="H286" r:id="rId284" xr:uid="{00000000-0004-0000-0000-00001B010000}"/>
    <hyperlink ref="H287" r:id="rId285" xr:uid="{00000000-0004-0000-0000-00001C010000}"/>
    <hyperlink ref="H288" r:id="rId286" xr:uid="{00000000-0004-0000-0000-00001D010000}"/>
    <hyperlink ref="H289" r:id="rId287" xr:uid="{00000000-0004-0000-0000-00001E010000}"/>
    <hyperlink ref="H290" r:id="rId288" xr:uid="{00000000-0004-0000-0000-00001F010000}"/>
    <hyperlink ref="H291" r:id="rId289" xr:uid="{00000000-0004-0000-0000-000020010000}"/>
    <hyperlink ref="H292" r:id="rId290" xr:uid="{00000000-0004-0000-0000-000021010000}"/>
    <hyperlink ref="H293" r:id="rId291" xr:uid="{00000000-0004-0000-0000-000022010000}"/>
    <hyperlink ref="H294" r:id="rId292" xr:uid="{00000000-0004-0000-0000-000023010000}"/>
    <hyperlink ref="H295" r:id="rId293" xr:uid="{00000000-0004-0000-0000-000024010000}"/>
    <hyperlink ref="H296" r:id="rId294" xr:uid="{00000000-0004-0000-0000-000025010000}"/>
    <hyperlink ref="H297" r:id="rId295" xr:uid="{00000000-0004-0000-0000-000026010000}"/>
    <hyperlink ref="H298" r:id="rId296" xr:uid="{00000000-0004-0000-0000-000027010000}"/>
    <hyperlink ref="H299" r:id="rId297" xr:uid="{00000000-0004-0000-0000-000028010000}"/>
    <hyperlink ref="H300" r:id="rId298" xr:uid="{00000000-0004-0000-0000-000029010000}"/>
    <hyperlink ref="H301" r:id="rId299" xr:uid="{00000000-0004-0000-0000-00002A010000}"/>
    <hyperlink ref="H302" r:id="rId300" xr:uid="{00000000-0004-0000-0000-00002B010000}"/>
    <hyperlink ref="H303" r:id="rId301" xr:uid="{00000000-0004-0000-0000-00002C010000}"/>
    <hyperlink ref="H304" r:id="rId302" xr:uid="{00000000-0004-0000-0000-00002D010000}"/>
    <hyperlink ref="H305" r:id="rId303" xr:uid="{00000000-0004-0000-0000-00002E010000}"/>
    <hyperlink ref="H306" r:id="rId304" xr:uid="{00000000-0004-0000-0000-00002F010000}"/>
    <hyperlink ref="H307" r:id="rId305" xr:uid="{00000000-0004-0000-0000-000030010000}"/>
    <hyperlink ref="H308" r:id="rId306" xr:uid="{00000000-0004-0000-0000-000031010000}"/>
    <hyperlink ref="H309" r:id="rId307" xr:uid="{00000000-0004-0000-0000-000032010000}"/>
    <hyperlink ref="H310" r:id="rId308" xr:uid="{00000000-0004-0000-0000-000033010000}"/>
    <hyperlink ref="H311" r:id="rId309" xr:uid="{00000000-0004-0000-0000-000034010000}"/>
    <hyperlink ref="H312" r:id="rId310" xr:uid="{00000000-0004-0000-0000-000035010000}"/>
    <hyperlink ref="H313" r:id="rId311" xr:uid="{00000000-0004-0000-0000-000036010000}"/>
    <hyperlink ref="H314" r:id="rId312" xr:uid="{00000000-0004-0000-0000-000037010000}"/>
    <hyperlink ref="H315" r:id="rId313" xr:uid="{00000000-0004-0000-0000-000038010000}"/>
    <hyperlink ref="H316" r:id="rId314" xr:uid="{00000000-0004-0000-0000-000039010000}"/>
    <hyperlink ref="H317" r:id="rId315" xr:uid="{00000000-0004-0000-0000-00003A010000}"/>
    <hyperlink ref="H318" r:id="rId316" xr:uid="{00000000-0004-0000-0000-00003B010000}"/>
    <hyperlink ref="H319" r:id="rId317" xr:uid="{00000000-0004-0000-0000-00003C010000}"/>
    <hyperlink ref="H320" r:id="rId318" xr:uid="{00000000-0004-0000-0000-00003D010000}"/>
    <hyperlink ref="H321" r:id="rId319" xr:uid="{00000000-0004-0000-0000-00003E010000}"/>
    <hyperlink ref="H322" r:id="rId320" xr:uid="{00000000-0004-0000-0000-00003F010000}"/>
    <hyperlink ref="H323" r:id="rId321" xr:uid="{00000000-0004-0000-0000-000040010000}"/>
    <hyperlink ref="H324" r:id="rId322" xr:uid="{00000000-0004-0000-0000-000041010000}"/>
    <hyperlink ref="H325" r:id="rId323" xr:uid="{00000000-0004-0000-0000-000042010000}"/>
    <hyperlink ref="H326" r:id="rId324" xr:uid="{00000000-0004-0000-0000-000043010000}"/>
    <hyperlink ref="H327" r:id="rId325" xr:uid="{00000000-0004-0000-0000-000044010000}"/>
    <hyperlink ref="H328" r:id="rId326" xr:uid="{00000000-0004-0000-0000-000045010000}"/>
    <hyperlink ref="H329" r:id="rId327" xr:uid="{00000000-0004-0000-0000-000046010000}"/>
    <hyperlink ref="H330" r:id="rId328" xr:uid="{00000000-0004-0000-0000-000047010000}"/>
    <hyperlink ref="H331" r:id="rId329" xr:uid="{00000000-0004-0000-0000-000048010000}"/>
    <hyperlink ref="H332" r:id="rId330" xr:uid="{00000000-0004-0000-0000-000049010000}"/>
    <hyperlink ref="H333" r:id="rId331" xr:uid="{00000000-0004-0000-0000-00004A010000}"/>
    <hyperlink ref="H334" r:id="rId332" xr:uid="{00000000-0004-0000-0000-00004B010000}"/>
    <hyperlink ref="H335" r:id="rId333" xr:uid="{00000000-0004-0000-0000-00004C010000}"/>
    <hyperlink ref="H336" r:id="rId334" xr:uid="{00000000-0004-0000-0000-00004D010000}"/>
    <hyperlink ref="H337" r:id="rId335" xr:uid="{00000000-0004-0000-0000-00004E010000}"/>
    <hyperlink ref="H338" r:id="rId336" xr:uid="{00000000-0004-0000-0000-00004F010000}"/>
    <hyperlink ref="H339" r:id="rId337" xr:uid="{00000000-0004-0000-0000-000050010000}"/>
    <hyperlink ref="H340" r:id="rId338" xr:uid="{00000000-0004-0000-0000-000051010000}"/>
    <hyperlink ref="H341" r:id="rId339" xr:uid="{00000000-0004-0000-0000-000052010000}"/>
    <hyperlink ref="H342" r:id="rId340" xr:uid="{00000000-0004-0000-0000-000053010000}"/>
    <hyperlink ref="H343" r:id="rId341" xr:uid="{00000000-0004-0000-0000-000054010000}"/>
    <hyperlink ref="H344" r:id="rId342" xr:uid="{00000000-0004-0000-0000-000055010000}"/>
    <hyperlink ref="H345" r:id="rId343" xr:uid="{00000000-0004-0000-0000-000056010000}"/>
    <hyperlink ref="H346" r:id="rId344" xr:uid="{00000000-0004-0000-0000-000057010000}"/>
    <hyperlink ref="H347" r:id="rId345" xr:uid="{00000000-0004-0000-0000-000058010000}"/>
    <hyperlink ref="H348" r:id="rId346" xr:uid="{00000000-0004-0000-0000-000059010000}"/>
    <hyperlink ref="H349" r:id="rId347" xr:uid="{00000000-0004-0000-0000-00005A010000}"/>
    <hyperlink ref="H350" r:id="rId348" xr:uid="{00000000-0004-0000-0000-00005B010000}"/>
    <hyperlink ref="H351" r:id="rId349" xr:uid="{00000000-0004-0000-0000-00005C010000}"/>
    <hyperlink ref="H352" r:id="rId350" xr:uid="{00000000-0004-0000-0000-00005D010000}"/>
    <hyperlink ref="H353" r:id="rId351" xr:uid="{00000000-0004-0000-0000-00005E010000}"/>
    <hyperlink ref="H354" r:id="rId352" xr:uid="{00000000-0004-0000-0000-00005F010000}"/>
    <hyperlink ref="H355" r:id="rId353" xr:uid="{00000000-0004-0000-0000-000060010000}"/>
    <hyperlink ref="H356" r:id="rId354" xr:uid="{00000000-0004-0000-0000-000061010000}"/>
    <hyperlink ref="H357" r:id="rId355" xr:uid="{00000000-0004-0000-0000-000062010000}"/>
    <hyperlink ref="H358" r:id="rId356" xr:uid="{00000000-0004-0000-0000-000063010000}"/>
    <hyperlink ref="H359" r:id="rId357" xr:uid="{00000000-0004-0000-0000-000064010000}"/>
    <hyperlink ref="H360" r:id="rId358" xr:uid="{00000000-0004-0000-0000-000065010000}"/>
    <hyperlink ref="H361" r:id="rId359" xr:uid="{00000000-0004-0000-0000-000066010000}"/>
    <hyperlink ref="H362" r:id="rId360" xr:uid="{00000000-0004-0000-0000-000067010000}"/>
    <hyperlink ref="H363" r:id="rId361" xr:uid="{00000000-0004-0000-0000-000068010000}"/>
    <hyperlink ref="H364" r:id="rId362" xr:uid="{00000000-0004-0000-0000-000069010000}"/>
    <hyperlink ref="H365" r:id="rId363" xr:uid="{00000000-0004-0000-0000-00006A010000}"/>
    <hyperlink ref="H366" r:id="rId364" xr:uid="{00000000-0004-0000-0000-00006B010000}"/>
    <hyperlink ref="H367" r:id="rId365" xr:uid="{00000000-0004-0000-0000-00006C010000}"/>
    <hyperlink ref="H368" r:id="rId366" xr:uid="{00000000-0004-0000-0000-00006D010000}"/>
    <hyperlink ref="H369" r:id="rId367" xr:uid="{00000000-0004-0000-0000-00006E010000}"/>
    <hyperlink ref="H370" r:id="rId368" xr:uid="{00000000-0004-0000-0000-00006F010000}"/>
    <hyperlink ref="H371" r:id="rId369" xr:uid="{00000000-0004-0000-0000-000070010000}"/>
    <hyperlink ref="H372" r:id="rId370" xr:uid="{00000000-0004-0000-0000-000071010000}"/>
    <hyperlink ref="H373" r:id="rId371" xr:uid="{00000000-0004-0000-0000-000072010000}"/>
    <hyperlink ref="H374" r:id="rId372" xr:uid="{00000000-0004-0000-0000-000073010000}"/>
    <hyperlink ref="H375" r:id="rId373" xr:uid="{00000000-0004-0000-0000-000074010000}"/>
    <hyperlink ref="H376" r:id="rId374" xr:uid="{00000000-0004-0000-0000-000075010000}"/>
    <hyperlink ref="H377" r:id="rId375" xr:uid="{00000000-0004-0000-0000-000076010000}"/>
    <hyperlink ref="H378" r:id="rId376" xr:uid="{00000000-0004-0000-0000-000077010000}"/>
    <hyperlink ref="H379" r:id="rId377" xr:uid="{00000000-0004-0000-0000-000078010000}"/>
    <hyperlink ref="H380" r:id="rId378" xr:uid="{00000000-0004-0000-0000-000079010000}"/>
    <hyperlink ref="H381" r:id="rId379" xr:uid="{00000000-0004-0000-0000-00007A010000}"/>
    <hyperlink ref="H382" r:id="rId380" xr:uid="{00000000-0004-0000-0000-00007B010000}"/>
    <hyperlink ref="H383" r:id="rId381" xr:uid="{00000000-0004-0000-0000-00007C010000}"/>
    <hyperlink ref="H384" r:id="rId382" xr:uid="{00000000-0004-0000-0000-00007D010000}"/>
    <hyperlink ref="H385" r:id="rId383" xr:uid="{00000000-0004-0000-0000-00007E010000}"/>
    <hyperlink ref="H386" r:id="rId384" xr:uid="{00000000-0004-0000-0000-00007F010000}"/>
    <hyperlink ref="H387" r:id="rId385" xr:uid="{00000000-0004-0000-0000-000080010000}"/>
    <hyperlink ref="H388" r:id="rId386" xr:uid="{00000000-0004-0000-0000-000081010000}"/>
    <hyperlink ref="H389" r:id="rId387" xr:uid="{00000000-0004-0000-0000-000082010000}"/>
    <hyperlink ref="H390" r:id="rId388" xr:uid="{00000000-0004-0000-0000-000083010000}"/>
    <hyperlink ref="H391" r:id="rId389" xr:uid="{00000000-0004-0000-0000-000084010000}"/>
    <hyperlink ref="H392" r:id="rId390" xr:uid="{00000000-0004-0000-0000-000085010000}"/>
    <hyperlink ref="H393" r:id="rId391" xr:uid="{00000000-0004-0000-0000-000086010000}"/>
    <hyperlink ref="H394" r:id="rId392" xr:uid="{00000000-0004-0000-0000-000087010000}"/>
    <hyperlink ref="H395" r:id="rId393" xr:uid="{00000000-0004-0000-0000-000088010000}"/>
    <hyperlink ref="H396" r:id="rId394" xr:uid="{00000000-0004-0000-0000-000089010000}"/>
    <hyperlink ref="H397" r:id="rId395" xr:uid="{00000000-0004-0000-0000-00008A010000}"/>
    <hyperlink ref="H398" r:id="rId396" xr:uid="{00000000-0004-0000-0000-00008B010000}"/>
    <hyperlink ref="H399" r:id="rId397" xr:uid="{00000000-0004-0000-0000-00008C010000}"/>
    <hyperlink ref="H400" r:id="rId398" xr:uid="{00000000-0004-0000-0000-00008D010000}"/>
    <hyperlink ref="H401" r:id="rId399" xr:uid="{00000000-0004-0000-0000-00008E010000}"/>
    <hyperlink ref="H402" r:id="rId400" xr:uid="{00000000-0004-0000-0000-00008F010000}"/>
    <hyperlink ref="H403" r:id="rId401" xr:uid="{00000000-0004-0000-0000-000090010000}"/>
    <hyperlink ref="H404" r:id="rId402" xr:uid="{00000000-0004-0000-0000-000091010000}"/>
    <hyperlink ref="H405" r:id="rId403" xr:uid="{00000000-0004-0000-0000-000092010000}"/>
    <hyperlink ref="H406" r:id="rId404" xr:uid="{00000000-0004-0000-0000-000093010000}"/>
    <hyperlink ref="H407" r:id="rId405" xr:uid="{00000000-0004-0000-0000-000094010000}"/>
    <hyperlink ref="H408" r:id="rId406" xr:uid="{00000000-0004-0000-0000-000095010000}"/>
    <hyperlink ref="H409" r:id="rId407" xr:uid="{00000000-0004-0000-0000-000096010000}"/>
    <hyperlink ref="H410" r:id="rId408" xr:uid="{00000000-0004-0000-0000-000097010000}"/>
    <hyperlink ref="H411" r:id="rId409" xr:uid="{00000000-0004-0000-0000-000098010000}"/>
    <hyperlink ref="H412" r:id="rId410" xr:uid="{00000000-0004-0000-0000-000099010000}"/>
  </hyperlinks>
  <pageMargins left="0.7" right="0.7" top="0.75" bottom="0.75" header="0.3" footer="0.3"/>
  <drawing r:id="rId411"/>
  <tableParts count="1">
    <tablePart r:id="rId412"/>
  </tableParts>
  <extLst>
    <ext xmlns:x15="http://schemas.microsoft.com/office/spreadsheetml/2010/11/main" uri="{3A4CF648-6AED-40f4-86FF-DC5316D8AED3}">
      <x14:slicerList xmlns:x14="http://schemas.microsoft.com/office/spreadsheetml/2009/9/main">
        <x14:slicer r:id="rId4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DE26-3946-4271-B50C-0B2A6FFF96C6}">
  <dimension ref="A3:F46"/>
  <sheetViews>
    <sheetView workbookViewId="0">
      <pane ySplit="4" topLeftCell="A5" activePane="bottomLeft" state="frozen"/>
      <selection pane="bottomLeft" activeCell="A4" sqref="A4"/>
    </sheetView>
  </sheetViews>
  <sheetFormatPr baseColWidth="10" defaultRowHeight="16.8" x14ac:dyDescent="0.4"/>
  <cols>
    <col min="1" max="1" width="30" bestFit="1" customWidth="1"/>
    <col min="2" max="2" width="23.296875" bestFit="1" customWidth="1"/>
    <col min="3" max="3" width="15.09765625" bestFit="1" customWidth="1"/>
    <col min="4" max="4" width="16.296875" bestFit="1" customWidth="1"/>
    <col min="5" max="5" width="19.59765625" bestFit="1" customWidth="1"/>
    <col min="6" max="6" width="12.19921875" bestFit="1" customWidth="1"/>
    <col min="7" max="7" width="12.296875" bestFit="1" customWidth="1"/>
  </cols>
  <sheetData>
    <row r="3" spans="1:6" x14ac:dyDescent="0.4">
      <c r="A3" s="1" t="s">
        <v>339</v>
      </c>
      <c r="B3" s="1" t="s">
        <v>337</v>
      </c>
      <c r="C3" s="2"/>
      <c r="D3" s="2"/>
      <c r="E3" s="2"/>
      <c r="F3" s="2"/>
    </row>
    <row r="4" spans="1:6" x14ac:dyDescent="0.4">
      <c r="A4" s="1" t="s">
        <v>335</v>
      </c>
      <c r="B4" s="2" t="s">
        <v>276</v>
      </c>
      <c r="C4" s="2" t="s">
        <v>258</v>
      </c>
      <c r="D4" s="2" t="s">
        <v>28</v>
      </c>
      <c r="E4" s="2" t="s">
        <v>220</v>
      </c>
      <c r="F4" s="2" t="s">
        <v>336</v>
      </c>
    </row>
    <row r="5" spans="1:6" x14ac:dyDescent="0.4">
      <c r="A5" s="2" t="s">
        <v>210</v>
      </c>
      <c r="B5" s="3">
        <v>47</v>
      </c>
      <c r="C5" s="3">
        <v>45</v>
      </c>
      <c r="D5" s="3">
        <v>60</v>
      </c>
      <c r="E5" s="3">
        <v>0</v>
      </c>
      <c r="F5" s="3">
        <v>33.166666666666664</v>
      </c>
    </row>
    <row r="6" spans="1:6" x14ac:dyDescent="0.4">
      <c r="A6" s="2" t="s">
        <v>89</v>
      </c>
      <c r="B6" s="3">
        <v>17.5</v>
      </c>
      <c r="C6" s="3">
        <v>0</v>
      </c>
      <c r="D6" s="3">
        <v>50</v>
      </c>
      <c r="E6" s="3">
        <v>3</v>
      </c>
      <c r="F6" s="3">
        <v>15.166666666666666</v>
      </c>
    </row>
    <row r="7" spans="1:6" x14ac:dyDescent="0.4">
      <c r="A7" s="2" t="s">
        <v>94</v>
      </c>
      <c r="B7" s="3">
        <v>25</v>
      </c>
      <c r="C7" s="3">
        <v>0</v>
      </c>
      <c r="D7" s="3">
        <v>45</v>
      </c>
      <c r="E7" s="3">
        <v>5</v>
      </c>
      <c r="F7" s="3">
        <v>17.5</v>
      </c>
    </row>
    <row r="8" spans="1:6" x14ac:dyDescent="0.4">
      <c r="A8" s="2" t="s">
        <v>99</v>
      </c>
      <c r="B8" s="3">
        <v>48.5</v>
      </c>
      <c r="C8" s="3">
        <v>50</v>
      </c>
      <c r="D8" s="3">
        <v>60</v>
      </c>
      <c r="E8" s="3">
        <v>5</v>
      </c>
      <c r="F8" s="3">
        <v>36.166666666666664</v>
      </c>
    </row>
    <row r="9" spans="1:6" x14ac:dyDescent="0.4">
      <c r="A9" s="2" t="s">
        <v>147</v>
      </c>
      <c r="B9" s="3">
        <v>46</v>
      </c>
      <c r="C9" s="3">
        <v>41</v>
      </c>
      <c r="D9" s="3">
        <v>55</v>
      </c>
      <c r="E9" s="3">
        <v>4.5</v>
      </c>
      <c r="F9" s="3">
        <v>32.833333333333336</v>
      </c>
    </row>
    <row r="10" spans="1:6" x14ac:dyDescent="0.4">
      <c r="A10" s="2" t="s">
        <v>46</v>
      </c>
      <c r="B10" s="3">
        <v>42.5</v>
      </c>
      <c r="C10" s="3">
        <v>30</v>
      </c>
      <c r="D10" s="3">
        <v>50</v>
      </c>
      <c r="E10" s="3">
        <v>4.5999999999999996</v>
      </c>
      <c r="F10" s="3">
        <v>29.033333333333331</v>
      </c>
    </row>
    <row r="11" spans="1:6" x14ac:dyDescent="0.4">
      <c r="A11" s="2" t="s">
        <v>183</v>
      </c>
      <c r="B11" s="3">
        <v>0</v>
      </c>
      <c r="C11" s="3">
        <v>0</v>
      </c>
      <c r="D11" s="3">
        <v>0</v>
      </c>
      <c r="E11" s="3">
        <v>0</v>
      </c>
      <c r="F11" s="3">
        <v>0</v>
      </c>
    </row>
    <row r="12" spans="1:6" x14ac:dyDescent="0.4">
      <c r="A12" s="2" t="s">
        <v>192</v>
      </c>
      <c r="B12" s="3">
        <v>47.5</v>
      </c>
      <c r="C12" s="3">
        <v>40</v>
      </c>
      <c r="D12" s="3">
        <v>60</v>
      </c>
      <c r="E12" s="3">
        <v>5</v>
      </c>
      <c r="F12" s="3">
        <v>34.166666666666664</v>
      </c>
    </row>
    <row r="13" spans="1:6" x14ac:dyDescent="0.4">
      <c r="A13" s="2" t="s">
        <v>112</v>
      </c>
      <c r="B13" s="3">
        <v>0</v>
      </c>
      <c r="C13" s="3">
        <v>38</v>
      </c>
      <c r="D13" s="3">
        <v>55</v>
      </c>
      <c r="E13" s="3">
        <v>1</v>
      </c>
      <c r="F13" s="3">
        <v>15.833333333333334</v>
      </c>
    </row>
    <row r="14" spans="1:6" x14ac:dyDescent="0.4">
      <c r="A14" s="2" t="s">
        <v>156</v>
      </c>
      <c r="B14" s="3">
        <v>0</v>
      </c>
      <c r="C14" s="3">
        <v>0</v>
      </c>
      <c r="D14" s="3">
        <v>0</v>
      </c>
      <c r="E14" s="3">
        <v>0</v>
      </c>
      <c r="F14" s="3">
        <v>0</v>
      </c>
    </row>
    <row r="15" spans="1:6" x14ac:dyDescent="0.4">
      <c r="A15" s="2" t="s">
        <v>215</v>
      </c>
      <c r="B15" s="3">
        <v>43</v>
      </c>
      <c r="C15" s="3">
        <v>55</v>
      </c>
      <c r="D15" s="3">
        <v>48</v>
      </c>
      <c r="E15" s="3">
        <v>5</v>
      </c>
      <c r="F15" s="3">
        <v>33.166666666666664</v>
      </c>
    </row>
    <row r="16" spans="1:6" x14ac:dyDescent="0.4">
      <c r="A16" s="2" t="s">
        <v>197</v>
      </c>
      <c r="B16" s="3">
        <v>44</v>
      </c>
      <c r="C16" s="3">
        <v>0</v>
      </c>
      <c r="D16" s="3">
        <v>45</v>
      </c>
      <c r="E16" s="3">
        <v>4.5</v>
      </c>
      <c r="F16" s="3">
        <v>23.666666666666668</v>
      </c>
    </row>
    <row r="17" spans="1:6" x14ac:dyDescent="0.4">
      <c r="A17" s="2" t="s">
        <v>60</v>
      </c>
      <c r="B17" s="3">
        <v>17.5</v>
      </c>
      <c r="C17" s="3">
        <v>10</v>
      </c>
      <c r="D17" s="3">
        <v>50</v>
      </c>
      <c r="E17" s="3">
        <v>4.25</v>
      </c>
      <c r="F17" s="3">
        <v>17.25</v>
      </c>
    </row>
    <row r="18" spans="1:6" x14ac:dyDescent="0.4">
      <c r="A18" s="2" t="s">
        <v>75</v>
      </c>
      <c r="B18" s="3">
        <v>18</v>
      </c>
      <c r="C18" s="3">
        <v>55</v>
      </c>
      <c r="D18" s="3">
        <v>50</v>
      </c>
      <c r="E18" s="3">
        <v>4.75</v>
      </c>
      <c r="F18" s="3">
        <v>25.083333333333332</v>
      </c>
    </row>
    <row r="19" spans="1:6" x14ac:dyDescent="0.4">
      <c r="A19" s="2" t="s">
        <v>163</v>
      </c>
      <c r="B19" s="3">
        <v>22.5</v>
      </c>
      <c r="C19" s="3">
        <v>30</v>
      </c>
      <c r="D19" s="3">
        <v>50</v>
      </c>
      <c r="E19" s="3">
        <v>4.5999999999999996</v>
      </c>
      <c r="F19" s="3">
        <v>22.366666666666664</v>
      </c>
    </row>
    <row r="20" spans="1:6" x14ac:dyDescent="0.4">
      <c r="A20" s="2" t="s">
        <v>127</v>
      </c>
      <c r="B20" s="3">
        <v>37</v>
      </c>
      <c r="C20" s="3">
        <v>55</v>
      </c>
      <c r="D20" s="3">
        <v>50</v>
      </c>
      <c r="E20" s="3">
        <v>2.25</v>
      </c>
      <c r="F20" s="3">
        <v>30.583333333333332</v>
      </c>
    </row>
    <row r="21" spans="1:6" x14ac:dyDescent="0.4">
      <c r="A21" s="2" t="s">
        <v>187</v>
      </c>
      <c r="B21" s="3">
        <v>33</v>
      </c>
      <c r="C21" s="3">
        <v>40</v>
      </c>
      <c r="D21" s="3">
        <v>60</v>
      </c>
      <c r="E21" s="3">
        <v>5</v>
      </c>
      <c r="F21" s="3">
        <v>29.333333333333332</v>
      </c>
    </row>
    <row r="22" spans="1:6" x14ac:dyDescent="0.4">
      <c r="A22" s="2" t="s">
        <v>201</v>
      </c>
      <c r="B22" s="3">
        <v>24</v>
      </c>
      <c r="C22" s="3">
        <v>0</v>
      </c>
      <c r="D22" s="3">
        <v>55</v>
      </c>
      <c r="E22" s="3">
        <v>0</v>
      </c>
      <c r="F22" s="3">
        <v>17.166666666666668</v>
      </c>
    </row>
    <row r="23" spans="1:6" x14ac:dyDescent="0.4">
      <c r="A23" s="2" t="s">
        <v>142</v>
      </c>
      <c r="B23" s="3">
        <v>47</v>
      </c>
      <c r="C23" s="3">
        <v>55</v>
      </c>
      <c r="D23" s="3">
        <v>60</v>
      </c>
      <c r="E23" s="3">
        <v>5</v>
      </c>
      <c r="F23" s="3">
        <v>36.5</v>
      </c>
    </row>
    <row r="24" spans="1:6" x14ac:dyDescent="0.4">
      <c r="A24" s="2" t="s">
        <v>132</v>
      </c>
      <c r="B24" s="3">
        <v>43</v>
      </c>
      <c r="C24" s="3">
        <v>55</v>
      </c>
      <c r="D24" s="3">
        <v>50</v>
      </c>
      <c r="E24" s="3">
        <v>2.25</v>
      </c>
      <c r="F24" s="3">
        <v>32.583333333333336</v>
      </c>
    </row>
    <row r="25" spans="1:6" x14ac:dyDescent="0.4">
      <c r="A25" s="2" t="s">
        <v>137</v>
      </c>
      <c r="B25" s="3">
        <v>50</v>
      </c>
      <c r="C25" s="3">
        <v>55</v>
      </c>
      <c r="D25" s="3">
        <v>65</v>
      </c>
      <c r="E25" s="3">
        <v>5</v>
      </c>
      <c r="F25" s="3">
        <v>38.333333333333336</v>
      </c>
    </row>
    <row r="26" spans="1:6" x14ac:dyDescent="0.4">
      <c r="A26" s="2" t="s">
        <v>80</v>
      </c>
      <c r="B26" s="3">
        <v>46</v>
      </c>
      <c r="C26" s="3">
        <v>40</v>
      </c>
      <c r="D26" s="3">
        <v>60</v>
      </c>
      <c r="E26" s="3">
        <v>5</v>
      </c>
      <c r="F26" s="3">
        <v>33.666666666666664</v>
      </c>
    </row>
    <row r="27" spans="1:6" x14ac:dyDescent="0.4">
      <c r="A27" s="2" t="s">
        <v>160</v>
      </c>
      <c r="B27" s="3">
        <v>50</v>
      </c>
      <c r="C27" s="3">
        <v>0</v>
      </c>
      <c r="D27" s="3">
        <v>45</v>
      </c>
      <c r="E27" s="3">
        <v>4.5</v>
      </c>
      <c r="F27" s="3">
        <v>25.666666666666668</v>
      </c>
    </row>
    <row r="28" spans="1:6" x14ac:dyDescent="0.4">
      <c r="A28" s="2" t="s">
        <v>104</v>
      </c>
      <c r="B28" s="3">
        <v>20</v>
      </c>
      <c r="C28" s="3">
        <v>55</v>
      </c>
      <c r="D28" s="3">
        <v>50</v>
      </c>
      <c r="E28" s="3">
        <v>5</v>
      </c>
      <c r="F28" s="3">
        <v>25.833333333333332</v>
      </c>
    </row>
    <row r="29" spans="1:6" x14ac:dyDescent="0.4">
      <c r="A29" s="2" t="s">
        <v>85</v>
      </c>
      <c r="B29" s="3">
        <v>50</v>
      </c>
      <c r="C29" s="3">
        <v>55</v>
      </c>
      <c r="D29" s="3">
        <v>50</v>
      </c>
      <c r="E29" s="3">
        <v>2.5</v>
      </c>
      <c r="F29" s="3">
        <v>35</v>
      </c>
    </row>
    <row r="30" spans="1:6" x14ac:dyDescent="0.4">
      <c r="A30" s="2" t="s">
        <v>51</v>
      </c>
      <c r="B30" s="3">
        <v>45</v>
      </c>
      <c r="C30" s="3">
        <v>0</v>
      </c>
      <c r="D30" s="3">
        <v>50</v>
      </c>
      <c r="E30" s="3">
        <v>0</v>
      </c>
      <c r="F30" s="3">
        <v>23.333333333333332</v>
      </c>
    </row>
    <row r="31" spans="1:6" x14ac:dyDescent="0.4">
      <c r="A31" s="2" t="s">
        <v>56</v>
      </c>
      <c r="B31" s="3">
        <v>50</v>
      </c>
      <c r="C31" s="3">
        <v>50</v>
      </c>
      <c r="D31" s="3">
        <v>60</v>
      </c>
      <c r="E31" s="3">
        <v>5</v>
      </c>
      <c r="F31" s="3">
        <v>36.666666666666664</v>
      </c>
    </row>
    <row r="32" spans="1:6" x14ac:dyDescent="0.4">
      <c r="A32" s="2" t="s">
        <v>205</v>
      </c>
      <c r="B32" s="3">
        <v>28</v>
      </c>
      <c r="C32" s="3">
        <v>40</v>
      </c>
      <c r="D32" s="3">
        <v>60</v>
      </c>
      <c r="E32" s="3">
        <v>5</v>
      </c>
      <c r="F32" s="3">
        <v>27.666666666666668</v>
      </c>
    </row>
    <row r="33" spans="1:6" x14ac:dyDescent="0.4">
      <c r="A33" s="2" t="s">
        <v>117</v>
      </c>
      <c r="B33" s="3">
        <v>43</v>
      </c>
      <c r="C33" s="3">
        <v>55</v>
      </c>
      <c r="D33" s="3">
        <v>48</v>
      </c>
      <c r="E33" s="3">
        <v>5</v>
      </c>
      <c r="F33" s="3">
        <v>33.166666666666664</v>
      </c>
    </row>
    <row r="34" spans="1:6" x14ac:dyDescent="0.4">
      <c r="A34" s="2" t="s">
        <v>122</v>
      </c>
      <c r="B34" s="3">
        <v>50</v>
      </c>
      <c r="C34" s="3">
        <v>50</v>
      </c>
      <c r="D34" s="3">
        <v>60</v>
      </c>
      <c r="E34" s="3">
        <v>5</v>
      </c>
      <c r="F34" s="3">
        <v>36.666666666666664</v>
      </c>
    </row>
    <row r="35" spans="1:6" x14ac:dyDescent="0.4">
      <c r="A35" s="2" t="s">
        <v>41</v>
      </c>
      <c r="B35" s="3">
        <v>47.5</v>
      </c>
      <c r="C35" s="3">
        <v>30</v>
      </c>
      <c r="D35" s="3">
        <v>50</v>
      </c>
      <c r="E35" s="3">
        <v>4.5999999999999996</v>
      </c>
      <c r="F35" s="3">
        <v>30.7</v>
      </c>
    </row>
    <row r="36" spans="1:6" x14ac:dyDescent="0.4">
      <c r="A36" s="2" t="s">
        <v>24</v>
      </c>
      <c r="B36" s="3">
        <v>50</v>
      </c>
      <c r="C36" s="3">
        <v>50</v>
      </c>
      <c r="D36" s="3">
        <v>50</v>
      </c>
      <c r="E36" s="3">
        <v>5</v>
      </c>
      <c r="F36" s="3">
        <v>35</v>
      </c>
    </row>
    <row r="37" spans="1:6" x14ac:dyDescent="0.4">
      <c r="A37" s="2" t="s">
        <v>178</v>
      </c>
      <c r="B37" s="3">
        <v>47.5</v>
      </c>
      <c r="C37" s="3">
        <v>41</v>
      </c>
      <c r="D37" s="3">
        <v>55</v>
      </c>
      <c r="E37" s="3">
        <v>5</v>
      </c>
      <c r="F37" s="3">
        <v>33.5</v>
      </c>
    </row>
    <row r="38" spans="1:6" x14ac:dyDescent="0.4">
      <c r="A38" s="2" t="s">
        <v>65</v>
      </c>
      <c r="B38" s="3">
        <v>45.5</v>
      </c>
      <c r="C38" s="3">
        <v>50</v>
      </c>
      <c r="D38" s="3">
        <v>43</v>
      </c>
      <c r="E38" s="3">
        <v>5</v>
      </c>
      <c r="F38" s="3">
        <v>32.333333333333336</v>
      </c>
    </row>
    <row r="39" spans="1:6" x14ac:dyDescent="0.4">
      <c r="A39" s="2" t="s">
        <v>152</v>
      </c>
      <c r="B39" s="3">
        <v>0</v>
      </c>
      <c r="C39" s="3">
        <v>38</v>
      </c>
      <c r="D39" s="3">
        <v>55</v>
      </c>
      <c r="E39" s="3">
        <v>0</v>
      </c>
      <c r="F39" s="3">
        <v>15.5</v>
      </c>
    </row>
    <row r="40" spans="1:6" x14ac:dyDescent="0.4">
      <c r="A40" s="2" t="s">
        <v>168</v>
      </c>
      <c r="B40" s="3">
        <v>49</v>
      </c>
      <c r="C40" s="3">
        <v>50</v>
      </c>
      <c r="D40" s="3">
        <v>43</v>
      </c>
      <c r="E40" s="3">
        <v>5</v>
      </c>
      <c r="F40" s="3">
        <v>33.5</v>
      </c>
    </row>
    <row r="41" spans="1:6" x14ac:dyDescent="0.4">
      <c r="A41" s="2" t="s">
        <v>70</v>
      </c>
      <c r="B41" s="3">
        <v>49</v>
      </c>
      <c r="C41" s="3">
        <v>50</v>
      </c>
      <c r="D41" s="3">
        <v>43</v>
      </c>
      <c r="E41" s="3">
        <v>5</v>
      </c>
      <c r="F41" s="3">
        <v>33.5</v>
      </c>
    </row>
    <row r="42" spans="1:6" x14ac:dyDescent="0.4">
      <c r="A42" s="2" t="s">
        <v>107</v>
      </c>
      <c r="B42" s="3">
        <v>40</v>
      </c>
      <c r="C42" s="3">
        <v>55</v>
      </c>
      <c r="D42" s="3">
        <v>48</v>
      </c>
      <c r="E42" s="3">
        <v>5</v>
      </c>
      <c r="F42" s="3">
        <v>32.166666666666664</v>
      </c>
    </row>
    <row r="43" spans="1:6" x14ac:dyDescent="0.4">
      <c r="A43" s="2" t="s">
        <v>31</v>
      </c>
      <c r="B43" s="3">
        <v>37.5</v>
      </c>
      <c r="C43" s="3">
        <v>35</v>
      </c>
      <c r="D43" s="3">
        <v>50</v>
      </c>
      <c r="E43" s="3">
        <v>1</v>
      </c>
      <c r="F43" s="3">
        <v>27</v>
      </c>
    </row>
    <row r="44" spans="1:6" x14ac:dyDescent="0.4">
      <c r="A44" s="2" t="s">
        <v>173</v>
      </c>
      <c r="B44" s="3">
        <v>50</v>
      </c>
      <c r="C44" s="3">
        <v>50</v>
      </c>
      <c r="D44" s="3">
        <v>50</v>
      </c>
      <c r="E44" s="3">
        <v>5</v>
      </c>
      <c r="F44" s="3">
        <v>35</v>
      </c>
    </row>
    <row r="45" spans="1:6" x14ac:dyDescent="0.4">
      <c r="A45" s="2" t="s">
        <v>36</v>
      </c>
      <c r="B45" s="3">
        <v>23</v>
      </c>
      <c r="C45" s="3">
        <v>40</v>
      </c>
      <c r="D45" s="3">
        <v>60</v>
      </c>
      <c r="E45" s="3">
        <v>4</v>
      </c>
      <c r="F45" s="3">
        <v>25.666666666666668</v>
      </c>
    </row>
    <row r="46" spans="1:6" x14ac:dyDescent="0.4">
      <c r="A46" s="2" t="s">
        <v>336</v>
      </c>
      <c r="B46" s="3">
        <v>35.951219512195124</v>
      </c>
      <c r="C46" s="3">
        <v>36.292682926829265</v>
      </c>
      <c r="D46" s="3">
        <v>49.951219512195124</v>
      </c>
      <c r="E46" s="3">
        <v>3.7146341463414636</v>
      </c>
      <c r="F46" s="3">
        <v>27.595934959349592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B8E9-4333-40BE-BCEB-B76BC6294A7F}">
  <dimension ref="A3:L47"/>
  <sheetViews>
    <sheetView topLeftCell="J1" workbookViewId="0">
      <pane ySplit="5" topLeftCell="A12" activePane="bottomLeft" state="frozen"/>
      <selection pane="bottomLeft" activeCell="J1" sqref="A1:XFD1048576"/>
    </sheetView>
  </sheetViews>
  <sheetFormatPr baseColWidth="10" defaultRowHeight="16.8" x14ac:dyDescent="0.4"/>
  <cols>
    <col min="1" max="1" width="30" bestFit="1" customWidth="1"/>
    <col min="2" max="2" width="25.69921875" bestFit="1" customWidth="1"/>
    <col min="3" max="3" width="54.59765625" bestFit="1" customWidth="1"/>
    <col min="4" max="4" width="19.296875" bestFit="1" customWidth="1"/>
    <col min="5" max="5" width="27.296875" bestFit="1" customWidth="1"/>
    <col min="6" max="6" width="20.09765625" bestFit="1" customWidth="1"/>
    <col min="7" max="7" width="25.19921875" bestFit="1" customWidth="1"/>
    <col min="8" max="8" width="21.296875" bestFit="1" customWidth="1"/>
    <col min="9" max="9" width="62.09765625" bestFit="1" customWidth="1"/>
    <col min="10" max="10" width="54.69921875" bestFit="1" customWidth="1"/>
    <col min="11" max="11" width="24.59765625" bestFit="1" customWidth="1"/>
    <col min="12" max="12" width="12.19921875" bestFit="1" customWidth="1"/>
    <col min="13" max="13" width="32.19921875" bestFit="1" customWidth="1"/>
    <col min="14" max="14" width="12.296875" bestFit="1" customWidth="1"/>
  </cols>
  <sheetData>
    <row r="3" spans="1:12" x14ac:dyDescent="0.4">
      <c r="A3" s="1" t="s">
        <v>338</v>
      </c>
      <c r="B3" s="1" t="s">
        <v>337</v>
      </c>
      <c r="C3" s="2"/>
      <c r="D3" s="2"/>
      <c r="E3" s="2"/>
      <c r="F3" s="2"/>
      <c r="G3" s="2"/>
      <c r="H3" s="2"/>
      <c r="I3" s="2"/>
      <c r="J3" s="2"/>
      <c r="K3" s="2"/>
      <c r="L3" s="2"/>
    </row>
    <row r="4" spans="1:12" x14ac:dyDescent="0.4">
      <c r="A4" s="2"/>
      <c r="B4" s="2" t="s">
        <v>276</v>
      </c>
      <c r="C4" s="2"/>
      <c r="D4" s="2" t="s">
        <v>340</v>
      </c>
      <c r="E4" s="2" t="s">
        <v>258</v>
      </c>
      <c r="F4" s="2" t="s">
        <v>341</v>
      </c>
      <c r="G4" s="2" t="s">
        <v>28</v>
      </c>
      <c r="H4" s="2" t="s">
        <v>342</v>
      </c>
      <c r="I4" s="2" t="s">
        <v>220</v>
      </c>
      <c r="J4" s="2"/>
      <c r="K4" s="2" t="s">
        <v>343</v>
      </c>
      <c r="L4" s="2" t="s">
        <v>336</v>
      </c>
    </row>
    <row r="5" spans="1:12" x14ac:dyDescent="0.4">
      <c r="A5" s="1" t="s">
        <v>335</v>
      </c>
      <c r="B5" s="2" t="s">
        <v>8</v>
      </c>
      <c r="C5" s="2" t="s">
        <v>5</v>
      </c>
      <c r="D5" s="2"/>
      <c r="E5" s="2" t="s">
        <v>4</v>
      </c>
      <c r="F5" s="2"/>
      <c r="G5" s="2" t="s">
        <v>0</v>
      </c>
      <c r="H5" s="2"/>
      <c r="I5" s="2" t="s">
        <v>2</v>
      </c>
      <c r="J5" s="2" t="s">
        <v>1</v>
      </c>
      <c r="K5" s="2"/>
      <c r="L5" s="2"/>
    </row>
    <row r="6" spans="1:12" x14ac:dyDescent="0.4">
      <c r="A6" s="2" t="s">
        <v>210</v>
      </c>
      <c r="B6" s="3">
        <v>44</v>
      </c>
      <c r="C6" s="3">
        <v>50</v>
      </c>
      <c r="D6" s="3">
        <v>94</v>
      </c>
      <c r="E6" s="3">
        <v>45</v>
      </c>
      <c r="F6" s="3">
        <v>45</v>
      </c>
      <c r="G6" s="3">
        <v>60</v>
      </c>
      <c r="H6" s="3">
        <v>60</v>
      </c>
      <c r="I6" s="3">
        <v>0</v>
      </c>
      <c r="J6" s="3">
        <v>0</v>
      </c>
      <c r="K6" s="3">
        <v>0</v>
      </c>
      <c r="L6" s="3">
        <v>199</v>
      </c>
    </row>
    <row r="7" spans="1:12" x14ac:dyDescent="0.4">
      <c r="A7" s="2" t="s">
        <v>89</v>
      </c>
      <c r="B7" s="3">
        <v>0</v>
      </c>
      <c r="C7" s="3">
        <v>35</v>
      </c>
      <c r="D7" s="3">
        <v>35</v>
      </c>
      <c r="E7" s="3">
        <v>0</v>
      </c>
      <c r="F7" s="3">
        <v>0</v>
      </c>
      <c r="G7" s="3">
        <v>50</v>
      </c>
      <c r="H7" s="3">
        <v>50</v>
      </c>
      <c r="I7" s="3">
        <v>1</v>
      </c>
      <c r="J7" s="3">
        <v>5</v>
      </c>
      <c r="K7" s="3">
        <v>6</v>
      </c>
      <c r="L7" s="3">
        <v>91</v>
      </c>
    </row>
    <row r="8" spans="1:12" x14ac:dyDescent="0.4">
      <c r="A8" s="2" t="s">
        <v>94</v>
      </c>
      <c r="B8" s="3">
        <v>0</v>
      </c>
      <c r="C8" s="3">
        <v>50</v>
      </c>
      <c r="D8" s="3">
        <v>50</v>
      </c>
      <c r="E8" s="3">
        <v>0</v>
      </c>
      <c r="F8" s="3">
        <v>0</v>
      </c>
      <c r="G8" s="3">
        <v>45</v>
      </c>
      <c r="H8" s="3">
        <v>45</v>
      </c>
      <c r="I8" s="3">
        <v>5</v>
      </c>
      <c r="J8" s="3">
        <v>5</v>
      </c>
      <c r="K8" s="3">
        <v>10</v>
      </c>
      <c r="L8" s="3">
        <v>105</v>
      </c>
    </row>
    <row r="9" spans="1:12" x14ac:dyDescent="0.4">
      <c r="A9" s="2" t="s">
        <v>99</v>
      </c>
      <c r="B9" s="3">
        <v>47</v>
      </c>
      <c r="C9" s="3">
        <v>50</v>
      </c>
      <c r="D9" s="3">
        <v>97</v>
      </c>
      <c r="E9" s="3">
        <v>50</v>
      </c>
      <c r="F9" s="3">
        <v>50</v>
      </c>
      <c r="G9" s="3">
        <v>60</v>
      </c>
      <c r="H9" s="3">
        <v>60</v>
      </c>
      <c r="I9" s="3">
        <v>5</v>
      </c>
      <c r="J9" s="3">
        <v>5</v>
      </c>
      <c r="K9" s="3">
        <v>10</v>
      </c>
      <c r="L9" s="3">
        <v>217</v>
      </c>
    </row>
    <row r="10" spans="1:12" x14ac:dyDescent="0.4">
      <c r="A10" s="2" t="s">
        <v>147</v>
      </c>
      <c r="B10" s="3">
        <v>42</v>
      </c>
      <c r="C10" s="3">
        <v>50</v>
      </c>
      <c r="D10" s="3">
        <v>92</v>
      </c>
      <c r="E10" s="3">
        <v>41</v>
      </c>
      <c r="F10" s="3">
        <v>41</v>
      </c>
      <c r="G10" s="3">
        <v>55</v>
      </c>
      <c r="H10" s="3">
        <v>55</v>
      </c>
      <c r="I10" s="3">
        <v>4</v>
      </c>
      <c r="J10" s="3">
        <v>5</v>
      </c>
      <c r="K10" s="3">
        <v>9</v>
      </c>
      <c r="L10" s="3">
        <v>197</v>
      </c>
    </row>
    <row r="11" spans="1:12" x14ac:dyDescent="0.4">
      <c r="A11" s="2" t="s">
        <v>46</v>
      </c>
      <c r="B11" s="3">
        <v>40</v>
      </c>
      <c r="C11" s="3">
        <v>45</v>
      </c>
      <c r="D11" s="3">
        <v>85</v>
      </c>
      <c r="E11" s="3">
        <v>30</v>
      </c>
      <c r="F11" s="3">
        <v>30</v>
      </c>
      <c r="G11" s="3">
        <v>50</v>
      </c>
      <c r="H11" s="3">
        <v>50</v>
      </c>
      <c r="I11" s="3">
        <v>5</v>
      </c>
      <c r="J11" s="3">
        <v>4.2</v>
      </c>
      <c r="K11" s="3">
        <v>9.1999999999999993</v>
      </c>
      <c r="L11" s="3">
        <v>174.2</v>
      </c>
    </row>
    <row r="12" spans="1:12" x14ac:dyDescent="0.4">
      <c r="A12" s="2" t="s">
        <v>183</v>
      </c>
      <c r="B12" s="3">
        <v>0</v>
      </c>
      <c r="C12" s="3">
        <v>0</v>
      </c>
      <c r="D12" s="3">
        <v>0</v>
      </c>
      <c r="E12" s="3">
        <v>0</v>
      </c>
      <c r="F12" s="3">
        <v>0</v>
      </c>
      <c r="G12" s="3">
        <v>0</v>
      </c>
      <c r="H12" s="3">
        <v>0</v>
      </c>
      <c r="I12" s="3">
        <v>0</v>
      </c>
      <c r="J12" s="3">
        <v>0</v>
      </c>
      <c r="K12" s="3">
        <v>0</v>
      </c>
      <c r="L12" s="3">
        <v>0</v>
      </c>
    </row>
    <row r="13" spans="1:12" x14ac:dyDescent="0.4">
      <c r="A13" s="2" t="s">
        <v>192</v>
      </c>
      <c r="B13" s="3">
        <v>45</v>
      </c>
      <c r="C13" s="3">
        <v>50</v>
      </c>
      <c r="D13" s="3">
        <v>95</v>
      </c>
      <c r="E13" s="3">
        <v>40</v>
      </c>
      <c r="F13" s="3">
        <v>40</v>
      </c>
      <c r="G13" s="3">
        <v>60</v>
      </c>
      <c r="H13" s="3">
        <v>60</v>
      </c>
      <c r="I13" s="3">
        <v>5</v>
      </c>
      <c r="J13" s="3">
        <v>5</v>
      </c>
      <c r="K13" s="3">
        <v>10</v>
      </c>
      <c r="L13" s="3">
        <v>205</v>
      </c>
    </row>
    <row r="14" spans="1:12" x14ac:dyDescent="0.4">
      <c r="A14" s="2" t="s">
        <v>112</v>
      </c>
      <c r="B14" s="3">
        <v>0</v>
      </c>
      <c r="C14" s="3">
        <v>0</v>
      </c>
      <c r="D14" s="3">
        <v>0</v>
      </c>
      <c r="E14" s="3">
        <v>38</v>
      </c>
      <c r="F14" s="3">
        <v>38</v>
      </c>
      <c r="G14" s="3">
        <v>55</v>
      </c>
      <c r="H14" s="3">
        <v>55</v>
      </c>
      <c r="I14" s="3">
        <v>2</v>
      </c>
      <c r="J14" s="3">
        <v>0</v>
      </c>
      <c r="K14" s="3">
        <v>2</v>
      </c>
      <c r="L14" s="3">
        <v>95</v>
      </c>
    </row>
    <row r="15" spans="1:12" x14ac:dyDescent="0.4">
      <c r="A15" s="2" t="s">
        <v>156</v>
      </c>
      <c r="B15" s="3">
        <v>0</v>
      </c>
      <c r="C15" s="3">
        <v>0</v>
      </c>
      <c r="D15" s="3">
        <v>0</v>
      </c>
      <c r="E15" s="3">
        <v>0</v>
      </c>
      <c r="F15" s="3">
        <v>0</v>
      </c>
      <c r="G15" s="3">
        <v>0</v>
      </c>
      <c r="H15" s="3">
        <v>0</v>
      </c>
      <c r="I15" s="3">
        <v>0</v>
      </c>
      <c r="J15" s="3">
        <v>0</v>
      </c>
      <c r="K15" s="3">
        <v>0</v>
      </c>
      <c r="L15" s="3">
        <v>0</v>
      </c>
    </row>
    <row r="16" spans="1:12" x14ac:dyDescent="0.4">
      <c r="A16" s="2" t="s">
        <v>215</v>
      </c>
      <c r="B16" s="3">
        <v>50</v>
      </c>
      <c r="C16" s="3">
        <v>36</v>
      </c>
      <c r="D16" s="3">
        <v>86</v>
      </c>
      <c r="E16" s="3">
        <v>55</v>
      </c>
      <c r="F16" s="3">
        <v>55</v>
      </c>
      <c r="G16" s="3">
        <v>48</v>
      </c>
      <c r="H16" s="3">
        <v>48</v>
      </c>
      <c r="I16" s="3">
        <v>5</v>
      </c>
      <c r="J16" s="3">
        <v>5</v>
      </c>
      <c r="K16" s="3">
        <v>10</v>
      </c>
      <c r="L16" s="3">
        <v>199</v>
      </c>
    </row>
    <row r="17" spans="1:12" x14ac:dyDescent="0.4">
      <c r="A17" s="2" t="s">
        <v>197</v>
      </c>
      <c r="B17" s="3">
        <v>38</v>
      </c>
      <c r="C17" s="3">
        <v>50</v>
      </c>
      <c r="D17" s="3">
        <v>88</v>
      </c>
      <c r="E17" s="3">
        <v>0</v>
      </c>
      <c r="F17" s="3">
        <v>0</v>
      </c>
      <c r="G17" s="3">
        <v>45</v>
      </c>
      <c r="H17" s="3">
        <v>45</v>
      </c>
      <c r="I17" s="3">
        <v>4</v>
      </c>
      <c r="J17" s="3">
        <v>5</v>
      </c>
      <c r="K17" s="3">
        <v>9</v>
      </c>
      <c r="L17" s="3">
        <v>142</v>
      </c>
    </row>
    <row r="18" spans="1:12" x14ac:dyDescent="0.4">
      <c r="A18" s="2" t="s">
        <v>60</v>
      </c>
      <c r="B18" s="3">
        <v>0</v>
      </c>
      <c r="C18" s="3">
        <v>35</v>
      </c>
      <c r="D18" s="3">
        <v>35</v>
      </c>
      <c r="E18" s="3">
        <v>10</v>
      </c>
      <c r="F18" s="3">
        <v>10</v>
      </c>
      <c r="G18" s="3">
        <v>50</v>
      </c>
      <c r="H18" s="3">
        <v>50</v>
      </c>
      <c r="I18" s="3">
        <v>3.5</v>
      </c>
      <c r="J18" s="3">
        <v>5</v>
      </c>
      <c r="K18" s="3">
        <v>8.5</v>
      </c>
      <c r="L18" s="3">
        <v>103.5</v>
      </c>
    </row>
    <row r="19" spans="1:12" x14ac:dyDescent="0.4">
      <c r="A19" s="2" t="s">
        <v>75</v>
      </c>
      <c r="B19" s="3">
        <v>0</v>
      </c>
      <c r="C19" s="3">
        <v>36</v>
      </c>
      <c r="D19" s="3">
        <v>36</v>
      </c>
      <c r="E19" s="3">
        <v>55</v>
      </c>
      <c r="F19" s="3">
        <v>55</v>
      </c>
      <c r="G19" s="3">
        <v>50</v>
      </c>
      <c r="H19" s="3">
        <v>50</v>
      </c>
      <c r="I19" s="3">
        <v>5</v>
      </c>
      <c r="J19" s="3">
        <v>4.5</v>
      </c>
      <c r="K19" s="3">
        <v>9.5</v>
      </c>
      <c r="L19" s="3">
        <v>150.5</v>
      </c>
    </row>
    <row r="20" spans="1:12" x14ac:dyDescent="0.4">
      <c r="A20" s="2" t="s">
        <v>163</v>
      </c>
      <c r="B20" s="3">
        <v>0</v>
      </c>
      <c r="C20" s="3">
        <v>45</v>
      </c>
      <c r="D20" s="3">
        <v>45</v>
      </c>
      <c r="E20" s="3">
        <v>30</v>
      </c>
      <c r="F20" s="3">
        <v>30</v>
      </c>
      <c r="G20" s="3">
        <v>50</v>
      </c>
      <c r="H20" s="3">
        <v>50</v>
      </c>
      <c r="I20" s="3">
        <v>5</v>
      </c>
      <c r="J20" s="3">
        <v>4.2</v>
      </c>
      <c r="K20" s="3">
        <v>9.1999999999999993</v>
      </c>
      <c r="L20" s="3">
        <v>134.19999999999999</v>
      </c>
    </row>
    <row r="21" spans="1:12" x14ac:dyDescent="0.4">
      <c r="A21" s="2" t="s">
        <v>127</v>
      </c>
      <c r="B21" s="3">
        <v>38</v>
      </c>
      <c r="C21" s="3">
        <v>36</v>
      </c>
      <c r="D21" s="3">
        <v>74</v>
      </c>
      <c r="E21" s="3">
        <v>55</v>
      </c>
      <c r="F21" s="3">
        <v>55</v>
      </c>
      <c r="G21" s="3">
        <v>50</v>
      </c>
      <c r="H21" s="3">
        <v>50</v>
      </c>
      <c r="I21" s="3">
        <v>0</v>
      </c>
      <c r="J21" s="3">
        <v>4.5</v>
      </c>
      <c r="K21" s="3">
        <v>4.5</v>
      </c>
      <c r="L21" s="3">
        <v>183.5</v>
      </c>
    </row>
    <row r="22" spans="1:12" x14ac:dyDescent="0.4">
      <c r="A22" s="2" t="s">
        <v>187</v>
      </c>
      <c r="B22" s="3">
        <v>47</v>
      </c>
      <c r="C22" s="3">
        <v>19</v>
      </c>
      <c r="D22" s="3">
        <v>66</v>
      </c>
      <c r="E22" s="3">
        <v>40</v>
      </c>
      <c r="F22" s="3">
        <v>40</v>
      </c>
      <c r="G22" s="3">
        <v>60</v>
      </c>
      <c r="H22" s="3">
        <v>60</v>
      </c>
      <c r="I22" s="3">
        <v>5</v>
      </c>
      <c r="J22" s="3">
        <v>5</v>
      </c>
      <c r="K22" s="3">
        <v>10</v>
      </c>
      <c r="L22" s="3">
        <v>176</v>
      </c>
    </row>
    <row r="23" spans="1:12" x14ac:dyDescent="0.4">
      <c r="A23" s="2" t="s">
        <v>201</v>
      </c>
      <c r="B23" s="3">
        <v>48</v>
      </c>
      <c r="C23" s="3">
        <v>0</v>
      </c>
      <c r="D23" s="3">
        <v>48</v>
      </c>
      <c r="E23" s="3">
        <v>0</v>
      </c>
      <c r="F23" s="3">
        <v>0</v>
      </c>
      <c r="G23" s="3">
        <v>55</v>
      </c>
      <c r="H23" s="3">
        <v>55</v>
      </c>
      <c r="I23" s="3">
        <v>0</v>
      </c>
      <c r="J23" s="3">
        <v>0</v>
      </c>
      <c r="K23" s="3">
        <v>0</v>
      </c>
      <c r="L23" s="3">
        <v>103</v>
      </c>
    </row>
    <row r="24" spans="1:12" x14ac:dyDescent="0.4">
      <c r="A24" s="2" t="s">
        <v>142</v>
      </c>
      <c r="B24" s="3">
        <v>44</v>
      </c>
      <c r="C24" s="3">
        <v>50</v>
      </c>
      <c r="D24" s="3">
        <v>94</v>
      </c>
      <c r="E24" s="3">
        <v>55</v>
      </c>
      <c r="F24" s="3">
        <v>55</v>
      </c>
      <c r="G24" s="3">
        <v>60</v>
      </c>
      <c r="H24" s="3">
        <v>60</v>
      </c>
      <c r="I24" s="3">
        <v>5</v>
      </c>
      <c r="J24" s="3">
        <v>5</v>
      </c>
      <c r="K24" s="3">
        <v>10</v>
      </c>
      <c r="L24" s="3">
        <v>219</v>
      </c>
    </row>
    <row r="25" spans="1:12" x14ac:dyDescent="0.4">
      <c r="A25" s="2" t="s">
        <v>132</v>
      </c>
      <c r="B25" s="3">
        <v>50</v>
      </c>
      <c r="C25" s="3">
        <v>36</v>
      </c>
      <c r="D25" s="3">
        <v>86</v>
      </c>
      <c r="E25" s="3">
        <v>55</v>
      </c>
      <c r="F25" s="3">
        <v>55</v>
      </c>
      <c r="G25" s="3">
        <v>50</v>
      </c>
      <c r="H25" s="3">
        <v>50</v>
      </c>
      <c r="I25" s="3">
        <v>0</v>
      </c>
      <c r="J25" s="3">
        <v>4.5</v>
      </c>
      <c r="K25" s="3">
        <v>4.5</v>
      </c>
      <c r="L25" s="3">
        <v>195.5</v>
      </c>
    </row>
    <row r="26" spans="1:12" x14ac:dyDescent="0.4">
      <c r="A26" s="2" t="s">
        <v>137</v>
      </c>
      <c r="B26" s="3">
        <v>50</v>
      </c>
      <c r="C26" s="3">
        <v>50</v>
      </c>
      <c r="D26" s="3">
        <v>100</v>
      </c>
      <c r="E26" s="3">
        <v>55</v>
      </c>
      <c r="F26" s="3">
        <v>55</v>
      </c>
      <c r="G26" s="3">
        <v>65</v>
      </c>
      <c r="H26" s="3">
        <v>65</v>
      </c>
      <c r="I26" s="3">
        <v>5</v>
      </c>
      <c r="J26" s="3">
        <v>5</v>
      </c>
      <c r="K26" s="3">
        <v>10</v>
      </c>
      <c r="L26" s="3">
        <v>230</v>
      </c>
    </row>
    <row r="27" spans="1:12" x14ac:dyDescent="0.4">
      <c r="A27" s="2" t="s">
        <v>80</v>
      </c>
      <c r="B27" s="3">
        <v>46</v>
      </c>
      <c r="C27" s="3">
        <v>46</v>
      </c>
      <c r="D27" s="3">
        <v>92</v>
      </c>
      <c r="E27" s="3">
        <v>40</v>
      </c>
      <c r="F27" s="3">
        <v>40</v>
      </c>
      <c r="G27" s="3">
        <v>60</v>
      </c>
      <c r="H27" s="3">
        <v>60</v>
      </c>
      <c r="I27" s="3">
        <v>5</v>
      </c>
      <c r="J27" s="3">
        <v>5</v>
      </c>
      <c r="K27" s="3">
        <v>10</v>
      </c>
      <c r="L27" s="3">
        <v>202</v>
      </c>
    </row>
    <row r="28" spans="1:12" x14ac:dyDescent="0.4">
      <c r="A28" s="2" t="s">
        <v>160</v>
      </c>
      <c r="B28" s="3">
        <v>50</v>
      </c>
      <c r="C28" s="3">
        <v>50</v>
      </c>
      <c r="D28" s="3">
        <v>100</v>
      </c>
      <c r="E28" s="3">
        <v>0</v>
      </c>
      <c r="F28" s="3">
        <v>0</v>
      </c>
      <c r="G28" s="3">
        <v>45</v>
      </c>
      <c r="H28" s="3">
        <v>45</v>
      </c>
      <c r="I28" s="3">
        <v>4</v>
      </c>
      <c r="J28" s="3">
        <v>5</v>
      </c>
      <c r="K28" s="3">
        <v>9</v>
      </c>
      <c r="L28" s="3">
        <v>154</v>
      </c>
    </row>
    <row r="29" spans="1:12" x14ac:dyDescent="0.4">
      <c r="A29" s="2" t="s">
        <v>104</v>
      </c>
      <c r="B29" s="3">
        <v>0</v>
      </c>
      <c r="C29" s="3">
        <v>40</v>
      </c>
      <c r="D29" s="3">
        <v>40</v>
      </c>
      <c r="E29" s="3">
        <v>55</v>
      </c>
      <c r="F29" s="3">
        <v>55</v>
      </c>
      <c r="G29" s="3">
        <v>50</v>
      </c>
      <c r="H29" s="3">
        <v>50</v>
      </c>
      <c r="I29" s="3">
        <v>5</v>
      </c>
      <c r="J29" s="3">
        <v>5</v>
      </c>
      <c r="K29" s="3">
        <v>10</v>
      </c>
      <c r="L29" s="3">
        <v>155</v>
      </c>
    </row>
    <row r="30" spans="1:12" x14ac:dyDescent="0.4">
      <c r="A30" s="2" t="s">
        <v>85</v>
      </c>
      <c r="B30" s="3">
        <v>50</v>
      </c>
      <c r="C30" s="3">
        <v>50</v>
      </c>
      <c r="D30" s="3">
        <v>100</v>
      </c>
      <c r="E30" s="3">
        <v>55</v>
      </c>
      <c r="F30" s="3">
        <v>55</v>
      </c>
      <c r="G30" s="3">
        <v>50</v>
      </c>
      <c r="H30" s="3">
        <v>50</v>
      </c>
      <c r="I30" s="3">
        <v>5</v>
      </c>
      <c r="J30" s="3">
        <v>0</v>
      </c>
      <c r="K30" s="3">
        <v>5</v>
      </c>
      <c r="L30" s="3">
        <v>210</v>
      </c>
    </row>
    <row r="31" spans="1:12" x14ac:dyDescent="0.4">
      <c r="A31" s="2" t="s">
        <v>51</v>
      </c>
      <c r="B31" s="3">
        <v>40</v>
      </c>
      <c r="C31" s="3">
        <v>50</v>
      </c>
      <c r="D31" s="3">
        <v>90</v>
      </c>
      <c r="E31" s="3">
        <v>0</v>
      </c>
      <c r="F31" s="3">
        <v>0</v>
      </c>
      <c r="G31" s="3">
        <v>50</v>
      </c>
      <c r="H31" s="3">
        <v>50</v>
      </c>
      <c r="I31" s="3">
        <v>0</v>
      </c>
      <c r="J31" s="3">
        <v>0</v>
      </c>
      <c r="K31" s="3">
        <v>0</v>
      </c>
      <c r="L31" s="3">
        <v>140</v>
      </c>
    </row>
    <row r="32" spans="1:12" x14ac:dyDescent="0.4">
      <c r="A32" s="2" t="s">
        <v>56</v>
      </c>
      <c r="B32" s="3">
        <v>50</v>
      </c>
      <c r="C32" s="3">
        <v>50</v>
      </c>
      <c r="D32" s="3">
        <v>100</v>
      </c>
      <c r="E32" s="3">
        <v>50</v>
      </c>
      <c r="F32" s="3">
        <v>50</v>
      </c>
      <c r="G32" s="3">
        <v>60</v>
      </c>
      <c r="H32" s="3">
        <v>60</v>
      </c>
      <c r="I32" s="3">
        <v>5</v>
      </c>
      <c r="J32" s="3">
        <v>5</v>
      </c>
      <c r="K32" s="3">
        <v>10</v>
      </c>
      <c r="L32" s="3">
        <v>220</v>
      </c>
    </row>
    <row r="33" spans="1:12" x14ac:dyDescent="0.4">
      <c r="A33" s="2" t="s">
        <v>205</v>
      </c>
      <c r="B33" s="3">
        <v>41</v>
      </c>
      <c r="C33" s="3">
        <v>15</v>
      </c>
      <c r="D33" s="3">
        <v>56</v>
      </c>
      <c r="E33" s="3">
        <v>40</v>
      </c>
      <c r="F33" s="3">
        <v>40</v>
      </c>
      <c r="G33" s="3">
        <v>60</v>
      </c>
      <c r="H33" s="3">
        <v>60</v>
      </c>
      <c r="I33" s="3">
        <v>5</v>
      </c>
      <c r="J33" s="3">
        <v>5</v>
      </c>
      <c r="K33" s="3">
        <v>10</v>
      </c>
      <c r="L33" s="3">
        <v>166</v>
      </c>
    </row>
    <row r="34" spans="1:12" x14ac:dyDescent="0.4">
      <c r="A34" s="2" t="s">
        <v>117</v>
      </c>
      <c r="B34" s="3">
        <v>50</v>
      </c>
      <c r="C34" s="3">
        <v>36</v>
      </c>
      <c r="D34" s="3">
        <v>86</v>
      </c>
      <c r="E34" s="3">
        <v>55</v>
      </c>
      <c r="F34" s="3">
        <v>55</v>
      </c>
      <c r="G34" s="3">
        <v>48</v>
      </c>
      <c r="H34" s="3">
        <v>48</v>
      </c>
      <c r="I34" s="3">
        <v>5</v>
      </c>
      <c r="J34" s="3">
        <v>5</v>
      </c>
      <c r="K34" s="3">
        <v>10</v>
      </c>
      <c r="L34" s="3">
        <v>199</v>
      </c>
    </row>
    <row r="35" spans="1:12" x14ac:dyDescent="0.4">
      <c r="A35" s="2" t="s">
        <v>122</v>
      </c>
      <c r="B35" s="3">
        <v>50</v>
      </c>
      <c r="C35" s="3">
        <v>50</v>
      </c>
      <c r="D35" s="3">
        <v>100</v>
      </c>
      <c r="E35" s="3">
        <v>50</v>
      </c>
      <c r="F35" s="3">
        <v>50</v>
      </c>
      <c r="G35" s="3">
        <v>60</v>
      </c>
      <c r="H35" s="3">
        <v>60</v>
      </c>
      <c r="I35" s="3">
        <v>5</v>
      </c>
      <c r="J35" s="3">
        <v>5</v>
      </c>
      <c r="K35" s="3">
        <v>10</v>
      </c>
      <c r="L35" s="3">
        <v>220</v>
      </c>
    </row>
    <row r="36" spans="1:12" x14ac:dyDescent="0.4">
      <c r="A36" s="2" t="s">
        <v>41</v>
      </c>
      <c r="B36" s="3">
        <v>50</v>
      </c>
      <c r="C36" s="3">
        <v>45</v>
      </c>
      <c r="D36" s="3">
        <v>95</v>
      </c>
      <c r="E36" s="3">
        <v>30</v>
      </c>
      <c r="F36" s="3">
        <v>30</v>
      </c>
      <c r="G36" s="3">
        <v>50</v>
      </c>
      <c r="H36" s="3">
        <v>50</v>
      </c>
      <c r="I36" s="3">
        <v>5</v>
      </c>
      <c r="J36" s="3">
        <v>4.2</v>
      </c>
      <c r="K36" s="3">
        <v>9.1999999999999993</v>
      </c>
      <c r="L36" s="3">
        <v>184.2</v>
      </c>
    </row>
    <row r="37" spans="1:12" x14ac:dyDescent="0.4">
      <c r="A37" s="2" t="s">
        <v>24</v>
      </c>
      <c r="B37" s="3">
        <v>50</v>
      </c>
      <c r="C37" s="3">
        <v>50</v>
      </c>
      <c r="D37" s="3">
        <v>100</v>
      </c>
      <c r="E37" s="3">
        <v>50</v>
      </c>
      <c r="F37" s="3">
        <v>50</v>
      </c>
      <c r="G37" s="3">
        <v>50</v>
      </c>
      <c r="H37" s="3">
        <v>50</v>
      </c>
      <c r="I37" s="3">
        <v>5</v>
      </c>
      <c r="J37" s="3">
        <v>5</v>
      </c>
      <c r="K37" s="3">
        <v>10</v>
      </c>
      <c r="L37" s="3">
        <v>210</v>
      </c>
    </row>
    <row r="38" spans="1:12" x14ac:dyDescent="0.4">
      <c r="A38" s="2" t="s">
        <v>178</v>
      </c>
      <c r="B38" s="3">
        <v>45</v>
      </c>
      <c r="C38" s="3">
        <v>50</v>
      </c>
      <c r="D38" s="3">
        <v>95</v>
      </c>
      <c r="E38" s="3">
        <v>41</v>
      </c>
      <c r="F38" s="3">
        <v>41</v>
      </c>
      <c r="G38" s="3">
        <v>55</v>
      </c>
      <c r="H38" s="3">
        <v>55</v>
      </c>
      <c r="I38" s="3">
        <v>5</v>
      </c>
      <c r="J38" s="3">
        <v>5</v>
      </c>
      <c r="K38" s="3">
        <v>10</v>
      </c>
      <c r="L38" s="3">
        <v>201</v>
      </c>
    </row>
    <row r="39" spans="1:12" x14ac:dyDescent="0.4">
      <c r="A39" s="2" t="s">
        <v>65</v>
      </c>
      <c r="B39" s="3">
        <v>43</v>
      </c>
      <c r="C39" s="3">
        <v>48</v>
      </c>
      <c r="D39" s="3">
        <v>91</v>
      </c>
      <c r="E39" s="3">
        <v>50</v>
      </c>
      <c r="F39" s="3">
        <v>50</v>
      </c>
      <c r="G39" s="3">
        <v>43</v>
      </c>
      <c r="H39" s="3">
        <v>43</v>
      </c>
      <c r="I39" s="3">
        <v>5</v>
      </c>
      <c r="J39" s="3">
        <v>5</v>
      </c>
      <c r="K39" s="3">
        <v>10</v>
      </c>
      <c r="L39" s="3">
        <v>194</v>
      </c>
    </row>
    <row r="40" spans="1:12" x14ac:dyDescent="0.4">
      <c r="A40" s="2" t="s">
        <v>152</v>
      </c>
      <c r="B40" s="3">
        <v>0</v>
      </c>
      <c r="C40" s="3">
        <v>0</v>
      </c>
      <c r="D40" s="3">
        <v>0</v>
      </c>
      <c r="E40" s="3">
        <v>38</v>
      </c>
      <c r="F40" s="3">
        <v>38</v>
      </c>
      <c r="G40" s="3">
        <v>55</v>
      </c>
      <c r="H40" s="3">
        <v>55</v>
      </c>
      <c r="I40" s="3">
        <v>0</v>
      </c>
      <c r="J40" s="3">
        <v>0</v>
      </c>
      <c r="K40" s="3">
        <v>0</v>
      </c>
      <c r="L40" s="3">
        <v>93</v>
      </c>
    </row>
    <row r="41" spans="1:12" x14ac:dyDescent="0.4">
      <c r="A41" s="2" t="s">
        <v>168</v>
      </c>
      <c r="B41" s="3">
        <v>50</v>
      </c>
      <c r="C41" s="3">
        <v>48</v>
      </c>
      <c r="D41" s="3">
        <v>98</v>
      </c>
      <c r="E41" s="3">
        <v>50</v>
      </c>
      <c r="F41" s="3">
        <v>50</v>
      </c>
      <c r="G41" s="3">
        <v>43</v>
      </c>
      <c r="H41" s="3">
        <v>43</v>
      </c>
      <c r="I41" s="3">
        <v>5</v>
      </c>
      <c r="J41" s="3">
        <v>5</v>
      </c>
      <c r="K41" s="3">
        <v>10</v>
      </c>
      <c r="L41" s="3">
        <v>201</v>
      </c>
    </row>
    <row r="42" spans="1:12" x14ac:dyDescent="0.4">
      <c r="A42" s="2" t="s">
        <v>70</v>
      </c>
      <c r="B42" s="3">
        <v>50</v>
      </c>
      <c r="C42" s="3">
        <v>48</v>
      </c>
      <c r="D42" s="3">
        <v>98</v>
      </c>
      <c r="E42" s="3">
        <v>50</v>
      </c>
      <c r="F42" s="3">
        <v>50</v>
      </c>
      <c r="G42" s="3">
        <v>43</v>
      </c>
      <c r="H42" s="3">
        <v>43</v>
      </c>
      <c r="I42" s="3">
        <v>5</v>
      </c>
      <c r="J42" s="3">
        <v>5</v>
      </c>
      <c r="K42" s="3">
        <v>10</v>
      </c>
      <c r="L42" s="3">
        <v>201</v>
      </c>
    </row>
    <row r="43" spans="1:12" x14ac:dyDescent="0.4">
      <c r="A43" s="2" t="s">
        <v>107</v>
      </c>
      <c r="B43" s="3">
        <v>44</v>
      </c>
      <c r="C43" s="3">
        <v>36</v>
      </c>
      <c r="D43" s="3">
        <v>80</v>
      </c>
      <c r="E43" s="3">
        <v>55</v>
      </c>
      <c r="F43" s="3">
        <v>55</v>
      </c>
      <c r="G43" s="3">
        <v>48</v>
      </c>
      <c r="H43" s="3">
        <v>48</v>
      </c>
      <c r="I43" s="3">
        <v>5</v>
      </c>
      <c r="J43" s="3">
        <v>5</v>
      </c>
      <c r="K43" s="3">
        <v>10</v>
      </c>
      <c r="L43" s="3">
        <v>193</v>
      </c>
    </row>
    <row r="44" spans="1:12" x14ac:dyDescent="0.4">
      <c r="A44" s="2" t="s">
        <v>31</v>
      </c>
      <c r="B44" s="3">
        <v>40</v>
      </c>
      <c r="C44" s="3">
        <v>35</v>
      </c>
      <c r="D44" s="3">
        <v>75</v>
      </c>
      <c r="E44" s="3">
        <v>35</v>
      </c>
      <c r="F44" s="3">
        <v>35</v>
      </c>
      <c r="G44" s="3">
        <v>50</v>
      </c>
      <c r="H44" s="3">
        <v>50</v>
      </c>
      <c r="I44" s="3">
        <v>1</v>
      </c>
      <c r="J44" s="3">
        <v>1</v>
      </c>
      <c r="K44" s="3">
        <v>2</v>
      </c>
      <c r="L44" s="3">
        <v>162</v>
      </c>
    </row>
    <row r="45" spans="1:12" x14ac:dyDescent="0.4">
      <c r="A45" s="2" t="s">
        <v>173</v>
      </c>
      <c r="B45" s="3">
        <v>50</v>
      </c>
      <c r="C45" s="3">
        <v>50</v>
      </c>
      <c r="D45" s="3">
        <v>100</v>
      </c>
      <c r="E45" s="3">
        <v>50</v>
      </c>
      <c r="F45" s="3">
        <v>50</v>
      </c>
      <c r="G45" s="3">
        <v>50</v>
      </c>
      <c r="H45" s="3">
        <v>50</v>
      </c>
      <c r="I45" s="3">
        <v>5</v>
      </c>
      <c r="J45" s="3">
        <v>5</v>
      </c>
      <c r="K45" s="3">
        <v>10</v>
      </c>
      <c r="L45" s="3">
        <v>210</v>
      </c>
    </row>
    <row r="46" spans="1:12" x14ac:dyDescent="0.4">
      <c r="A46" s="2" t="s">
        <v>36</v>
      </c>
      <c r="B46" s="3">
        <v>0</v>
      </c>
      <c r="C46" s="3">
        <v>46</v>
      </c>
      <c r="D46" s="3">
        <v>46</v>
      </c>
      <c r="E46" s="3">
        <v>40</v>
      </c>
      <c r="F46" s="3">
        <v>40</v>
      </c>
      <c r="G46" s="3">
        <v>60</v>
      </c>
      <c r="H46" s="3">
        <v>60</v>
      </c>
      <c r="I46" s="3">
        <v>3</v>
      </c>
      <c r="J46" s="3">
        <v>5</v>
      </c>
      <c r="K46" s="3">
        <v>8</v>
      </c>
      <c r="L46" s="3">
        <v>154</v>
      </c>
    </row>
    <row r="47" spans="1:12" x14ac:dyDescent="0.4">
      <c r="A47" s="2" t="s">
        <v>336</v>
      </c>
      <c r="B47" s="3">
        <v>1382</v>
      </c>
      <c r="C47" s="3">
        <v>1566</v>
      </c>
      <c r="D47" s="3">
        <v>2948</v>
      </c>
      <c r="E47" s="3">
        <v>1488</v>
      </c>
      <c r="F47" s="3">
        <v>1488</v>
      </c>
      <c r="G47" s="3">
        <v>2048</v>
      </c>
      <c r="H47" s="3">
        <v>2048</v>
      </c>
      <c r="I47" s="3">
        <v>147.5</v>
      </c>
      <c r="J47" s="3">
        <v>157.10000000000002</v>
      </c>
      <c r="K47" s="3">
        <v>304.60000000000002</v>
      </c>
      <c r="L47" s="3">
        <v>6788.5999999999995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804D-361A-42C4-B6E3-4A6C5E2325A1}">
  <dimension ref="A2:F47"/>
  <sheetViews>
    <sheetView workbookViewId="0">
      <pane ySplit="5" topLeftCell="A6" activePane="bottomLeft" state="frozen"/>
      <selection pane="bottomLeft" activeCell="F1" sqref="F1:F1048576"/>
    </sheetView>
  </sheetViews>
  <sheetFormatPr baseColWidth="10" defaultRowHeight="16.8" x14ac:dyDescent="0.4"/>
  <cols>
    <col min="1" max="1" width="30" bestFit="1" customWidth="1"/>
    <col min="2" max="2" width="30.5" bestFit="1" customWidth="1"/>
    <col min="3" max="5" width="16" bestFit="1" customWidth="1"/>
    <col min="6" max="7" width="12.296875" bestFit="1" customWidth="1"/>
    <col min="8" max="8" width="62.69921875" bestFit="1" customWidth="1"/>
    <col min="9" max="9" width="55.296875" bestFit="1" customWidth="1"/>
    <col min="10" max="10" width="25.09765625" bestFit="1" customWidth="1"/>
    <col min="11" max="11" width="12.296875" bestFit="1" customWidth="1"/>
    <col min="12" max="12" width="32.19921875" bestFit="1" customWidth="1"/>
    <col min="13" max="13" width="12.296875" bestFit="1" customWidth="1"/>
  </cols>
  <sheetData>
    <row r="2" spans="1:6" x14ac:dyDescent="0.4">
      <c r="A2" s="1" t="s">
        <v>17</v>
      </c>
      <c r="B2" s="2" t="s">
        <v>257</v>
      </c>
    </row>
    <row r="4" spans="1:6" x14ac:dyDescent="0.4">
      <c r="A4" s="1" t="s">
        <v>339</v>
      </c>
      <c r="B4" s="1" t="s">
        <v>337</v>
      </c>
      <c r="C4" s="2"/>
      <c r="D4" s="2"/>
      <c r="E4" s="2"/>
      <c r="F4" s="4"/>
    </row>
    <row r="5" spans="1:6" x14ac:dyDescent="0.4">
      <c r="A5" s="1" t="s">
        <v>335</v>
      </c>
      <c r="B5" s="2" t="s">
        <v>9</v>
      </c>
      <c r="C5" s="2" t="s">
        <v>7</v>
      </c>
      <c r="D5" s="2" t="s">
        <v>6</v>
      </c>
      <c r="E5" s="2" t="s">
        <v>3</v>
      </c>
      <c r="F5" s="5" t="s">
        <v>344</v>
      </c>
    </row>
    <row r="6" spans="1:6" x14ac:dyDescent="0.4">
      <c r="A6" s="2" t="s">
        <v>210</v>
      </c>
      <c r="B6" s="3">
        <v>50</v>
      </c>
      <c r="C6" s="3">
        <v>50</v>
      </c>
      <c r="D6" s="3">
        <v>0</v>
      </c>
      <c r="E6" s="3">
        <v>50</v>
      </c>
      <c r="F6" s="3">
        <f t="shared" ref="F6:F46" si="0">COUNTIF(B6:E6,0)</f>
        <v>1</v>
      </c>
    </row>
    <row r="7" spans="1:6" x14ac:dyDescent="0.4">
      <c r="A7" s="2" t="s">
        <v>89</v>
      </c>
      <c r="B7" s="3">
        <v>50</v>
      </c>
      <c r="C7" s="3">
        <v>0</v>
      </c>
      <c r="D7" s="3">
        <v>0</v>
      </c>
      <c r="E7" s="3">
        <v>40</v>
      </c>
      <c r="F7" s="3">
        <f t="shared" si="0"/>
        <v>2</v>
      </c>
    </row>
    <row r="8" spans="1:6" x14ac:dyDescent="0.4">
      <c r="A8" s="2" t="s">
        <v>94</v>
      </c>
      <c r="B8" s="3">
        <v>50</v>
      </c>
      <c r="C8" s="3">
        <v>0</v>
      </c>
      <c r="D8" s="3">
        <v>50</v>
      </c>
      <c r="E8" s="3">
        <v>50</v>
      </c>
      <c r="F8" s="3">
        <f t="shared" si="0"/>
        <v>1</v>
      </c>
    </row>
    <row r="9" spans="1:6" x14ac:dyDescent="0.4">
      <c r="A9" s="2" t="s">
        <v>99</v>
      </c>
      <c r="B9" s="3">
        <v>50</v>
      </c>
      <c r="C9" s="3">
        <v>50</v>
      </c>
      <c r="D9" s="3">
        <v>50</v>
      </c>
      <c r="E9" s="3">
        <v>50</v>
      </c>
      <c r="F9" s="3">
        <f t="shared" si="0"/>
        <v>0</v>
      </c>
    </row>
    <row r="10" spans="1:6" x14ac:dyDescent="0.4">
      <c r="A10" s="2" t="s">
        <v>147</v>
      </c>
      <c r="B10" s="3">
        <v>50</v>
      </c>
      <c r="C10" s="3">
        <v>50</v>
      </c>
      <c r="D10" s="3">
        <v>50</v>
      </c>
      <c r="E10" s="3">
        <v>50</v>
      </c>
      <c r="F10" s="3">
        <f t="shared" si="0"/>
        <v>0</v>
      </c>
    </row>
    <row r="11" spans="1:6" x14ac:dyDescent="0.4">
      <c r="A11" s="2" t="s">
        <v>46</v>
      </c>
      <c r="B11" s="3">
        <v>50</v>
      </c>
      <c r="C11" s="3">
        <v>50</v>
      </c>
      <c r="D11" s="3">
        <v>50</v>
      </c>
      <c r="E11" s="3">
        <v>50</v>
      </c>
      <c r="F11" s="3">
        <f t="shared" si="0"/>
        <v>0</v>
      </c>
    </row>
    <row r="12" spans="1:6" x14ac:dyDescent="0.4">
      <c r="A12" s="2" t="s">
        <v>183</v>
      </c>
      <c r="B12" s="3">
        <v>50</v>
      </c>
      <c r="C12" s="3">
        <v>0</v>
      </c>
      <c r="D12" s="3">
        <v>0</v>
      </c>
      <c r="E12" s="3">
        <v>0</v>
      </c>
      <c r="F12" s="3">
        <f t="shared" si="0"/>
        <v>3</v>
      </c>
    </row>
    <row r="13" spans="1:6" x14ac:dyDescent="0.4">
      <c r="A13" s="2" t="s">
        <v>192</v>
      </c>
      <c r="B13" s="3">
        <v>50</v>
      </c>
      <c r="C13" s="3">
        <v>50</v>
      </c>
      <c r="D13" s="3">
        <v>50</v>
      </c>
      <c r="E13" s="3">
        <v>50</v>
      </c>
      <c r="F13" s="3">
        <f t="shared" si="0"/>
        <v>0</v>
      </c>
    </row>
    <row r="14" spans="1:6" x14ac:dyDescent="0.4">
      <c r="A14" s="2" t="s">
        <v>112</v>
      </c>
      <c r="B14" s="3">
        <v>50</v>
      </c>
      <c r="C14" s="3">
        <v>50</v>
      </c>
      <c r="D14" s="3">
        <v>50</v>
      </c>
      <c r="E14" s="3">
        <v>50</v>
      </c>
      <c r="F14" s="3">
        <f t="shared" si="0"/>
        <v>0</v>
      </c>
    </row>
    <row r="15" spans="1:6" x14ac:dyDescent="0.4">
      <c r="A15" s="2" t="s">
        <v>156</v>
      </c>
      <c r="B15" s="3">
        <v>50</v>
      </c>
      <c r="C15" s="3">
        <v>0</v>
      </c>
      <c r="D15" s="3">
        <v>50</v>
      </c>
      <c r="E15" s="3">
        <v>0</v>
      </c>
      <c r="F15" s="3">
        <f t="shared" si="0"/>
        <v>2</v>
      </c>
    </row>
    <row r="16" spans="1:6" x14ac:dyDescent="0.4">
      <c r="A16" s="2" t="s">
        <v>215</v>
      </c>
      <c r="B16" s="3">
        <v>50</v>
      </c>
      <c r="C16" s="3">
        <v>50</v>
      </c>
      <c r="D16" s="3">
        <v>50</v>
      </c>
      <c r="E16" s="3">
        <v>50</v>
      </c>
      <c r="F16" s="3">
        <f t="shared" si="0"/>
        <v>0</v>
      </c>
    </row>
    <row r="17" spans="1:6" x14ac:dyDescent="0.4">
      <c r="A17" s="2" t="s">
        <v>197</v>
      </c>
      <c r="B17" s="3">
        <v>50</v>
      </c>
      <c r="C17" s="3">
        <v>50</v>
      </c>
      <c r="D17" s="3">
        <v>50</v>
      </c>
      <c r="E17" s="3">
        <v>50</v>
      </c>
      <c r="F17" s="3">
        <f t="shared" si="0"/>
        <v>0</v>
      </c>
    </row>
    <row r="18" spans="1:6" x14ac:dyDescent="0.4">
      <c r="A18" s="2" t="s">
        <v>60</v>
      </c>
      <c r="B18" s="3">
        <v>50</v>
      </c>
      <c r="C18" s="3">
        <v>50</v>
      </c>
      <c r="D18" s="3">
        <v>50</v>
      </c>
      <c r="E18" s="3">
        <v>50</v>
      </c>
      <c r="F18" s="3">
        <f t="shared" si="0"/>
        <v>0</v>
      </c>
    </row>
    <row r="19" spans="1:6" x14ac:dyDescent="0.4">
      <c r="A19" s="2" t="s">
        <v>75</v>
      </c>
      <c r="B19" s="3">
        <v>50</v>
      </c>
      <c r="C19" s="3">
        <v>50</v>
      </c>
      <c r="D19" s="3">
        <v>50</v>
      </c>
      <c r="E19" s="3">
        <v>50</v>
      </c>
      <c r="F19" s="3">
        <f t="shared" si="0"/>
        <v>0</v>
      </c>
    </row>
    <row r="20" spans="1:6" x14ac:dyDescent="0.4">
      <c r="A20" s="2" t="s">
        <v>163</v>
      </c>
      <c r="B20" s="3">
        <v>50</v>
      </c>
      <c r="C20" s="3">
        <v>50</v>
      </c>
      <c r="D20" s="3">
        <v>0</v>
      </c>
      <c r="E20" s="3">
        <v>50</v>
      </c>
      <c r="F20" s="3">
        <f t="shared" si="0"/>
        <v>1</v>
      </c>
    </row>
    <row r="21" spans="1:6" x14ac:dyDescent="0.4">
      <c r="A21" s="2" t="s">
        <v>127</v>
      </c>
      <c r="B21" s="3">
        <v>50</v>
      </c>
      <c r="C21" s="3">
        <v>50</v>
      </c>
      <c r="D21" s="3">
        <v>50</v>
      </c>
      <c r="E21" s="3">
        <v>50</v>
      </c>
      <c r="F21" s="3">
        <f t="shared" si="0"/>
        <v>0</v>
      </c>
    </row>
    <row r="22" spans="1:6" x14ac:dyDescent="0.4">
      <c r="A22" s="2" t="s">
        <v>187</v>
      </c>
      <c r="B22" s="3">
        <v>50</v>
      </c>
      <c r="C22" s="3">
        <v>50</v>
      </c>
      <c r="D22" s="3">
        <v>50</v>
      </c>
      <c r="E22" s="3">
        <v>50</v>
      </c>
      <c r="F22" s="3">
        <f t="shared" si="0"/>
        <v>0</v>
      </c>
    </row>
    <row r="23" spans="1:6" x14ac:dyDescent="0.4">
      <c r="A23" s="2" t="s">
        <v>201</v>
      </c>
      <c r="B23" s="3">
        <v>50</v>
      </c>
      <c r="C23" s="3">
        <v>50</v>
      </c>
      <c r="D23" s="3">
        <v>40</v>
      </c>
      <c r="E23" s="3">
        <v>0</v>
      </c>
      <c r="F23" s="3">
        <f t="shared" si="0"/>
        <v>1</v>
      </c>
    </row>
    <row r="24" spans="1:6" x14ac:dyDescent="0.4">
      <c r="A24" s="2" t="s">
        <v>142</v>
      </c>
      <c r="B24" s="3">
        <v>50</v>
      </c>
      <c r="C24" s="3">
        <v>50</v>
      </c>
      <c r="D24" s="3">
        <v>50</v>
      </c>
      <c r="E24" s="3">
        <v>50</v>
      </c>
      <c r="F24" s="3">
        <f t="shared" si="0"/>
        <v>0</v>
      </c>
    </row>
    <row r="25" spans="1:6" x14ac:dyDescent="0.4">
      <c r="A25" s="2" t="s">
        <v>132</v>
      </c>
      <c r="B25" s="3">
        <v>50</v>
      </c>
      <c r="C25" s="3">
        <v>50</v>
      </c>
      <c r="D25" s="3">
        <v>50</v>
      </c>
      <c r="E25" s="3">
        <v>50</v>
      </c>
      <c r="F25" s="3">
        <f t="shared" si="0"/>
        <v>0</v>
      </c>
    </row>
    <row r="26" spans="1:6" x14ac:dyDescent="0.4">
      <c r="A26" s="2" t="s">
        <v>137</v>
      </c>
      <c r="B26" s="3">
        <v>50</v>
      </c>
      <c r="C26" s="3">
        <v>50</v>
      </c>
      <c r="D26" s="3">
        <v>50</v>
      </c>
      <c r="E26" s="3">
        <v>50</v>
      </c>
      <c r="F26" s="3">
        <f t="shared" si="0"/>
        <v>0</v>
      </c>
    </row>
    <row r="27" spans="1:6" x14ac:dyDescent="0.4">
      <c r="A27" s="2" t="s">
        <v>80</v>
      </c>
      <c r="B27" s="3">
        <v>50</v>
      </c>
      <c r="C27" s="3">
        <v>50</v>
      </c>
      <c r="D27" s="3">
        <v>50</v>
      </c>
      <c r="E27" s="3">
        <v>0</v>
      </c>
      <c r="F27" s="3">
        <f t="shared" si="0"/>
        <v>1</v>
      </c>
    </row>
    <row r="28" spans="1:6" x14ac:dyDescent="0.4">
      <c r="A28" s="2" t="s">
        <v>160</v>
      </c>
      <c r="B28" s="3">
        <v>50</v>
      </c>
      <c r="C28" s="3">
        <v>50</v>
      </c>
      <c r="D28" s="3">
        <v>50</v>
      </c>
      <c r="E28" s="3">
        <v>50</v>
      </c>
      <c r="F28" s="3">
        <f t="shared" si="0"/>
        <v>0</v>
      </c>
    </row>
    <row r="29" spans="1:6" x14ac:dyDescent="0.4">
      <c r="A29" s="2" t="s">
        <v>104</v>
      </c>
      <c r="B29" s="3">
        <v>50</v>
      </c>
      <c r="C29" s="3">
        <v>50</v>
      </c>
      <c r="D29" s="3">
        <v>50</v>
      </c>
      <c r="E29" s="3">
        <v>50</v>
      </c>
      <c r="F29" s="3">
        <f t="shared" si="0"/>
        <v>0</v>
      </c>
    </row>
    <row r="30" spans="1:6" x14ac:dyDescent="0.4">
      <c r="A30" s="2" t="s">
        <v>85</v>
      </c>
      <c r="B30" s="3">
        <v>50</v>
      </c>
      <c r="C30" s="3">
        <v>50</v>
      </c>
      <c r="D30" s="3">
        <v>50</v>
      </c>
      <c r="E30" s="3">
        <v>0</v>
      </c>
      <c r="F30" s="3">
        <f t="shared" si="0"/>
        <v>1</v>
      </c>
    </row>
    <row r="31" spans="1:6" x14ac:dyDescent="0.4">
      <c r="A31" s="2" t="s">
        <v>51</v>
      </c>
      <c r="B31" s="3">
        <v>50</v>
      </c>
      <c r="C31" s="3">
        <v>0</v>
      </c>
      <c r="D31" s="3">
        <v>50</v>
      </c>
      <c r="E31" s="3">
        <v>50</v>
      </c>
      <c r="F31" s="3">
        <f t="shared" si="0"/>
        <v>1</v>
      </c>
    </row>
    <row r="32" spans="1:6" x14ac:dyDescent="0.4">
      <c r="A32" s="2" t="s">
        <v>56</v>
      </c>
      <c r="B32" s="3">
        <v>50</v>
      </c>
      <c r="C32" s="3">
        <v>50</v>
      </c>
      <c r="D32" s="3">
        <v>50</v>
      </c>
      <c r="E32" s="3">
        <v>50</v>
      </c>
      <c r="F32" s="3">
        <f t="shared" si="0"/>
        <v>0</v>
      </c>
    </row>
    <row r="33" spans="1:6" x14ac:dyDescent="0.4">
      <c r="A33" s="2" t="s">
        <v>205</v>
      </c>
      <c r="B33" s="3">
        <v>50</v>
      </c>
      <c r="C33" s="3">
        <v>50</v>
      </c>
      <c r="D33" s="3">
        <v>50</v>
      </c>
      <c r="E33" s="3">
        <v>50</v>
      </c>
      <c r="F33" s="3">
        <f t="shared" si="0"/>
        <v>0</v>
      </c>
    </row>
    <row r="34" spans="1:6" x14ac:dyDescent="0.4">
      <c r="A34" s="2" t="s">
        <v>117</v>
      </c>
      <c r="B34" s="3">
        <v>50</v>
      </c>
      <c r="C34" s="3">
        <v>50</v>
      </c>
      <c r="D34" s="3">
        <v>50</v>
      </c>
      <c r="E34" s="3">
        <v>50</v>
      </c>
      <c r="F34" s="3">
        <f t="shared" si="0"/>
        <v>0</v>
      </c>
    </row>
    <row r="35" spans="1:6" x14ac:dyDescent="0.4">
      <c r="A35" s="2" t="s">
        <v>122</v>
      </c>
      <c r="B35" s="3">
        <v>50</v>
      </c>
      <c r="C35" s="3">
        <v>50</v>
      </c>
      <c r="D35" s="3">
        <v>50</v>
      </c>
      <c r="E35" s="3">
        <v>50</v>
      </c>
      <c r="F35" s="3">
        <f t="shared" si="0"/>
        <v>0</v>
      </c>
    </row>
    <row r="36" spans="1:6" x14ac:dyDescent="0.4">
      <c r="A36" s="2" t="s">
        <v>41</v>
      </c>
      <c r="B36" s="3">
        <v>50</v>
      </c>
      <c r="C36" s="3">
        <v>0</v>
      </c>
      <c r="D36" s="3">
        <v>50</v>
      </c>
      <c r="E36" s="3">
        <v>50</v>
      </c>
      <c r="F36" s="3">
        <f t="shared" si="0"/>
        <v>1</v>
      </c>
    </row>
    <row r="37" spans="1:6" x14ac:dyDescent="0.4">
      <c r="A37" s="2" t="s">
        <v>24</v>
      </c>
      <c r="B37" s="3">
        <v>50</v>
      </c>
      <c r="C37" s="3">
        <v>50</v>
      </c>
      <c r="D37" s="3">
        <v>50</v>
      </c>
      <c r="E37" s="3">
        <v>50</v>
      </c>
      <c r="F37" s="3">
        <f t="shared" si="0"/>
        <v>0</v>
      </c>
    </row>
    <row r="38" spans="1:6" x14ac:dyDescent="0.4">
      <c r="A38" s="2" t="s">
        <v>178</v>
      </c>
      <c r="B38" s="3">
        <v>50</v>
      </c>
      <c r="C38" s="3">
        <v>50</v>
      </c>
      <c r="D38" s="3">
        <v>50</v>
      </c>
      <c r="E38" s="3">
        <v>50</v>
      </c>
      <c r="F38" s="3">
        <f t="shared" si="0"/>
        <v>0</v>
      </c>
    </row>
    <row r="39" spans="1:6" x14ac:dyDescent="0.4">
      <c r="A39" s="2" t="s">
        <v>65</v>
      </c>
      <c r="B39" s="3">
        <v>50</v>
      </c>
      <c r="C39" s="3">
        <v>50</v>
      </c>
      <c r="D39" s="3">
        <v>50</v>
      </c>
      <c r="E39" s="3">
        <v>50</v>
      </c>
      <c r="F39" s="3">
        <f t="shared" si="0"/>
        <v>0</v>
      </c>
    </row>
    <row r="40" spans="1:6" x14ac:dyDescent="0.4">
      <c r="A40" s="2" t="s">
        <v>152</v>
      </c>
      <c r="B40" s="3">
        <v>50</v>
      </c>
      <c r="C40" s="3">
        <v>50</v>
      </c>
      <c r="D40" s="3">
        <v>50</v>
      </c>
      <c r="E40" s="3">
        <v>50</v>
      </c>
      <c r="F40" s="3">
        <f t="shared" si="0"/>
        <v>0</v>
      </c>
    </row>
    <row r="41" spans="1:6" x14ac:dyDescent="0.4">
      <c r="A41" s="2" t="s">
        <v>168</v>
      </c>
      <c r="B41" s="3">
        <v>50</v>
      </c>
      <c r="C41" s="3">
        <v>50</v>
      </c>
      <c r="D41" s="3">
        <v>50</v>
      </c>
      <c r="E41" s="3">
        <v>50</v>
      </c>
      <c r="F41" s="3">
        <f t="shared" si="0"/>
        <v>0</v>
      </c>
    </row>
    <row r="42" spans="1:6" x14ac:dyDescent="0.4">
      <c r="A42" s="2" t="s">
        <v>70</v>
      </c>
      <c r="B42" s="3">
        <v>50</v>
      </c>
      <c r="C42" s="3">
        <v>50</v>
      </c>
      <c r="D42" s="3">
        <v>50</v>
      </c>
      <c r="E42" s="3">
        <v>50</v>
      </c>
      <c r="F42" s="3">
        <f t="shared" si="0"/>
        <v>0</v>
      </c>
    </row>
    <row r="43" spans="1:6" x14ac:dyDescent="0.4">
      <c r="A43" s="2" t="s">
        <v>107</v>
      </c>
      <c r="B43" s="3">
        <v>50</v>
      </c>
      <c r="C43" s="3">
        <v>50</v>
      </c>
      <c r="D43" s="3">
        <v>50</v>
      </c>
      <c r="E43" s="3">
        <v>50</v>
      </c>
      <c r="F43" s="3">
        <f t="shared" si="0"/>
        <v>0</v>
      </c>
    </row>
    <row r="44" spans="1:6" x14ac:dyDescent="0.4">
      <c r="A44" s="2" t="s">
        <v>31</v>
      </c>
      <c r="B44" s="3">
        <v>50</v>
      </c>
      <c r="C44" s="3">
        <v>40</v>
      </c>
      <c r="D44" s="3">
        <v>40</v>
      </c>
      <c r="E44" s="3">
        <v>0</v>
      </c>
      <c r="F44" s="3">
        <f t="shared" si="0"/>
        <v>1</v>
      </c>
    </row>
    <row r="45" spans="1:6" x14ac:dyDescent="0.4">
      <c r="A45" s="2" t="s">
        <v>173</v>
      </c>
      <c r="B45" s="3">
        <v>50</v>
      </c>
      <c r="C45" s="3">
        <v>50</v>
      </c>
      <c r="D45" s="3">
        <v>50</v>
      </c>
      <c r="E45" s="3">
        <v>50</v>
      </c>
      <c r="F45" s="3">
        <f t="shared" si="0"/>
        <v>0</v>
      </c>
    </row>
    <row r="46" spans="1:6" x14ac:dyDescent="0.4">
      <c r="A46" s="2" t="s">
        <v>36</v>
      </c>
      <c r="B46" s="3">
        <v>50</v>
      </c>
      <c r="C46" s="3">
        <v>50</v>
      </c>
      <c r="D46" s="3">
        <v>50</v>
      </c>
      <c r="E46" s="3">
        <v>50</v>
      </c>
      <c r="F46" s="3">
        <f t="shared" si="0"/>
        <v>0</v>
      </c>
    </row>
    <row r="47" spans="1:6" x14ac:dyDescent="0.4">
      <c r="A47" s="2" t="s">
        <v>336</v>
      </c>
      <c r="B47" s="3">
        <v>50</v>
      </c>
      <c r="C47" s="3">
        <v>42.439024390243901</v>
      </c>
      <c r="D47" s="3">
        <v>44.634146341463413</v>
      </c>
      <c r="E47" s="3">
        <v>42.439024390243901</v>
      </c>
      <c r="F47" s="6">
        <f>SUM(F6:F46)</f>
        <v>16</v>
      </c>
    </row>
  </sheetData>
  <conditionalFormatting pivot="1" sqref="B6:E46">
    <cfRule type="cellIs" dxfId="311" priority="2" operator="equal">
      <formula>0</formula>
    </cfRule>
  </conditionalFormatting>
  <conditionalFormatting sqref="F6:F46">
    <cfRule type="cellIs" dxfId="310" priority="1"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0ECF2-087C-49E6-B192-2FE95ED33E86}">
  <dimension ref="A1:M49"/>
  <sheetViews>
    <sheetView zoomScaleNormal="100" workbookViewId="0">
      <pane xSplit="1" ySplit="1" topLeftCell="F27" activePane="bottomRight" state="frozen"/>
      <selection pane="topRight" activeCell="B1" sqref="B1"/>
      <selection pane="bottomLeft" activeCell="A2" sqref="A2"/>
      <selection pane="bottomRight" activeCell="K45" sqref="K45:L49"/>
    </sheetView>
  </sheetViews>
  <sheetFormatPr baseColWidth="10" defaultColWidth="58.19921875" defaultRowHeight="16.8" x14ac:dyDescent="0.4"/>
  <cols>
    <col min="1" max="1" width="31.5" bestFit="1" customWidth="1"/>
    <col min="2" max="2" width="19.8984375" bestFit="1" customWidth="1"/>
    <col min="3" max="3" width="19.8984375" customWidth="1"/>
    <col min="4" max="4" width="19.5" bestFit="1" customWidth="1"/>
    <col min="5" max="5" width="19.5" customWidth="1"/>
    <col min="6" max="6" width="17.19921875" bestFit="1" customWidth="1"/>
    <col min="7" max="7" width="17.09765625" bestFit="1" customWidth="1"/>
    <col min="8" max="9" width="17.09765625" customWidth="1"/>
    <col min="10" max="10" width="17.8984375" customWidth="1"/>
    <col min="11" max="12" width="23.09765625" bestFit="1" customWidth="1"/>
    <col min="13" max="13" width="28" customWidth="1"/>
    <col min="14" max="14" width="7.69921875" customWidth="1"/>
  </cols>
  <sheetData>
    <row r="1" spans="1:13" x14ac:dyDescent="0.4">
      <c r="A1" s="7" t="s">
        <v>345</v>
      </c>
      <c r="B1" s="7" t="s">
        <v>347</v>
      </c>
      <c r="C1" s="8">
        <v>0.2</v>
      </c>
      <c r="D1" s="7" t="s">
        <v>348</v>
      </c>
      <c r="E1" s="8">
        <v>0.3</v>
      </c>
      <c r="F1" s="7" t="s">
        <v>349</v>
      </c>
      <c r="G1" s="7" t="s">
        <v>350</v>
      </c>
      <c r="H1" s="7" t="s">
        <v>351</v>
      </c>
      <c r="I1" s="8">
        <v>0.5</v>
      </c>
      <c r="J1" s="9" t="s">
        <v>352</v>
      </c>
      <c r="K1" s="9" t="s">
        <v>353</v>
      </c>
      <c r="L1" s="9" t="s">
        <v>354</v>
      </c>
      <c r="M1" s="7" t="s">
        <v>739</v>
      </c>
    </row>
    <row r="2" spans="1:13" x14ac:dyDescent="0.4">
      <c r="A2" s="2" t="s">
        <v>210</v>
      </c>
      <c r="B2" s="11">
        <f>_xlfn.XLOOKUP(A2,Notas_Corte_1!A4:A46,Notas_Corte_1!B4:B46,"na",0)</f>
        <v>47</v>
      </c>
      <c r="C2" s="12">
        <f t="shared" ref="C2:C42" si="0">B2*$B$47</f>
        <v>9.4</v>
      </c>
      <c r="D2" s="11">
        <f>_xlfn.XLOOKUP(A2,Notas_Corte_1!A4:A46,Notas_Corte_1!C4:C46,"na",0)</f>
        <v>45</v>
      </c>
      <c r="E2" s="12">
        <f t="shared" ref="E2:E42" si="1">D2*$B$46</f>
        <v>13.5</v>
      </c>
      <c r="F2" s="11">
        <f>_xlfn.XLOOKUP(A2,Notas_Corte_1!A4:A46,Notas_Corte_1!D4:D46,"na",0)</f>
        <v>60</v>
      </c>
      <c r="G2" s="11">
        <f>_xlfn.XLOOKUP(A2,Notas_Detalle_Corte_1!A5:A47,Notas_Detalle_Corte_1!K5:K47,"na",0)</f>
        <v>0</v>
      </c>
      <c r="H2" s="11">
        <f>F2+G2</f>
        <v>60</v>
      </c>
      <c r="I2" s="12">
        <f t="shared" ref="I2:I42" si="2">H2*$B$45</f>
        <v>30</v>
      </c>
      <c r="J2" s="11">
        <f>C2+E2+I2</f>
        <v>52.9</v>
      </c>
      <c r="K2" s="13">
        <v>50</v>
      </c>
      <c r="L2" s="14">
        <f>K2/10</f>
        <v>5</v>
      </c>
      <c r="M2" s="14">
        <f>J2-50</f>
        <v>2.8999999999999986</v>
      </c>
    </row>
    <row r="3" spans="1:13" x14ac:dyDescent="0.4">
      <c r="A3" s="2" t="s">
        <v>89</v>
      </c>
      <c r="B3" s="11">
        <f>_xlfn.XLOOKUP(A3,Notas_Corte_1!A5:A47,Notas_Corte_1!B5:B47,"na",0)</f>
        <v>17.5</v>
      </c>
      <c r="C3" s="12">
        <f t="shared" si="0"/>
        <v>3.5</v>
      </c>
      <c r="D3" s="11">
        <f>_xlfn.XLOOKUP(A3,Notas_Corte_1!A5:A47,Notas_Corte_1!C5:C47,"na",0)</f>
        <v>0</v>
      </c>
      <c r="E3" s="12">
        <f t="shared" si="1"/>
        <v>0</v>
      </c>
      <c r="F3" s="11">
        <f>_xlfn.XLOOKUP(A3,Notas_Corte_1!A5:A47,Notas_Corte_1!D5:D47,"na",0)</f>
        <v>50</v>
      </c>
      <c r="G3" s="11">
        <f>_xlfn.XLOOKUP(A3,Notas_Detalle_Corte_1!A6:A48,Notas_Detalle_Corte_1!K6:K48,"na",0)</f>
        <v>6</v>
      </c>
      <c r="H3" s="11">
        <f t="shared" ref="H3:H32" si="3">F3+G3</f>
        <v>56</v>
      </c>
      <c r="I3" s="12">
        <f t="shared" si="2"/>
        <v>28</v>
      </c>
      <c r="J3" s="11">
        <f t="shared" ref="J3:J32" si="4">C3+E3+I3</f>
        <v>31.5</v>
      </c>
      <c r="K3" s="13">
        <f>J3</f>
        <v>31.5</v>
      </c>
      <c r="L3" s="14">
        <f t="shared" ref="L3:L32" si="5">K3/10</f>
        <v>3.15</v>
      </c>
      <c r="M3" s="14">
        <v>0</v>
      </c>
    </row>
    <row r="4" spans="1:13" x14ac:dyDescent="0.4">
      <c r="A4" s="2" t="s">
        <v>94</v>
      </c>
      <c r="B4" s="11">
        <f>_xlfn.XLOOKUP(A4,Notas_Corte_1!A6:A48,Notas_Corte_1!B6:B48,"na",0)</f>
        <v>25</v>
      </c>
      <c r="C4" s="12">
        <f t="shared" si="0"/>
        <v>5</v>
      </c>
      <c r="D4" s="11">
        <f>_xlfn.XLOOKUP(A4,Notas_Corte_1!A6:A48,Notas_Corte_1!C6:C48,"na",0)</f>
        <v>0</v>
      </c>
      <c r="E4" s="12">
        <f t="shared" si="1"/>
        <v>0</v>
      </c>
      <c r="F4" s="11">
        <f>_xlfn.XLOOKUP(A4,Notas_Corte_1!A6:A48,Notas_Corte_1!D6:D48,"na",0)</f>
        <v>45</v>
      </c>
      <c r="G4" s="11">
        <f>_xlfn.XLOOKUP(A4,Notas_Detalle_Corte_1!A7:A49,Notas_Detalle_Corte_1!K7:K49,"na",0)</f>
        <v>10</v>
      </c>
      <c r="H4" s="11">
        <f t="shared" si="3"/>
        <v>55</v>
      </c>
      <c r="I4" s="12">
        <f t="shared" si="2"/>
        <v>27.5</v>
      </c>
      <c r="J4" s="11">
        <f t="shared" si="4"/>
        <v>32.5</v>
      </c>
      <c r="K4" s="13">
        <f>J4</f>
        <v>32.5</v>
      </c>
      <c r="L4" s="14">
        <f t="shared" si="5"/>
        <v>3.25</v>
      </c>
      <c r="M4" s="14">
        <v>0</v>
      </c>
    </row>
    <row r="5" spans="1:13" x14ac:dyDescent="0.4">
      <c r="A5" s="2" t="s">
        <v>99</v>
      </c>
      <c r="B5" s="11">
        <f>_xlfn.XLOOKUP(A5,Notas_Corte_1!A7:A49,Notas_Corte_1!B7:B49,"na",0)</f>
        <v>48.5</v>
      </c>
      <c r="C5" s="12">
        <f t="shared" si="0"/>
        <v>9.7000000000000011</v>
      </c>
      <c r="D5" s="11">
        <f>_xlfn.XLOOKUP(A5,Notas_Corte_1!A7:A49,Notas_Corte_1!C7:C49,"na",0)</f>
        <v>50</v>
      </c>
      <c r="E5" s="12">
        <f t="shared" si="1"/>
        <v>15</v>
      </c>
      <c r="F5" s="11">
        <f>_xlfn.XLOOKUP(A5,Notas_Corte_1!A7:A49,Notas_Corte_1!D7:D49,"na",0)</f>
        <v>60</v>
      </c>
      <c r="G5" s="11">
        <f>_xlfn.XLOOKUP(A5,Notas_Detalle_Corte_1!A8:A50,Notas_Detalle_Corte_1!K8:K50,"na",0)</f>
        <v>10</v>
      </c>
      <c r="H5" s="11">
        <f t="shared" si="3"/>
        <v>70</v>
      </c>
      <c r="I5" s="12">
        <f t="shared" si="2"/>
        <v>35</v>
      </c>
      <c r="J5" s="11">
        <f t="shared" si="4"/>
        <v>59.7</v>
      </c>
      <c r="K5" s="13">
        <v>50</v>
      </c>
      <c r="L5" s="14">
        <f t="shared" si="5"/>
        <v>5</v>
      </c>
      <c r="M5" s="14">
        <f t="shared" ref="M5:M42" si="6">J5-50</f>
        <v>9.7000000000000028</v>
      </c>
    </row>
    <row r="6" spans="1:13" x14ac:dyDescent="0.4">
      <c r="A6" s="2" t="s">
        <v>147</v>
      </c>
      <c r="B6" s="11">
        <f>_xlfn.XLOOKUP(A6,Notas_Corte_1!A8:A50,Notas_Corte_1!B8:B50,"na",0)</f>
        <v>46</v>
      </c>
      <c r="C6" s="12">
        <f t="shared" si="0"/>
        <v>9.2000000000000011</v>
      </c>
      <c r="D6" s="11">
        <f>_xlfn.XLOOKUP(A6,Notas_Corte_1!A8:A50,Notas_Corte_1!C8:C50,"na",0)</f>
        <v>41</v>
      </c>
      <c r="E6" s="12">
        <f t="shared" si="1"/>
        <v>12.299999999999999</v>
      </c>
      <c r="F6" s="11">
        <f>_xlfn.XLOOKUP(A6,Notas_Corte_1!A8:A50,Notas_Corte_1!D8:D50,"na",0)</f>
        <v>55</v>
      </c>
      <c r="G6" s="11">
        <f>_xlfn.XLOOKUP(A6,Notas_Detalle_Corte_1!A9:A51,Notas_Detalle_Corte_1!K9:K51,"na",0)</f>
        <v>9</v>
      </c>
      <c r="H6" s="11">
        <f t="shared" si="3"/>
        <v>64</v>
      </c>
      <c r="I6" s="12">
        <f t="shared" si="2"/>
        <v>32</v>
      </c>
      <c r="J6" s="11">
        <f t="shared" si="4"/>
        <v>53.5</v>
      </c>
      <c r="K6" s="13">
        <v>50</v>
      </c>
      <c r="L6" s="14">
        <f t="shared" si="5"/>
        <v>5</v>
      </c>
      <c r="M6" s="14">
        <f t="shared" si="6"/>
        <v>3.5</v>
      </c>
    </row>
    <row r="7" spans="1:13" x14ac:dyDescent="0.4">
      <c r="A7" s="2" t="s">
        <v>46</v>
      </c>
      <c r="B7" s="11">
        <f>_xlfn.XLOOKUP(A7,Notas_Corte_1!A9:A51,Notas_Corte_1!B9:B51,"na",0)</f>
        <v>42.5</v>
      </c>
      <c r="C7" s="12">
        <f t="shared" si="0"/>
        <v>8.5</v>
      </c>
      <c r="D7" s="11">
        <f>_xlfn.XLOOKUP(A7,Notas_Corte_1!A9:A51,Notas_Corte_1!C9:C51,"na",0)</f>
        <v>30</v>
      </c>
      <c r="E7" s="12">
        <f t="shared" si="1"/>
        <v>9</v>
      </c>
      <c r="F7" s="11">
        <f>_xlfn.XLOOKUP(A7,Notas_Corte_1!A9:A51,Notas_Corte_1!D9:D51,"na",0)</f>
        <v>50</v>
      </c>
      <c r="G7" s="11">
        <f>_xlfn.XLOOKUP(A7,Notas_Detalle_Corte_1!A10:A52,Notas_Detalle_Corte_1!K10:K52,"na",0)</f>
        <v>9.1999999999999993</v>
      </c>
      <c r="H7" s="11">
        <f t="shared" si="3"/>
        <v>59.2</v>
      </c>
      <c r="I7" s="12">
        <f t="shared" si="2"/>
        <v>29.6</v>
      </c>
      <c r="J7" s="11">
        <f t="shared" si="4"/>
        <v>47.1</v>
      </c>
      <c r="K7" s="13">
        <f t="shared" ref="K7:K8" si="7">J7</f>
        <v>47.1</v>
      </c>
      <c r="L7" s="14">
        <f t="shared" si="5"/>
        <v>4.71</v>
      </c>
      <c r="M7" s="14">
        <v>0</v>
      </c>
    </row>
    <row r="8" spans="1:13" x14ac:dyDescent="0.4">
      <c r="A8" s="2" t="s">
        <v>183</v>
      </c>
      <c r="B8" s="11">
        <f>_xlfn.XLOOKUP(A8,Notas_Corte_1!A10:A52,Notas_Corte_1!B10:B52,"na",0)</f>
        <v>0</v>
      </c>
      <c r="C8" s="12">
        <f t="shared" si="0"/>
        <v>0</v>
      </c>
      <c r="D8" s="11">
        <f>_xlfn.XLOOKUP(A8,Notas_Corte_1!A10:A52,Notas_Corte_1!C10:C52,"na",0)</f>
        <v>0</v>
      </c>
      <c r="E8" s="12">
        <f t="shared" si="1"/>
        <v>0</v>
      </c>
      <c r="F8" s="11">
        <f>_xlfn.XLOOKUP(A8,Notas_Corte_1!A10:A52,Notas_Corte_1!D10:D52,"na",0)</f>
        <v>0</v>
      </c>
      <c r="G8" s="11">
        <f>_xlfn.XLOOKUP(A8,Notas_Detalle_Corte_1!A11:A53,Notas_Detalle_Corte_1!K11:K53,"na",0)</f>
        <v>0</v>
      </c>
      <c r="H8" s="11">
        <f t="shared" si="3"/>
        <v>0</v>
      </c>
      <c r="I8" s="12">
        <f t="shared" si="2"/>
        <v>0</v>
      </c>
      <c r="J8" s="11">
        <f t="shared" si="4"/>
        <v>0</v>
      </c>
      <c r="K8" s="13">
        <f t="shared" si="7"/>
        <v>0</v>
      </c>
      <c r="L8" s="14">
        <f t="shared" si="5"/>
        <v>0</v>
      </c>
      <c r="M8" s="14">
        <v>0</v>
      </c>
    </row>
    <row r="9" spans="1:13" x14ac:dyDescent="0.4">
      <c r="A9" s="2" t="s">
        <v>192</v>
      </c>
      <c r="B9" s="11">
        <f>_xlfn.XLOOKUP(A9,Notas_Corte_1!A11:A53,Notas_Corte_1!B11:B53,"na",0)</f>
        <v>47.5</v>
      </c>
      <c r="C9" s="12">
        <f t="shared" si="0"/>
        <v>9.5</v>
      </c>
      <c r="D9" s="11">
        <f>_xlfn.XLOOKUP(A9,Notas_Corte_1!A11:A53,Notas_Corte_1!C11:C53,"na",0)</f>
        <v>40</v>
      </c>
      <c r="E9" s="12">
        <f t="shared" si="1"/>
        <v>12</v>
      </c>
      <c r="F9" s="11">
        <f>_xlfn.XLOOKUP(A9,Notas_Corte_1!A11:A53,Notas_Corte_1!D11:D53,"na",0)</f>
        <v>60</v>
      </c>
      <c r="G9" s="11">
        <f>_xlfn.XLOOKUP(A9,Notas_Detalle_Corte_1!A12:A54,Notas_Detalle_Corte_1!K12:K54,"na",0)</f>
        <v>10</v>
      </c>
      <c r="H9" s="11">
        <f t="shared" si="3"/>
        <v>70</v>
      </c>
      <c r="I9" s="12">
        <f t="shared" si="2"/>
        <v>35</v>
      </c>
      <c r="J9" s="11">
        <f t="shared" si="4"/>
        <v>56.5</v>
      </c>
      <c r="K9" s="13">
        <v>50</v>
      </c>
      <c r="L9" s="14">
        <f t="shared" si="5"/>
        <v>5</v>
      </c>
      <c r="M9" s="14">
        <f t="shared" si="6"/>
        <v>6.5</v>
      </c>
    </row>
    <row r="10" spans="1:13" x14ac:dyDescent="0.4">
      <c r="A10" s="2" t="s">
        <v>112</v>
      </c>
      <c r="B10" s="11">
        <f>_xlfn.XLOOKUP(A10,Notas_Corte_1!A12:A54,Notas_Corte_1!B12:B54,"na",0)</f>
        <v>0</v>
      </c>
      <c r="C10" s="12">
        <f t="shared" si="0"/>
        <v>0</v>
      </c>
      <c r="D10" s="11">
        <f>_xlfn.XLOOKUP(A10,Notas_Corte_1!A12:A54,Notas_Corte_1!C12:C54,"na",0)</f>
        <v>38</v>
      </c>
      <c r="E10" s="12">
        <f t="shared" si="1"/>
        <v>11.4</v>
      </c>
      <c r="F10" s="11">
        <f>_xlfn.XLOOKUP(A10,Notas_Corte_1!A12:A54,Notas_Corte_1!D12:D54,"na",0)</f>
        <v>55</v>
      </c>
      <c r="G10" s="11">
        <f>_xlfn.XLOOKUP(A10,Notas_Detalle_Corte_1!A13:A55,Notas_Detalle_Corte_1!K13:K55,"na",0)</f>
        <v>2</v>
      </c>
      <c r="H10" s="11">
        <f t="shared" si="3"/>
        <v>57</v>
      </c>
      <c r="I10" s="12">
        <f t="shared" si="2"/>
        <v>28.5</v>
      </c>
      <c r="J10" s="11">
        <f t="shared" si="4"/>
        <v>39.9</v>
      </c>
      <c r="K10" s="13">
        <f t="shared" ref="K10:K11" si="8">J10</f>
        <v>39.9</v>
      </c>
      <c r="L10" s="14">
        <f t="shared" si="5"/>
        <v>3.9899999999999998</v>
      </c>
      <c r="M10" s="14">
        <v>0</v>
      </c>
    </row>
    <row r="11" spans="1:13" x14ac:dyDescent="0.4">
      <c r="A11" s="2" t="s">
        <v>156</v>
      </c>
      <c r="B11" s="11">
        <f>_xlfn.XLOOKUP(A11,Notas_Corte_1!A13:A55,Notas_Corte_1!B13:B55,"na",0)</f>
        <v>0</v>
      </c>
      <c r="C11" s="12">
        <f t="shared" si="0"/>
        <v>0</v>
      </c>
      <c r="D11" s="11">
        <f>_xlfn.XLOOKUP(A11,Notas_Corte_1!A13:A55,Notas_Corte_1!C13:C55,"na",0)</f>
        <v>0</v>
      </c>
      <c r="E11" s="12">
        <f t="shared" si="1"/>
        <v>0</v>
      </c>
      <c r="F11" s="11">
        <f>_xlfn.XLOOKUP(A11,Notas_Corte_1!A13:A55,Notas_Corte_1!D13:D55,"na",0)</f>
        <v>0</v>
      </c>
      <c r="G11" s="11">
        <f>_xlfn.XLOOKUP(A11,Notas_Detalle_Corte_1!A14:A56,Notas_Detalle_Corte_1!K14:K56,"na",0)</f>
        <v>0</v>
      </c>
      <c r="H11" s="11">
        <f t="shared" si="3"/>
        <v>0</v>
      </c>
      <c r="I11" s="12">
        <f t="shared" si="2"/>
        <v>0</v>
      </c>
      <c r="J11" s="11">
        <f t="shared" si="4"/>
        <v>0</v>
      </c>
      <c r="K11" s="13">
        <f t="shared" si="8"/>
        <v>0</v>
      </c>
      <c r="L11" s="14">
        <f t="shared" si="5"/>
        <v>0</v>
      </c>
      <c r="M11" s="14">
        <v>0</v>
      </c>
    </row>
    <row r="12" spans="1:13" x14ac:dyDescent="0.4">
      <c r="A12" s="2" t="s">
        <v>215</v>
      </c>
      <c r="B12" s="11">
        <f>_xlfn.XLOOKUP(A12,Notas_Corte_1!A14:A56,Notas_Corte_1!B14:B56,"na",0)</f>
        <v>43</v>
      </c>
      <c r="C12" s="12">
        <f t="shared" si="0"/>
        <v>8.6</v>
      </c>
      <c r="D12" s="11">
        <f>_xlfn.XLOOKUP(A12,Notas_Corte_1!A14:A56,Notas_Corte_1!C14:C56,"na",0)</f>
        <v>55</v>
      </c>
      <c r="E12" s="12">
        <f t="shared" si="1"/>
        <v>16.5</v>
      </c>
      <c r="F12" s="11">
        <f>_xlfn.XLOOKUP(A12,Notas_Corte_1!A14:A56,Notas_Corte_1!D14:D56,"na",0)</f>
        <v>48</v>
      </c>
      <c r="G12" s="11">
        <f>_xlfn.XLOOKUP(A12,Notas_Detalle_Corte_1!A15:A57,Notas_Detalle_Corte_1!K15:K57,"na",0)</f>
        <v>10</v>
      </c>
      <c r="H12" s="11">
        <f t="shared" si="3"/>
        <v>58</v>
      </c>
      <c r="I12" s="12">
        <f t="shared" si="2"/>
        <v>29</v>
      </c>
      <c r="J12" s="11">
        <f t="shared" si="4"/>
        <v>54.1</v>
      </c>
      <c r="K12" s="13">
        <v>50</v>
      </c>
      <c r="L12" s="14">
        <f t="shared" si="5"/>
        <v>5</v>
      </c>
      <c r="M12" s="14">
        <f t="shared" si="6"/>
        <v>4.1000000000000014</v>
      </c>
    </row>
    <row r="13" spans="1:13" x14ac:dyDescent="0.4">
      <c r="A13" s="2" t="s">
        <v>197</v>
      </c>
      <c r="B13" s="11">
        <f>_xlfn.XLOOKUP(A13,Notas_Corte_1!A15:A57,Notas_Corte_1!B15:B57,"na",0)</f>
        <v>44</v>
      </c>
      <c r="C13" s="12">
        <f t="shared" si="0"/>
        <v>8.8000000000000007</v>
      </c>
      <c r="D13" s="11">
        <f>_xlfn.XLOOKUP(A13,Notas_Corte_1!A15:A57,Notas_Corte_1!C15:C57,"na",0)</f>
        <v>0</v>
      </c>
      <c r="E13" s="12">
        <f t="shared" si="1"/>
        <v>0</v>
      </c>
      <c r="F13" s="11">
        <f>_xlfn.XLOOKUP(A13,Notas_Corte_1!A15:A57,Notas_Corte_1!D15:D57,"na",0)</f>
        <v>45</v>
      </c>
      <c r="G13" s="11">
        <f>_xlfn.XLOOKUP(A13,Notas_Detalle_Corte_1!A16:A58,Notas_Detalle_Corte_1!K16:K58,"na",0)</f>
        <v>9</v>
      </c>
      <c r="H13" s="11">
        <f t="shared" si="3"/>
        <v>54</v>
      </c>
      <c r="I13" s="12">
        <f t="shared" si="2"/>
        <v>27</v>
      </c>
      <c r="J13" s="11">
        <f t="shared" si="4"/>
        <v>35.799999999999997</v>
      </c>
      <c r="K13" s="13">
        <f t="shared" ref="K13:K16" si="9">J13</f>
        <v>35.799999999999997</v>
      </c>
      <c r="L13" s="14">
        <f t="shared" si="5"/>
        <v>3.5799999999999996</v>
      </c>
      <c r="M13" s="14">
        <v>0</v>
      </c>
    </row>
    <row r="14" spans="1:13" x14ac:dyDescent="0.4">
      <c r="A14" s="2" t="s">
        <v>60</v>
      </c>
      <c r="B14" s="11">
        <f>_xlfn.XLOOKUP(A14,Notas_Corte_1!A16:A58,Notas_Corte_1!B16:B58,"na",0)</f>
        <v>17.5</v>
      </c>
      <c r="C14" s="12">
        <f t="shared" si="0"/>
        <v>3.5</v>
      </c>
      <c r="D14" s="11">
        <f>_xlfn.XLOOKUP(A14,Notas_Corte_1!A16:A58,Notas_Corte_1!C16:C58,"na",0)</f>
        <v>10</v>
      </c>
      <c r="E14" s="12">
        <f t="shared" si="1"/>
        <v>3</v>
      </c>
      <c r="F14" s="11">
        <f>_xlfn.XLOOKUP(A14,Notas_Corte_1!A16:A58,Notas_Corte_1!D16:D58,"na",0)</f>
        <v>50</v>
      </c>
      <c r="G14" s="11">
        <f>_xlfn.XLOOKUP(A14,Notas_Detalle_Corte_1!A17:A59,Notas_Detalle_Corte_1!K17:K59,"na",0)</f>
        <v>8.5</v>
      </c>
      <c r="H14" s="11">
        <f t="shared" si="3"/>
        <v>58.5</v>
      </c>
      <c r="I14" s="12">
        <f t="shared" si="2"/>
        <v>29.25</v>
      </c>
      <c r="J14" s="11">
        <f t="shared" si="4"/>
        <v>35.75</v>
      </c>
      <c r="K14" s="13">
        <f t="shared" si="9"/>
        <v>35.75</v>
      </c>
      <c r="L14" s="14">
        <f t="shared" si="5"/>
        <v>3.5750000000000002</v>
      </c>
      <c r="M14" s="14">
        <v>0</v>
      </c>
    </row>
    <row r="15" spans="1:13" x14ac:dyDescent="0.4">
      <c r="A15" s="2" t="s">
        <v>75</v>
      </c>
      <c r="B15" s="11">
        <f>_xlfn.XLOOKUP(A15,Notas_Corte_1!A17:A59,Notas_Corte_1!B17:B59,"na",0)</f>
        <v>18</v>
      </c>
      <c r="C15" s="12">
        <f t="shared" si="0"/>
        <v>3.6</v>
      </c>
      <c r="D15" s="11">
        <f>_xlfn.XLOOKUP(A15,Notas_Corte_1!A17:A59,Notas_Corte_1!C17:C59,"na",0)</f>
        <v>55</v>
      </c>
      <c r="E15" s="12">
        <f t="shared" si="1"/>
        <v>16.5</v>
      </c>
      <c r="F15" s="11">
        <f>_xlfn.XLOOKUP(A15,Notas_Corte_1!A17:A59,Notas_Corte_1!D17:D59,"na",0)</f>
        <v>50</v>
      </c>
      <c r="G15" s="11">
        <f>_xlfn.XLOOKUP(A15,Notas_Detalle_Corte_1!A18:A60,Notas_Detalle_Corte_1!K18:K60,"na",0)</f>
        <v>9.5</v>
      </c>
      <c r="H15" s="11">
        <f t="shared" si="3"/>
        <v>59.5</v>
      </c>
      <c r="I15" s="12">
        <f t="shared" si="2"/>
        <v>29.75</v>
      </c>
      <c r="J15" s="11">
        <f t="shared" si="4"/>
        <v>49.85</v>
      </c>
      <c r="K15" s="13">
        <f t="shared" si="9"/>
        <v>49.85</v>
      </c>
      <c r="L15" s="14">
        <f t="shared" si="5"/>
        <v>4.9850000000000003</v>
      </c>
      <c r="M15" s="14">
        <v>0</v>
      </c>
    </row>
    <row r="16" spans="1:13" x14ac:dyDescent="0.4">
      <c r="A16" s="2" t="s">
        <v>163</v>
      </c>
      <c r="B16" s="11">
        <f>_xlfn.XLOOKUP(A16,Notas_Corte_1!A18:A60,Notas_Corte_1!B18:B60,"na",0)</f>
        <v>22.5</v>
      </c>
      <c r="C16" s="12">
        <f t="shared" si="0"/>
        <v>4.5</v>
      </c>
      <c r="D16" s="11">
        <f>_xlfn.XLOOKUP(A16,Notas_Corte_1!A18:A60,Notas_Corte_1!C18:C60,"na",0)</f>
        <v>30</v>
      </c>
      <c r="E16" s="12">
        <f t="shared" si="1"/>
        <v>9</v>
      </c>
      <c r="F16" s="11">
        <f>_xlfn.XLOOKUP(A16,Notas_Corte_1!A18:A60,Notas_Corte_1!D18:D60,"na",0)</f>
        <v>50</v>
      </c>
      <c r="G16" s="11">
        <f>_xlfn.XLOOKUP(A16,Notas_Detalle_Corte_1!A19:A61,Notas_Detalle_Corte_1!K19:K61,"na",0)</f>
        <v>9.1999999999999993</v>
      </c>
      <c r="H16" s="11">
        <f t="shared" si="3"/>
        <v>59.2</v>
      </c>
      <c r="I16" s="12">
        <f t="shared" si="2"/>
        <v>29.6</v>
      </c>
      <c r="J16" s="11">
        <f t="shared" si="4"/>
        <v>43.1</v>
      </c>
      <c r="K16" s="13">
        <f t="shared" si="9"/>
        <v>43.1</v>
      </c>
      <c r="L16" s="14">
        <f t="shared" si="5"/>
        <v>4.3100000000000005</v>
      </c>
      <c r="M16" s="14">
        <v>0</v>
      </c>
    </row>
    <row r="17" spans="1:13" x14ac:dyDescent="0.4">
      <c r="A17" s="2" t="s">
        <v>127</v>
      </c>
      <c r="B17" s="11">
        <f>_xlfn.XLOOKUP(A17,Notas_Corte_1!A19:A61,Notas_Corte_1!B19:B61,"na",0)</f>
        <v>37</v>
      </c>
      <c r="C17" s="12">
        <f t="shared" si="0"/>
        <v>7.4</v>
      </c>
      <c r="D17" s="11">
        <f>_xlfn.XLOOKUP(A17,Notas_Corte_1!A19:A61,Notas_Corte_1!C19:C61,"na",0)</f>
        <v>55</v>
      </c>
      <c r="E17" s="12">
        <f t="shared" si="1"/>
        <v>16.5</v>
      </c>
      <c r="F17" s="11">
        <f>_xlfn.XLOOKUP(A17,Notas_Corte_1!A19:A61,Notas_Corte_1!D19:D61,"na",0)</f>
        <v>50</v>
      </c>
      <c r="G17" s="11">
        <f>_xlfn.XLOOKUP(A17,Notas_Detalle_Corte_1!A20:A62,Notas_Detalle_Corte_1!K20:K62,"na",0)</f>
        <v>4.5</v>
      </c>
      <c r="H17" s="11">
        <f t="shared" si="3"/>
        <v>54.5</v>
      </c>
      <c r="I17" s="12">
        <f t="shared" si="2"/>
        <v>27.25</v>
      </c>
      <c r="J17" s="11">
        <f t="shared" si="4"/>
        <v>51.15</v>
      </c>
      <c r="K17" s="13">
        <v>50</v>
      </c>
      <c r="L17" s="14">
        <f t="shared" si="5"/>
        <v>5</v>
      </c>
      <c r="M17" s="14">
        <f t="shared" si="6"/>
        <v>1.1499999999999986</v>
      </c>
    </row>
    <row r="18" spans="1:13" x14ac:dyDescent="0.4">
      <c r="A18" s="2" t="s">
        <v>187</v>
      </c>
      <c r="B18" s="11">
        <f>_xlfn.XLOOKUP(A18,Notas_Corte_1!A20:A62,Notas_Corte_1!B20:B62,"na",0)</f>
        <v>33</v>
      </c>
      <c r="C18" s="12">
        <f t="shared" si="0"/>
        <v>6.6000000000000005</v>
      </c>
      <c r="D18" s="11">
        <f>_xlfn.XLOOKUP(A18,Notas_Corte_1!A20:A62,Notas_Corte_1!C20:C62,"na",0)</f>
        <v>40</v>
      </c>
      <c r="E18" s="12">
        <f t="shared" si="1"/>
        <v>12</v>
      </c>
      <c r="F18" s="11">
        <f>_xlfn.XLOOKUP(A18,Notas_Corte_1!A20:A62,Notas_Corte_1!D20:D62,"na",0)</f>
        <v>60</v>
      </c>
      <c r="G18" s="11">
        <f>_xlfn.XLOOKUP(A18,Notas_Detalle_Corte_1!A21:A63,Notas_Detalle_Corte_1!K21:K63,"na",0)</f>
        <v>10</v>
      </c>
      <c r="H18" s="11">
        <f t="shared" si="3"/>
        <v>70</v>
      </c>
      <c r="I18" s="12">
        <f t="shared" si="2"/>
        <v>35</v>
      </c>
      <c r="J18" s="11">
        <f t="shared" si="4"/>
        <v>53.6</v>
      </c>
      <c r="K18" s="13">
        <v>50</v>
      </c>
      <c r="L18" s="14">
        <f t="shared" si="5"/>
        <v>5</v>
      </c>
      <c r="M18" s="14">
        <f t="shared" si="6"/>
        <v>3.6000000000000014</v>
      </c>
    </row>
    <row r="19" spans="1:13" x14ac:dyDescent="0.4">
      <c r="A19" s="2" t="s">
        <v>201</v>
      </c>
      <c r="B19" s="11">
        <f>_xlfn.XLOOKUP(A19,Notas_Corte_1!A21:A63,Notas_Corte_1!B21:B63,"na",0)</f>
        <v>24</v>
      </c>
      <c r="C19" s="12">
        <f t="shared" si="0"/>
        <v>4.8000000000000007</v>
      </c>
      <c r="D19" s="11">
        <f>_xlfn.XLOOKUP(A19,Notas_Corte_1!A21:A63,Notas_Corte_1!C21:C63,"na",0)</f>
        <v>0</v>
      </c>
      <c r="E19" s="12">
        <f t="shared" si="1"/>
        <v>0</v>
      </c>
      <c r="F19" s="11">
        <f>_xlfn.XLOOKUP(A19,Notas_Corte_1!A21:A63,Notas_Corte_1!D21:D63,"na",0)</f>
        <v>55</v>
      </c>
      <c r="G19" s="11">
        <f>_xlfn.XLOOKUP(A19,Notas_Detalle_Corte_1!A22:A64,Notas_Detalle_Corte_1!K22:K64,"na",0)</f>
        <v>0</v>
      </c>
      <c r="H19" s="11">
        <f t="shared" si="3"/>
        <v>55</v>
      </c>
      <c r="I19" s="12">
        <f t="shared" si="2"/>
        <v>27.5</v>
      </c>
      <c r="J19" s="11">
        <f t="shared" si="4"/>
        <v>32.299999999999997</v>
      </c>
      <c r="K19" s="13">
        <f>J19</f>
        <v>32.299999999999997</v>
      </c>
      <c r="L19" s="14">
        <f t="shared" si="5"/>
        <v>3.2299999999999995</v>
      </c>
      <c r="M19" s="14">
        <v>0</v>
      </c>
    </row>
    <row r="20" spans="1:13" x14ac:dyDescent="0.4">
      <c r="A20" s="2" t="s">
        <v>142</v>
      </c>
      <c r="B20" s="11">
        <f>_xlfn.XLOOKUP(A20,Notas_Corte_1!A22:A64,Notas_Corte_1!B22:B64,"na",0)</f>
        <v>47</v>
      </c>
      <c r="C20" s="12">
        <f t="shared" si="0"/>
        <v>9.4</v>
      </c>
      <c r="D20" s="11">
        <f>_xlfn.XLOOKUP(A20,Notas_Corte_1!A22:A64,Notas_Corte_1!C22:C64,"na",0)</f>
        <v>55</v>
      </c>
      <c r="E20" s="12">
        <f t="shared" si="1"/>
        <v>16.5</v>
      </c>
      <c r="F20" s="11">
        <f>_xlfn.XLOOKUP(A20,Notas_Corte_1!A22:A64,Notas_Corte_1!D22:D64,"na",0)</f>
        <v>60</v>
      </c>
      <c r="G20" s="11">
        <f>_xlfn.XLOOKUP(A20,Notas_Detalle_Corte_1!A23:A65,Notas_Detalle_Corte_1!K23:K65,"na",0)</f>
        <v>10</v>
      </c>
      <c r="H20" s="11">
        <f t="shared" si="3"/>
        <v>70</v>
      </c>
      <c r="I20" s="12">
        <f t="shared" si="2"/>
        <v>35</v>
      </c>
      <c r="J20" s="11">
        <f t="shared" si="4"/>
        <v>60.9</v>
      </c>
      <c r="K20" s="13">
        <v>50</v>
      </c>
      <c r="L20" s="14">
        <f t="shared" si="5"/>
        <v>5</v>
      </c>
      <c r="M20" s="14">
        <f t="shared" si="6"/>
        <v>10.899999999999999</v>
      </c>
    </row>
    <row r="21" spans="1:13" x14ac:dyDescent="0.4">
      <c r="A21" s="2" t="s">
        <v>132</v>
      </c>
      <c r="B21" s="11">
        <f>_xlfn.XLOOKUP(A21,Notas_Corte_1!A23:A65,Notas_Corte_1!B23:B65,"na",0)</f>
        <v>43</v>
      </c>
      <c r="C21" s="12">
        <f t="shared" si="0"/>
        <v>8.6</v>
      </c>
      <c r="D21" s="11">
        <f>_xlfn.XLOOKUP(A21,Notas_Corte_1!A23:A65,Notas_Corte_1!C23:C65,"na",0)</f>
        <v>55</v>
      </c>
      <c r="E21" s="12">
        <f t="shared" si="1"/>
        <v>16.5</v>
      </c>
      <c r="F21" s="11">
        <f>_xlfn.XLOOKUP(A21,Notas_Corte_1!A23:A65,Notas_Corte_1!D23:D65,"na",0)</f>
        <v>50</v>
      </c>
      <c r="G21" s="11">
        <f>_xlfn.XLOOKUP(A21,Notas_Detalle_Corte_1!A24:A66,Notas_Detalle_Corte_1!K24:K66,"na",0)</f>
        <v>4.5</v>
      </c>
      <c r="H21" s="11">
        <f t="shared" si="3"/>
        <v>54.5</v>
      </c>
      <c r="I21" s="12">
        <f t="shared" si="2"/>
        <v>27.25</v>
      </c>
      <c r="J21" s="11">
        <f t="shared" si="4"/>
        <v>52.35</v>
      </c>
      <c r="K21" s="13">
        <v>50</v>
      </c>
      <c r="L21" s="14">
        <f t="shared" si="5"/>
        <v>5</v>
      </c>
      <c r="M21" s="14">
        <f t="shared" si="6"/>
        <v>2.3500000000000014</v>
      </c>
    </row>
    <row r="22" spans="1:13" x14ac:dyDescent="0.4">
      <c r="A22" s="2" t="s">
        <v>137</v>
      </c>
      <c r="B22" s="11">
        <f>_xlfn.XLOOKUP(A22,Notas_Corte_1!A24:A66,Notas_Corte_1!B24:B66,"na",0)</f>
        <v>50</v>
      </c>
      <c r="C22" s="12">
        <f t="shared" si="0"/>
        <v>10</v>
      </c>
      <c r="D22" s="11">
        <f>_xlfn.XLOOKUP(A22,Notas_Corte_1!A24:A66,Notas_Corte_1!C24:C66,"na",0)</f>
        <v>55</v>
      </c>
      <c r="E22" s="12">
        <f t="shared" si="1"/>
        <v>16.5</v>
      </c>
      <c r="F22" s="11">
        <f>_xlfn.XLOOKUP(A22,Notas_Corte_1!A24:A66,Notas_Corte_1!D24:D66,"na",0)</f>
        <v>65</v>
      </c>
      <c r="G22" s="11">
        <f>_xlfn.XLOOKUP(A22,Notas_Detalle_Corte_1!A25:A67,Notas_Detalle_Corte_1!K25:K67,"na",0)</f>
        <v>10</v>
      </c>
      <c r="H22" s="11">
        <f t="shared" si="3"/>
        <v>75</v>
      </c>
      <c r="I22" s="12">
        <f t="shared" si="2"/>
        <v>37.5</v>
      </c>
      <c r="J22" s="11">
        <f t="shared" si="4"/>
        <v>64</v>
      </c>
      <c r="K22" s="13">
        <v>50</v>
      </c>
      <c r="L22" s="14">
        <f t="shared" si="5"/>
        <v>5</v>
      </c>
      <c r="M22" s="14">
        <f t="shared" si="6"/>
        <v>14</v>
      </c>
    </row>
    <row r="23" spans="1:13" x14ac:dyDescent="0.4">
      <c r="A23" s="2" t="s">
        <v>80</v>
      </c>
      <c r="B23" s="11">
        <f>_xlfn.XLOOKUP(A23,Notas_Corte_1!A25:A67,Notas_Corte_1!B25:B67,"na",0)</f>
        <v>46</v>
      </c>
      <c r="C23" s="12">
        <f t="shared" si="0"/>
        <v>9.2000000000000011</v>
      </c>
      <c r="D23" s="11">
        <f>_xlfn.XLOOKUP(A23,Notas_Corte_1!A25:A67,Notas_Corte_1!C25:C67,"na",0)</f>
        <v>40</v>
      </c>
      <c r="E23" s="12">
        <f t="shared" si="1"/>
        <v>12</v>
      </c>
      <c r="F23" s="11">
        <f>_xlfn.XLOOKUP(A23,Notas_Corte_1!A25:A67,Notas_Corte_1!D25:D67,"na",0)</f>
        <v>60</v>
      </c>
      <c r="G23" s="11">
        <f>_xlfn.XLOOKUP(A23,Notas_Detalle_Corte_1!A26:A68,Notas_Detalle_Corte_1!K26:K68,"na",0)</f>
        <v>10</v>
      </c>
      <c r="H23" s="11">
        <f t="shared" si="3"/>
        <v>70</v>
      </c>
      <c r="I23" s="12">
        <f t="shared" si="2"/>
        <v>35</v>
      </c>
      <c r="J23" s="11">
        <f t="shared" si="4"/>
        <v>56.2</v>
      </c>
      <c r="K23" s="13">
        <v>50</v>
      </c>
      <c r="L23" s="14">
        <f t="shared" si="5"/>
        <v>5</v>
      </c>
      <c r="M23" s="14">
        <f t="shared" si="6"/>
        <v>6.2000000000000028</v>
      </c>
    </row>
    <row r="24" spans="1:13" x14ac:dyDescent="0.4">
      <c r="A24" s="2" t="s">
        <v>160</v>
      </c>
      <c r="B24" s="11">
        <f>_xlfn.XLOOKUP(A24,Notas_Corte_1!A26:A68,Notas_Corte_1!B26:B68,"na",0)</f>
        <v>50</v>
      </c>
      <c r="C24" s="12">
        <f t="shared" si="0"/>
        <v>10</v>
      </c>
      <c r="D24" s="11">
        <f>_xlfn.XLOOKUP(A24,Notas_Corte_1!A26:A68,Notas_Corte_1!C26:C68,"na",0)</f>
        <v>0</v>
      </c>
      <c r="E24" s="12">
        <f t="shared" si="1"/>
        <v>0</v>
      </c>
      <c r="F24" s="11">
        <f>_xlfn.XLOOKUP(A24,Notas_Corte_1!A26:A68,Notas_Corte_1!D26:D68,"na",0)</f>
        <v>45</v>
      </c>
      <c r="G24" s="11">
        <f>_xlfn.XLOOKUP(A24,Notas_Detalle_Corte_1!A27:A69,Notas_Detalle_Corte_1!K27:K69,"na",0)</f>
        <v>9</v>
      </c>
      <c r="H24" s="11">
        <f t="shared" si="3"/>
        <v>54</v>
      </c>
      <c r="I24" s="12">
        <f t="shared" si="2"/>
        <v>27</v>
      </c>
      <c r="J24" s="11">
        <f t="shared" si="4"/>
        <v>37</v>
      </c>
      <c r="K24" s="13">
        <f>J24</f>
        <v>37</v>
      </c>
      <c r="L24" s="14">
        <f t="shared" si="5"/>
        <v>3.7</v>
      </c>
      <c r="M24" s="14">
        <v>0</v>
      </c>
    </row>
    <row r="25" spans="1:13" x14ac:dyDescent="0.4">
      <c r="A25" s="2" t="s">
        <v>104</v>
      </c>
      <c r="B25" s="11">
        <f>_xlfn.XLOOKUP(A25,Notas_Corte_1!A27:A69,Notas_Corte_1!B27:B69,"na",0)</f>
        <v>20</v>
      </c>
      <c r="C25" s="12">
        <f t="shared" si="0"/>
        <v>4</v>
      </c>
      <c r="D25" s="11">
        <f>_xlfn.XLOOKUP(A25,Notas_Corte_1!A27:A69,Notas_Corte_1!C27:C69,"na",0)</f>
        <v>55</v>
      </c>
      <c r="E25" s="12">
        <f t="shared" si="1"/>
        <v>16.5</v>
      </c>
      <c r="F25" s="11">
        <f>_xlfn.XLOOKUP(A25,Notas_Corte_1!A27:A69,Notas_Corte_1!D27:D69,"na",0)</f>
        <v>50</v>
      </c>
      <c r="G25" s="11">
        <f>_xlfn.XLOOKUP(A25,Notas_Detalle_Corte_1!A28:A70,Notas_Detalle_Corte_1!K28:K70,"na",0)</f>
        <v>10</v>
      </c>
      <c r="H25" s="11">
        <f t="shared" si="3"/>
        <v>60</v>
      </c>
      <c r="I25" s="12">
        <f t="shared" si="2"/>
        <v>30</v>
      </c>
      <c r="J25" s="11">
        <f t="shared" si="4"/>
        <v>50.5</v>
      </c>
      <c r="K25" s="13">
        <v>50</v>
      </c>
      <c r="L25" s="14">
        <f t="shared" si="5"/>
        <v>5</v>
      </c>
      <c r="M25" s="14">
        <f t="shared" si="6"/>
        <v>0.5</v>
      </c>
    </row>
    <row r="26" spans="1:13" x14ac:dyDescent="0.4">
      <c r="A26" s="2" t="s">
        <v>85</v>
      </c>
      <c r="B26" s="11">
        <f>_xlfn.XLOOKUP(A26,Notas_Corte_1!A28:A70,Notas_Corte_1!B28:B70,"na",0)</f>
        <v>50</v>
      </c>
      <c r="C26" s="12">
        <f t="shared" si="0"/>
        <v>10</v>
      </c>
      <c r="D26" s="11">
        <f>_xlfn.XLOOKUP(A26,Notas_Corte_1!A28:A70,Notas_Corte_1!C28:C70,"na",0)</f>
        <v>55</v>
      </c>
      <c r="E26" s="12">
        <f t="shared" si="1"/>
        <v>16.5</v>
      </c>
      <c r="F26" s="11">
        <f>_xlfn.XLOOKUP(A26,Notas_Corte_1!A28:A70,Notas_Corte_1!D28:D70,"na",0)</f>
        <v>50</v>
      </c>
      <c r="G26" s="11">
        <f>_xlfn.XLOOKUP(A26,Notas_Detalle_Corte_1!A29:A71,Notas_Detalle_Corte_1!K29:K71,"na",0)</f>
        <v>5</v>
      </c>
      <c r="H26" s="11">
        <f t="shared" si="3"/>
        <v>55</v>
      </c>
      <c r="I26" s="12">
        <f t="shared" si="2"/>
        <v>27.5</v>
      </c>
      <c r="J26" s="11">
        <f t="shared" si="4"/>
        <v>54</v>
      </c>
      <c r="K26" s="13">
        <v>50</v>
      </c>
      <c r="L26" s="14">
        <f t="shared" si="5"/>
        <v>5</v>
      </c>
      <c r="M26" s="14">
        <f t="shared" si="6"/>
        <v>4</v>
      </c>
    </row>
    <row r="27" spans="1:13" x14ac:dyDescent="0.4">
      <c r="A27" s="2" t="s">
        <v>51</v>
      </c>
      <c r="B27" s="11">
        <f>_xlfn.XLOOKUP(A27,Notas_Corte_1!A29:A71,Notas_Corte_1!B29:B71,"na",0)</f>
        <v>45</v>
      </c>
      <c r="C27" s="12">
        <f t="shared" si="0"/>
        <v>9</v>
      </c>
      <c r="D27" s="11">
        <f>_xlfn.XLOOKUP(A27,Notas_Corte_1!A29:A71,Notas_Corte_1!C29:C71,"na",0)</f>
        <v>0</v>
      </c>
      <c r="E27" s="12">
        <f t="shared" si="1"/>
        <v>0</v>
      </c>
      <c r="F27" s="11">
        <f>_xlfn.XLOOKUP(A27,Notas_Corte_1!A29:A71,Notas_Corte_1!D29:D71,"na",0)</f>
        <v>50</v>
      </c>
      <c r="G27" s="11">
        <f>_xlfn.XLOOKUP(A27,Notas_Detalle_Corte_1!A30:A72,Notas_Detalle_Corte_1!K30:K72,"na",0)</f>
        <v>0</v>
      </c>
      <c r="H27" s="11">
        <f t="shared" si="3"/>
        <v>50</v>
      </c>
      <c r="I27" s="12">
        <f t="shared" si="2"/>
        <v>25</v>
      </c>
      <c r="J27" s="11">
        <f t="shared" si="4"/>
        <v>34</v>
      </c>
      <c r="K27" s="13">
        <f>J27</f>
        <v>34</v>
      </c>
      <c r="L27" s="14">
        <f t="shared" si="5"/>
        <v>3.4</v>
      </c>
      <c r="M27" s="14">
        <v>0</v>
      </c>
    </row>
    <row r="28" spans="1:13" x14ac:dyDescent="0.4">
      <c r="A28" s="2" t="s">
        <v>56</v>
      </c>
      <c r="B28" s="11">
        <f>_xlfn.XLOOKUP(A28,Notas_Corte_1!A30:A72,Notas_Corte_1!B30:B72,"na",0)</f>
        <v>50</v>
      </c>
      <c r="C28" s="12">
        <f t="shared" si="0"/>
        <v>10</v>
      </c>
      <c r="D28" s="11">
        <f>_xlfn.XLOOKUP(A28,Notas_Corte_1!A30:A72,Notas_Corte_1!C30:C72,"na",0)</f>
        <v>50</v>
      </c>
      <c r="E28" s="12">
        <f t="shared" si="1"/>
        <v>15</v>
      </c>
      <c r="F28" s="11">
        <f>_xlfn.XLOOKUP(A28,Notas_Corte_1!A30:A72,Notas_Corte_1!D30:D72,"na",0)</f>
        <v>60</v>
      </c>
      <c r="G28" s="11">
        <f>_xlfn.XLOOKUP(A28,Notas_Detalle_Corte_1!A31:A73,Notas_Detalle_Corte_1!K31:K73,"na",0)</f>
        <v>10</v>
      </c>
      <c r="H28" s="11">
        <f t="shared" si="3"/>
        <v>70</v>
      </c>
      <c r="I28" s="12">
        <f t="shared" si="2"/>
        <v>35</v>
      </c>
      <c r="J28" s="11">
        <f t="shared" si="4"/>
        <v>60</v>
      </c>
      <c r="K28" s="13">
        <v>50</v>
      </c>
      <c r="L28" s="14">
        <f t="shared" si="5"/>
        <v>5</v>
      </c>
      <c r="M28" s="14">
        <f t="shared" si="6"/>
        <v>10</v>
      </c>
    </row>
    <row r="29" spans="1:13" x14ac:dyDescent="0.4">
      <c r="A29" s="2" t="s">
        <v>205</v>
      </c>
      <c r="B29" s="11">
        <f>_xlfn.XLOOKUP(A29,Notas_Corte_1!A31:A73,Notas_Corte_1!B31:B73,"na",0)</f>
        <v>28</v>
      </c>
      <c r="C29" s="12">
        <f t="shared" si="0"/>
        <v>5.6000000000000005</v>
      </c>
      <c r="D29" s="11">
        <f>_xlfn.XLOOKUP(A29,Notas_Corte_1!A31:A73,Notas_Corte_1!C31:C73,"na",0)</f>
        <v>40</v>
      </c>
      <c r="E29" s="12">
        <f t="shared" si="1"/>
        <v>12</v>
      </c>
      <c r="F29" s="11">
        <f>_xlfn.XLOOKUP(A29,Notas_Corte_1!A31:A73,Notas_Corte_1!D31:D73,"na",0)</f>
        <v>60</v>
      </c>
      <c r="G29" s="11">
        <f>_xlfn.XLOOKUP(A29,Notas_Detalle_Corte_1!A32:A74,Notas_Detalle_Corte_1!K32:K74,"na",0)</f>
        <v>10</v>
      </c>
      <c r="H29" s="11">
        <f t="shared" si="3"/>
        <v>70</v>
      </c>
      <c r="I29" s="12">
        <f t="shared" si="2"/>
        <v>35</v>
      </c>
      <c r="J29" s="11">
        <f t="shared" si="4"/>
        <v>52.6</v>
      </c>
      <c r="K29" s="13">
        <v>50</v>
      </c>
      <c r="L29" s="14">
        <f t="shared" si="5"/>
        <v>5</v>
      </c>
      <c r="M29" s="14">
        <f t="shared" si="6"/>
        <v>2.6000000000000014</v>
      </c>
    </row>
    <row r="30" spans="1:13" x14ac:dyDescent="0.4">
      <c r="A30" s="2" t="s">
        <v>117</v>
      </c>
      <c r="B30" s="11">
        <f>_xlfn.XLOOKUP(A30,Notas_Corte_1!A32:A74,Notas_Corte_1!B32:B74,"na",0)</f>
        <v>43</v>
      </c>
      <c r="C30" s="12">
        <f t="shared" si="0"/>
        <v>8.6</v>
      </c>
      <c r="D30" s="11">
        <f>_xlfn.XLOOKUP(A30,Notas_Corte_1!A32:A74,Notas_Corte_1!C32:C74,"na",0)</f>
        <v>55</v>
      </c>
      <c r="E30" s="12">
        <f t="shared" si="1"/>
        <v>16.5</v>
      </c>
      <c r="F30" s="11">
        <f>_xlfn.XLOOKUP(A30,Notas_Corte_1!A32:A74,Notas_Corte_1!D32:D74,"na",0)</f>
        <v>48</v>
      </c>
      <c r="G30" s="11">
        <f>_xlfn.XLOOKUP(A30,Notas_Detalle_Corte_1!A33:A75,Notas_Detalle_Corte_1!K33:K75,"na",0)</f>
        <v>10</v>
      </c>
      <c r="H30" s="11">
        <f t="shared" si="3"/>
        <v>58</v>
      </c>
      <c r="I30" s="12">
        <f t="shared" si="2"/>
        <v>29</v>
      </c>
      <c r="J30" s="11">
        <f t="shared" si="4"/>
        <v>54.1</v>
      </c>
      <c r="K30" s="13">
        <v>50</v>
      </c>
      <c r="L30" s="14">
        <f t="shared" si="5"/>
        <v>5</v>
      </c>
      <c r="M30" s="14">
        <f t="shared" si="6"/>
        <v>4.1000000000000014</v>
      </c>
    </row>
    <row r="31" spans="1:13" x14ac:dyDescent="0.4">
      <c r="A31" s="2" t="s">
        <v>122</v>
      </c>
      <c r="B31" s="11">
        <f>_xlfn.XLOOKUP(A31,Notas_Corte_1!A33:A75,Notas_Corte_1!B33:B75,"na",0)</f>
        <v>50</v>
      </c>
      <c r="C31" s="12">
        <f t="shared" si="0"/>
        <v>10</v>
      </c>
      <c r="D31" s="11">
        <f>_xlfn.XLOOKUP(A31,Notas_Corte_1!A33:A75,Notas_Corte_1!C33:C75,"na",0)</f>
        <v>50</v>
      </c>
      <c r="E31" s="12">
        <f t="shared" si="1"/>
        <v>15</v>
      </c>
      <c r="F31" s="11">
        <f>_xlfn.XLOOKUP(A31,Notas_Corte_1!A33:A75,Notas_Corte_1!D33:D75,"na",0)</f>
        <v>60</v>
      </c>
      <c r="G31" s="11">
        <f>_xlfn.XLOOKUP(A31,Notas_Detalle_Corte_1!A34:A76,Notas_Detalle_Corte_1!K34:K76,"na",0)</f>
        <v>10</v>
      </c>
      <c r="H31" s="11">
        <f t="shared" si="3"/>
        <v>70</v>
      </c>
      <c r="I31" s="12">
        <f t="shared" si="2"/>
        <v>35</v>
      </c>
      <c r="J31" s="11">
        <f t="shared" si="4"/>
        <v>60</v>
      </c>
      <c r="K31" s="13">
        <v>50</v>
      </c>
      <c r="L31" s="14">
        <f t="shared" si="5"/>
        <v>5</v>
      </c>
      <c r="M31" s="14">
        <f t="shared" si="6"/>
        <v>10</v>
      </c>
    </row>
    <row r="32" spans="1:13" x14ac:dyDescent="0.4">
      <c r="A32" s="2" t="s">
        <v>41</v>
      </c>
      <c r="B32" s="11">
        <f>_xlfn.XLOOKUP(A32,Notas_Corte_1!A34:A76,Notas_Corte_1!B34:B76,"na",0)</f>
        <v>47.5</v>
      </c>
      <c r="C32" s="12">
        <f t="shared" si="0"/>
        <v>9.5</v>
      </c>
      <c r="D32" s="11">
        <f>_xlfn.XLOOKUP(A32,Notas_Corte_1!A34:A76,Notas_Corte_1!C34:C76,"na",0)</f>
        <v>30</v>
      </c>
      <c r="E32" s="12">
        <f t="shared" si="1"/>
        <v>9</v>
      </c>
      <c r="F32" s="11">
        <f>_xlfn.XLOOKUP(A32,Notas_Corte_1!A34:A76,Notas_Corte_1!D34:D76,"na",0)</f>
        <v>50</v>
      </c>
      <c r="G32" s="11">
        <f>_xlfn.XLOOKUP(A32,Notas_Detalle_Corte_1!A35:A77,Notas_Detalle_Corte_1!K35:K77,"na",0)</f>
        <v>9.1999999999999993</v>
      </c>
      <c r="H32" s="11">
        <f t="shared" si="3"/>
        <v>59.2</v>
      </c>
      <c r="I32" s="12">
        <f t="shared" si="2"/>
        <v>29.6</v>
      </c>
      <c r="J32" s="11">
        <f t="shared" si="4"/>
        <v>48.1</v>
      </c>
      <c r="K32" s="13">
        <f>J32</f>
        <v>48.1</v>
      </c>
      <c r="L32" s="14">
        <f t="shared" si="5"/>
        <v>4.8100000000000005</v>
      </c>
      <c r="M32" s="14">
        <v>0</v>
      </c>
    </row>
    <row r="33" spans="1:13" x14ac:dyDescent="0.4">
      <c r="A33" s="2" t="s">
        <v>24</v>
      </c>
      <c r="B33" s="11">
        <f>_xlfn.XLOOKUP(A33,Notas_Corte_1!A35:A77,Notas_Corte_1!B35:B77,"na",0)</f>
        <v>50</v>
      </c>
      <c r="C33" s="12">
        <f t="shared" si="0"/>
        <v>10</v>
      </c>
      <c r="D33" s="11">
        <f>_xlfn.XLOOKUP(A33,Notas_Corte_1!A35:A77,Notas_Corte_1!C35:C77,"na",0)</f>
        <v>50</v>
      </c>
      <c r="E33" s="12">
        <f t="shared" si="1"/>
        <v>15</v>
      </c>
      <c r="F33" s="11">
        <f>_xlfn.XLOOKUP(A33,Notas_Corte_1!A35:A77,Notas_Corte_1!D35:D77,"na",0)</f>
        <v>50</v>
      </c>
      <c r="G33" s="11">
        <f>_xlfn.XLOOKUP(A33,Notas_Detalle_Corte_1!A36:A78,Notas_Detalle_Corte_1!K36:K78,"na",0)</f>
        <v>10</v>
      </c>
      <c r="H33" s="11">
        <f t="shared" ref="H33:H42" si="10">F33+G33</f>
        <v>60</v>
      </c>
      <c r="I33" s="12">
        <f t="shared" si="2"/>
        <v>30</v>
      </c>
      <c r="J33" s="11">
        <f t="shared" ref="J33:J42" si="11">C33+E33+I33</f>
        <v>55</v>
      </c>
      <c r="K33" s="13">
        <v>50</v>
      </c>
      <c r="L33" s="14">
        <f t="shared" ref="L33:L42" si="12">K33/10</f>
        <v>5</v>
      </c>
      <c r="M33" s="14">
        <f t="shared" si="6"/>
        <v>5</v>
      </c>
    </row>
    <row r="34" spans="1:13" x14ac:dyDescent="0.4">
      <c r="A34" s="2" t="s">
        <v>178</v>
      </c>
      <c r="B34" s="11">
        <f>_xlfn.XLOOKUP(A34,Notas_Corte_1!A36:A78,Notas_Corte_1!B36:B78,"na",0)</f>
        <v>47.5</v>
      </c>
      <c r="C34" s="12">
        <f t="shared" si="0"/>
        <v>9.5</v>
      </c>
      <c r="D34" s="11">
        <f>_xlfn.XLOOKUP(A34,Notas_Corte_1!A36:A78,Notas_Corte_1!C36:C78,"na",0)</f>
        <v>41</v>
      </c>
      <c r="E34" s="12">
        <f t="shared" si="1"/>
        <v>12.299999999999999</v>
      </c>
      <c r="F34" s="11">
        <f>_xlfn.XLOOKUP(A34,Notas_Corte_1!A36:A78,Notas_Corte_1!D36:D78,"na",0)</f>
        <v>55</v>
      </c>
      <c r="G34" s="11">
        <f>_xlfn.XLOOKUP(A34,Notas_Detalle_Corte_1!A37:A79,Notas_Detalle_Corte_1!K37:K79,"na",0)</f>
        <v>10</v>
      </c>
      <c r="H34" s="11">
        <f t="shared" si="10"/>
        <v>65</v>
      </c>
      <c r="I34" s="12">
        <f t="shared" si="2"/>
        <v>32.5</v>
      </c>
      <c r="J34" s="11">
        <f t="shared" si="11"/>
        <v>54.3</v>
      </c>
      <c r="K34" s="13">
        <v>50</v>
      </c>
      <c r="L34" s="14">
        <f t="shared" si="12"/>
        <v>5</v>
      </c>
      <c r="M34" s="14">
        <f t="shared" si="6"/>
        <v>4.2999999999999972</v>
      </c>
    </row>
    <row r="35" spans="1:13" x14ac:dyDescent="0.4">
      <c r="A35" s="2" t="s">
        <v>65</v>
      </c>
      <c r="B35" s="11">
        <f>_xlfn.XLOOKUP(A35,Notas_Corte_1!A37:A79,Notas_Corte_1!B37:B79,"na",0)</f>
        <v>45.5</v>
      </c>
      <c r="C35" s="12">
        <f t="shared" si="0"/>
        <v>9.1</v>
      </c>
      <c r="D35" s="11">
        <f>_xlfn.XLOOKUP(A35,Notas_Corte_1!A37:A79,Notas_Corte_1!C37:C79,"na",0)</f>
        <v>50</v>
      </c>
      <c r="E35" s="12">
        <f t="shared" si="1"/>
        <v>15</v>
      </c>
      <c r="F35" s="11">
        <f>_xlfn.XLOOKUP(A35,Notas_Corte_1!A37:A79,Notas_Corte_1!D37:D79,"na",0)</f>
        <v>43</v>
      </c>
      <c r="G35" s="11">
        <f>_xlfn.XLOOKUP(A35,Notas_Detalle_Corte_1!A38:A80,Notas_Detalle_Corte_1!K38:K80,"na",0)</f>
        <v>10</v>
      </c>
      <c r="H35" s="11">
        <f t="shared" si="10"/>
        <v>53</v>
      </c>
      <c r="I35" s="12">
        <f t="shared" si="2"/>
        <v>26.5</v>
      </c>
      <c r="J35" s="11">
        <f t="shared" si="11"/>
        <v>50.6</v>
      </c>
      <c r="K35" s="13">
        <v>50</v>
      </c>
      <c r="L35" s="14">
        <f t="shared" si="12"/>
        <v>5</v>
      </c>
      <c r="M35" s="14">
        <f t="shared" si="6"/>
        <v>0.60000000000000142</v>
      </c>
    </row>
    <row r="36" spans="1:13" x14ac:dyDescent="0.4">
      <c r="A36" s="2" t="s">
        <v>152</v>
      </c>
      <c r="B36" s="11">
        <f>_xlfn.XLOOKUP(A36,Notas_Corte_1!A38:A80,Notas_Corte_1!B38:B80,"na",0)</f>
        <v>0</v>
      </c>
      <c r="C36" s="12">
        <f t="shared" si="0"/>
        <v>0</v>
      </c>
      <c r="D36" s="11">
        <f>_xlfn.XLOOKUP(A36,Notas_Corte_1!A38:A80,Notas_Corte_1!C38:C80,"na",0)</f>
        <v>38</v>
      </c>
      <c r="E36" s="12">
        <f t="shared" si="1"/>
        <v>11.4</v>
      </c>
      <c r="F36" s="11">
        <f>_xlfn.XLOOKUP(A36,Notas_Corte_1!A38:A80,Notas_Corte_1!D38:D80,"na",0)</f>
        <v>55</v>
      </c>
      <c r="G36" s="11">
        <f>_xlfn.XLOOKUP(A36,Notas_Detalle_Corte_1!A39:A81,Notas_Detalle_Corte_1!K39:K81,"na",0)</f>
        <v>0</v>
      </c>
      <c r="H36" s="11">
        <f t="shared" si="10"/>
        <v>55</v>
      </c>
      <c r="I36" s="12">
        <f t="shared" si="2"/>
        <v>27.5</v>
      </c>
      <c r="J36" s="11">
        <f t="shared" si="11"/>
        <v>38.9</v>
      </c>
      <c r="K36" s="13">
        <f>J36</f>
        <v>38.9</v>
      </c>
      <c r="L36" s="14">
        <f t="shared" si="12"/>
        <v>3.8899999999999997</v>
      </c>
      <c r="M36" s="14">
        <v>0</v>
      </c>
    </row>
    <row r="37" spans="1:13" x14ac:dyDescent="0.4">
      <c r="A37" s="2" t="s">
        <v>168</v>
      </c>
      <c r="B37" s="11">
        <f>_xlfn.XLOOKUP(A37,Notas_Corte_1!A39:A81,Notas_Corte_1!B39:B81,"na",0)</f>
        <v>49</v>
      </c>
      <c r="C37" s="12">
        <f t="shared" si="0"/>
        <v>9.8000000000000007</v>
      </c>
      <c r="D37" s="11">
        <f>_xlfn.XLOOKUP(A37,Notas_Corte_1!A39:A81,Notas_Corte_1!C39:C81,"na",0)</f>
        <v>50</v>
      </c>
      <c r="E37" s="12">
        <f t="shared" si="1"/>
        <v>15</v>
      </c>
      <c r="F37" s="11">
        <f>_xlfn.XLOOKUP(A37,Notas_Corte_1!A39:A81,Notas_Corte_1!D39:D81,"na",0)</f>
        <v>43</v>
      </c>
      <c r="G37" s="11">
        <f>_xlfn.XLOOKUP(A37,Notas_Detalle_Corte_1!A40:A82,Notas_Detalle_Corte_1!K40:K82,"na",0)</f>
        <v>10</v>
      </c>
      <c r="H37" s="11">
        <f t="shared" si="10"/>
        <v>53</v>
      </c>
      <c r="I37" s="12">
        <f t="shared" si="2"/>
        <v>26.5</v>
      </c>
      <c r="J37" s="11">
        <f t="shared" si="11"/>
        <v>51.3</v>
      </c>
      <c r="K37" s="13">
        <v>50</v>
      </c>
      <c r="L37" s="14">
        <f t="shared" si="12"/>
        <v>5</v>
      </c>
      <c r="M37" s="14">
        <f t="shared" si="6"/>
        <v>1.2999999999999972</v>
      </c>
    </row>
    <row r="38" spans="1:13" x14ac:dyDescent="0.4">
      <c r="A38" s="2" t="s">
        <v>70</v>
      </c>
      <c r="B38" s="11">
        <f>_xlfn.XLOOKUP(A38,Notas_Corte_1!A40:A82,Notas_Corte_1!B40:B82,"na",0)</f>
        <v>49</v>
      </c>
      <c r="C38" s="12">
        <f t="shared" si="0"/>
        <v>9.8000000000000007</v>
      </c>
      <c r="D38" s="11">
        <f>_xlfn.XLOOKUP(A38,Notas_Corte_1!A40:A82,Notas_Corte_1!C40:C82,"na",0)</f>
        <v>50</v>
      </c>
      <c r="E38" s="12">
        <f t="shared" si="1"/>
        <v>15</v>
      </c>
      <c r="F38" s="11">
        <f>_xlfn.XLOOKUP(A38,Notas_Corte_1!A40:A82,Notas_Corte_1!D40:D82,"na",0)</f>
        <v>43</v>
      </c>
      <c r="G38" s="11">
        <f>_xlfn.XLOOKUP(A38,Notas_Detalle_Corte_1!A41:A83,Notas_Detalle_Corte_1!K41:K83,"na",0)</f>
        <v>10</v>
      </c>
      <c r="H38" s="11">
        <f t="shared" si="10"/>
        <v>53</v>
      </c>
      <c r="I38" s="12">
        <f t="shared" si="2"/>
        <v>26.5</v>
      </c>
      <c r="J38" s="11">
        <f t="shared" si="11"/>
        <v>51.3</v>
      </c>
      <c r="K38" s="13">
        <v>50</v>
      </c>
      <c r="L38" s="14">
        <f t="shared" si="12"/>
        <v>5</v>
      </c>
      <c r="M38" s="14">
        <f t="shared" si="6"/>
        <v>1.2999999999999972</v>
      </c>
    </row>
    <row r="39" spans="1:13" x14ac:dyDescent="0.4">
      <c r="A39" s="2" t="s">
        <v>107</v>
      </c>
      <c r="B39" s="11">
        <f>_xlfn.XLOOKUP(A39,Notas_Corte_1!A41:A83,Notas_Corte_1!B41:B83,"na",0)</f>
        <v>40</v>
      </c>
      <c r="C39" s="12">
        <f t="shared" si="0"/>
        <v>8</v>
      </c>
      <c r="D39" s="11">
        <f>_xlfn.XLOOKUP(A39,Notas_Corte_1!A41:A83,Notas_Corte_1!C41:C83,"na",0)</f>
        <v>55</v>
      </c>
      <c r="E39" s="12">
        <f t="shared" si="1"/>
        <v>16.5</v>
      </c>
      <c r="F39" s="11">
        <f>_xlfn.XLOOKUP(A39,Notas_Corte_1!A41:A83,Notas_Corte_1!D41:D83,"na",0)</f>
        <v>48</v>
      </c>
      <c r="G39" s="11">
        <f>_xlfn.XLOOKUP(A39,Notas_Detalle_Corte_1!A42:A84,Notas_Detalle_Corte_1!K42:K84,"na",0)</f>
        <v>10</v>
      </c>
      <c r="H39" s="11">
        <f t="shared" si="10"/>
        <v>58</v>
      </c>
      <c r="I39" s="12">
        <f t="shared" si="2"/>
        <v>29</v>
      </c>
      <c r="J39" s="11">
        <f t="shared" si="11"/>
        <v>53.5</v>
      </c>
      <c r="K39" s="13">
        <v>50</v>
      </c>
      <c r="L39" s="14">
        <f t="shared" si="12"/>
        <v>5</v>
      </c>
      <c r="M39" s="14">
        <f t="shared" si="6"/>
        <v>3.5</v>
      </c>
    </row>
    <row r="40" spans="1:13" x14ac:dyDescent="0.4">
      <c r="A40" s="2" t="s">
        <v>31</v>
      </c>
      <c r="B40" s="11">
        <f>_xlfn.XLOOKUP(A40,Notas_Corte_1!A42:A84,Notas_Corte_1!B42:B84,"na",0)</f>
        <v>37.5</v>
      </c>
      <c r="C40" s="12">
        <f t="shared" si="0"/>
        <v>7.5</v>
      </c>
      <c r="D40" s="11">
        <f>_xlfn.XLOOKUP(A40,Notas_Corte_1!A42:A84,Notas_Corte_1!C42:C84,"na",0)</f>
        <v>35</v>
      </c>
      <c r="E40" s="12">
        <f t="shared" si="1"/>
        <v>10.5</v>
      </c>
      <c r="F40" s="11">
        <f>_xlfn.XLOOKUP(A40,Notas_Corte_1!A42:A84,Notas_Corte_1!D42:D84,"na",0)</f>
        <v>50</v>
      </c>
      <c r="G40" s="11">
        <f>_xlfn.XLOOKUP(A40,Notas_Detalle_Corte_1!A43:A85,Notas_Detalle_Corte_1!K43:K85,"na",0)</f>
        <v>2</v>
      </c>
      <c r="H40" s="11">
        <f t="shared" si="10"/>
        <v>52</v>
      </c>
      <c r="I40" s="12">
        <f t="shared" si="2"/>
        <v>26</v>
      </c>
      <c r="J40" s="11">
        <f t="shared" si="11"/>
        <v>44</v>
      </c>
      <c r="K40" s="13">
        <f>J40</f>
        <v>44</v>
      </c>
      <c r="L40" s="14">
        <f t="shared" si="12"/>
        <v>4.4000000000000004</v>
      </c>
      <c r="M40" s="14">
        <v>0</v>
      </c>
    </row>
    <row r="41" spans="1:13" x14ac:dyDescent="0.4">
      <c r="A41" s="2" t="s">
        <v>173</v>
      </c>
      <c r="B41" s="11">
        <f>_xlfn.XLOOKUP(A41,Notas_Corte_1!A43:A85,Notas_Corte_1!B43:B85,"na",0)</f>
        <v>50</v>
      </c>
      <c r="C41" s="12">
        <f t="shared" si="0"/>
        <v>10</v>
      </c>
      <c r="D41" s="11">
        <f>_xlfn.XLOOKUP(A41,Notas_Corte_1!A43:A85,Notas_Corte_1!C43:C85,"na",0)</f>
        <v>50</v>
      </c>
      <c r="E41" s="12">
        <f t="shared" si="1"/>
        <v>15</v>
      </c>
      <c r="F41" s="11">
        <f>_xlfn.XLOOKUP(A41,Notas_Corte_1!A43:A85,Notas_Corte_1!D43:D85,"na",0)</f>
        <v>50</v>
      </c>
      <c r="G41" s="11">
        <f>_xlfn.XLOOKUP(A41,Notas_Detalle_Corte_1!A44:A86,Notas_Detalle_Corte_1!K44:K86,"na",0)</f>
        <v>10</v>
      </c>
      <c r="H41" s="11">
        <f t="shared" si="10"/>
        <v>60</v>
      </c>
      <c r="I41" s="12">
        <f t="shared" si="2"/>
        <v>30</v>
      </c>
      <c r="J41" s="11">
        <f t="shared" si="11"/>
        <v>55</v>
      </c>
      <c r="K41" s="13">
        <v>50</v>
      </c>
      <c r="L41" s="14">
        <f t="shared" si="12"/>
        <v>5</v>
      </c>
      <c r="M41" s="14">
        <f t="shared" si="6"/>
        <v>5</v>
      </c>
    </row>
    <row r="42" spans="1:13" x14ac:dyDescent="0.4">
      <c r="A42" s="2" t="s">
        <v>36</v>
      </c>
      <c r="B42" s="11">
        <f>_xlfn.XLOOKUP(A42,Notas_Corte_1!A44:A86,Notas_Corte_1!B44:B86,"na",0)</f>
        <v>23</v>
      </c>
      <c r="C42" s="12">
        <f t="shared" si="0"/>
        <v>4.6000000000000005</v>
      </c>
      <c r="D42" s="11">
        <f>_xlfn.XLOOKUP(A42,Notas_Corte_1!A44:A86,Notas_Corte_1!C44:C86,"na",0)</f>
        <v>40</v>
      </c>
      <c r="E42" s="12">
        <f t="shared" si="1"/>
        <v>12</v>
      </c>
      <c r="F42" s="11">
        <f>_xlfn.XLOOKUP(A42,Notas_Corte_1!A44:A86,Notas_Corte_1!D44:D86,"na",0)</f>
        <v>60</v>
      </c>
      <c r="G42" s="11">
        <f>_xlfn.XLOOKUP(A42,Notas_Detalle_Corte_1!A45:A87,Notas_Detalle_Corte_1!K45:K87,"na",0)</f>
        <v>8</v>
      </c>
      <c r="H42" s="11">
        <f t="shared" si="10"/>
        <v>68</v>
      </c>
      <c r="I42" s="12">
        <f t="shared" si="2"/>
        <v>34</v>
      </c>
      <c r="J42" s="11">
        <f t="shared" si="11"/>
        <v>50.6</v>
      </c>
      <c r="K42" s="13">
        <v>50</v>
      </c>
      <c r="L42" s="14">
        <f t="shared" si="12"/>
        <v>5</v>
      </c>
      <c r="M42" s="14">
        <f t="shared" si="6"/>
        <v>0.60000000000000142</v>
      </c>
    </row>
    <row r="43" spans="1:13" x14ac:dyDescent="0.4">
      <c r="A43" s="7" t="s">
        <v>336</v>
      </c>
      <c r="B43" s="5">
        <f>_xlfn.XLOOKUP(A43,Notas_Corte_1!A45:A87,Notas_Corte_1!B45:B87,"na",0)</f>
        <v>35.951219512195124</v>
      </c>
      <c r="C43" s="15">
        <f>AVERAGE(C2:C32)</f>
        <v>6.9838709677419342</v>
      </c>
      <c r="D43" s="5">
        <f>_xlfn.XLOOKUP(A43,Notas_Corte_1!A45:A87,Notas_Corte_1!C45:C87,"na",0)</f>
        <v>36.292682926829265</v>
      </c>
      <c r="E43" s="15">
        <f>AVERAGE(E2:E32)</f>
        <v>9.9580645161290313</v>
      </c>
      <c r="F43" s="5">
        <f>_xlfn.XLOOKUP(A43,Notas_Corte_1!A45:A87,Notas_Corte_1!D45:D87,"na",0)</f>
        <v>49.951219512195124</v>
      </c>
      <c r="G43" s="5">
        <f>AVERAGE(G2:G42)</f>
        <v>7.4292682926829272</v>
      </c>
      <c r="H43" s="5">
        <f>AVERAGE(H2:H42)</f>
        <v>57.380487804878058</v>
      </c>
      <c r="I43" s="15">
        <f>AVERAGE(I2:I32)</f>
        <v>28.638709677419357</v>
      </c>
      <c r="J43" s="16">
        <f>AVERAGE(J2:J32)</f>
        <v>45.580645161290313</v>
      </c>
      <c r="K43" s="17">
        <f>AVERAGE(K2:K32)</f>
        <v>42.480645161290319</v>
      </c>
      <c r="L43" s="17">
        <f>AVERAGE(L2:L32)</f>
        <v>4.2480645161290331</v>
      </c>
      <c r="M43" s="17">
        <f>AVERAGE(M2:M32)</f>
        <v>3.0999999999999996</v>
      </c>
    </row>
    <row r="45" spans="1:13" x14ac:dyDescent="0.4">
      <c r="A45" s="7" t="s">
        <v>355</v>
      </c>
      <c r="B45" s="18">
        <v>0.5</v>
      </c>
      <c r="J45" s="43" t="s">
        <v>443</v>
      </c>
      <c r="K45" s="16">
        <f>COUNTA(K2:K42)</f>
        <v>41</v>
      </c>
    </row>
    <row r="46" spans="1:13" x14ac:dyDescent="0.4">
      <c r="A46" s="7" t="s">
        <v>356</v>
      </c>
      <c r="B46" s="18">
        <v>0.3</v>
      </c>
      <c r="J46" s="43" t="s">
        <v>439</v>
      </c>
      <c r="K46" s="16">
        <f>STDEV(K2:K42)</f>
        <v>11.816867981933246</v>
      </c>
    </row>
    <row r="47" spans="1:13" x14ac:dyDescent="0.4">
      <c r="A47" s="7" t="s">
        <v>15</v>
      </c>
      <c r="B47" s="18">
        <v>0.2</v>
      </c>
      <c r="J47" s="43" t="s">
        <v>440</v>
      </c>
      <c r="K47" s="16">
        <f>K43</f>
        <v>42.480645161290319</v>
      </c>
    </row>
    <row r="48" spans="1:13" x14ac:dyDescent="0.4">
      <c r="J48" s="43" t="s">
        <v>441</v>
      </c>
      <c r="K48" s="16">
        <f>COUNTIF(K2:K42,50)</f>
        <v>25</v>
      </c>
      <c r="L48" s="44">
        <f>K48/K45</f>
        <v>0.6097560975609756</v>
      </c>
    </row>
    <row r="49" spans="10:12" x14ac:dyDescent="0.4">
      <c r="J49" s="43" t="s">
        <v>442</v>
      </c>
      <c r="K49" s="16">
        <f>COUNTIF(K2:K42,"&lt;30")</f>
        <v>2</v>
      </c>
      <c r="L49" s="44">
        <f>K49/K45</f>
        <v>4.878048780487805E-2</v>
      </c>
    </row>
  </sheetData>
  <conditionalFormatting sqref="J2:J42">
    <cfRule type="cellIs" dxfId="186" priority="5" operator="greaterThan">
      <formula>50</formula>
    </cfRule>
  </conditionalFormatting>
  <conditionalFormatting sqref="K2:K42">
    <cfRule type="cellIs" dxfId="185" priority="2" operator="lessThan">
      <formula>30</formula>
    </cfRule>
  </conditionalFormatting>
  <conditionalFormatting sqref="M2:M42">
    <cfRule type="cellIs" dxfId="184" priority="1"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ADB4-A4E4-405C-9D31-1EC928687C42}">
  <sheetPr>
    <tabColor theme="7"/>
  </sheetPr>
  <dimension ref="A1:E42"/>
  <sheetViews>
    <sheetView workbookViewId="0">
      <pane ySplit="1" topLeftCell="A2" activePane="bottomLeft" state="frozen"/>
      <selection pane="bottomLeft" activeCell="E1" sqref="E1:E1048576"/>
    </sheetView>
  </sheetViews>
  <sheetFormatPr baseColWidth="10" defaultColWidth="8" defaultRowHeight="16.8" x14ac:dyDescent="0.4"/>
  <cols>
    <col min="1" max="1" width="14.69921875" style="20" customWidth="1"/>
    <col min="2" max="2" width="37" style="20" customWidth="1"/>
    <col min="3" max="3" width="17.3984375" style="20" customWidth="1"/>
    <col min="4" max="4" width="13.09765625" style="20" customWidth="1"/>
    <col min="5" max="5" width="31.5" style="20" bestFit="1" customWidth="1"/>
    <col min="6" max="16384" width="8" style="20"/>
  </cols>
  <sheetData>
    <row r="1" spans="1:5" x14ac:dyDescent="0.4">
      <c r="A1" s="21" t="s">
        <v>346</v>
      </c>
      <c r="B1" s="21" t="s">
        <v>345</v>
      </c>
      <c r="C1" s="21" t="s">
        <v>357</v>
      </c>
      <c r="D1" s="21" t="s">
        <v>358</v>
      </c>
      <c r="E1" s="21" t="s">
        <v>12</v>
      </c>
    </row>
    <row r="2" spans="1:5" x14ac:dyDescent="0.4">
      <c r="A2" s="38" t="s">
        <v>359</v>
      </c>
      <c r="B2" s="38" t="s">
        <v>360</v>
      </c>
      <c r="C2" s="42">
        <f>_xlfn.XLOOKUP(E2,'Corte 1_Final'!$A$2:$A$42,'Corte 1_Final'!$L$2:$L$42,"na",0)</f>
        <v>5</v>
      </c>
      <c r="D2" s="10">
        <f>_xlfn.XLOOKUP(E2,Asistencia_Corte_1!$A$6:$A$46,Asistencia_Corte_1!$F$6:$F$46,"na",0)</f>
        <v>0</v>
      </c>
      <c r="E2" s="10" t="s">
        <v>99</v>
      </c>
    </row>
    <row r="3" spans="1:5" x14ac:dyDescent="0.4">
      <c r="A3" s="38" t="s">
        <v>361</v>
      </c>
      <c r="B3" s="38" t="s">
        <v>362</v>
      </c>
      <c r="C3" s="42">
        <f>_xlfn.XLOOKUP(E3,'Corte 1_Final'!$A$2:$A$42,'Corte 1_Final'!$L$2:$L$42,"na",0)</f>
        <v>5</v>
      </c>
      <c r="D3" s="10">
        <f>_xlfn.XLOOKUP(E3,Asistencia_Corte_1!$A$6:$A$46,Asistencia_Corte_1!$F$6:$F$46,"na",0)</f>
        <v>0</v>
      </c>
      <c r="E3" s="10" t="s">
        <v>24</v>
      </c>
    </row>
    <row r="4" spans="1:5" x14ac:dyDescent="0.4">
      <c r="A4" s="38" t="s">
        <v>363</v>
      </c>
      <c r="B4" s="38" t="s">
        <v>364</v>
      </c>
      <c r="C4" s="42">
        <f>_xlfn.XLOOKUP(E4,'Corte 1_Final'!$A$2:$A$42,'Corte 1_Final'!$L$2:$L$42,"na",0)</f>
        <v>5</v>
      </c>
      <c r="D4" s="10">
        <f>_xlfn.XLOOKUP(E4,Asistencia_Corte_1!$A$6:$A$46,Asistencia_Corte_1!$F$6:$F$46,"na",0)</f>
        <v>0</v>
      </c>
      <c r="E4" s="10" t="s">
        <v>147</v>
      </c>
    </row>
    <row r="5" spans="1:5" x14ac:dyDescent="0.4">
      <c r="A5" s="38" t="s">
        <v>365</v>
      </c>
      <c r="B5" s="38" t="s">
        <v>366</v>
      </c>
      <c r="C5" s="42">
        <f>_xlfn.XLOOKUP(E5,'Corte 1_Final'!$A$2:$A$42,'Corte 1_Final'!$L$2:$L$42,"na",0)</f>
        <v>4.71</v>
      </c>
      <c r="D5" s="10">
        <f>_xlfn.XLOOKUP(E5,Asistencia_Corte_1!$A$6:$A$46,Asistencia_Corte_1!$F$6:$F$46,"na",0)</f>
        <v>0</v>
      </c>
      <c r="E5" s="10" t="s">
        <v>46</v>
      </c>
    </row>
    <row r="6" spans="1:5" x14ac:dyDescent="0.4">
      <c r="A6" s="38" t="s">
        <v>367</v>
      </c>
      <c r="B6" s="38" t="s">
        <v>368</v>
      </c>
      <c r="C6" s="42">
        <f>_xlfn.XLOOKUP(E6,'Corte 1_Final'!$A$2:$A$42,'Corte 1_Final'!$L$2:$L$42,"na",0)</f>
        <v>5</v>
      </c>
      <c r="D6" s="10">
        <f>_xlfn.XLOOKUP(E6,Asistencia_Corte_1!$A$6:$A$46,Asistencia_Corte_1!$F$6:$F$46,"na",0)</f>
        <v>0</v>
      </c>
      <c r="E6" s="10" t="s">
        <v>137</v>
      </c>
    </row>
    <row r="7" spans="1:5" x14ac:dyDescent="0.4">
      <c r="A7" s="38" t="s">
        <v>369</v>
      </c>
      <c r="B7" s="38" t="s">
        <v>370</v>
      </c>
      <c r="C7" s="42">
        <f>_xlfn.XLOOKUP(E7,'Corte 1_Final'!$A$2:$A$42,'Corte 1_Final'!$L$2:$L$42,"na",0)</f>
        <v>3.25</v>
      </c>
      <c r="D7" s="10">
        <f>_xlfn.XLOOKUP(E7,Asistencia_Corte_1!$A$6:$A$46,Asistencia_Corte_1!$F$6:$F$46,"na",0)</f>
        <v>1</v>
      </c>
      <c r="E7" s="2" t="s">
        <v>94</v>
      </c>
    </row>
    <row r="8" spans="1:5" x14ac:dyDescent="0.4">
      <c r="A8" s="38" t="s">
        <v>371</v>
      </c>
      <c r="B8" s="38" t="s">
        <v>372</v>
      </c>
      <c r="C8" s="42">
        <f>_xlfn.XLOOKUP(E8,'Corte 1_Final'!$A$2:$A$42,'Corte 1_Final'!$L$2:$L$42,"na",0)</f>
        <v>5</v>
      </c>
      <c r="D8" s="10">
        <f>_xlfn.XLOOKUP(E8,Asistencia_Corte_1!$A$6:$A$46,Asistencia_Corte_1!$F$6:$F$46,"na",0)</f>
        <v>1</v>
      </c>
      <c r="E8" s="39" t="s">
        <v>80</v>
      </c>
    </row>
    <row r="9" spans="1:5" x14ac:dyDescent="0.4">
      <c r="A9" s="38" t="s">
        <v>373</v>
      </c>
      <c r="B9" s="38" t="s">
        <v>374</v>
      </c>
      <c r="C9" s="42">
        <f>_xlfn.XLOOKUP(E9,'Corte 1_Final'!$A$2:$A$42,'Corte 1_Final'!$L$2:$L$42,"na",0)</f>
        <v>5</v>
      </c>
      <c r="D9" s="10">
        <f>_xlfn.XLOOKUP(E9,Asistencia_Corte_1!$A$6:$A$46,Asistencia_Corte_1!$F$6:$F$46,"na",0)</f>
        <v>0</v>
      </c>
      <c r="E9" s="10" t="s">
        <v>187</v>
      </c>
    </row>
    <row r="10" spans="1:5" x14ac:dyDescent="0.4">
      <c r="A10" s="38" t="s">
        <v>375</v>
      </c>
      <c r="B10" s="38" t="s">
        <v>376</v>
      </c>
      <c r="C10" s="42">
        <f>_xlfn.XLOOKUP(E10,'Corte 1_Final'!$A$2:$A$42,'Corte 1_Final'!$L$2:$L$42,"na",0)</f>
        <v>3.9899999999999998</v>
      </c>
      <c r="D10" s="10">
        <f>_xlfn.XLOOKUP(E10,Asistencia_Corte_1!$A$6:$A$46,Asistencia_Corte_1!$F$6:$F$46,"na",0)</f>
        <v>0</v>
      </c>
      <c r="E10" s="10" t="s">
        <v>112</v>
      </c>
    </row>
    <row r="11" spans="1:5" x14ac:dyDescent="0.4">
      <c r="A11" s="38" t="s">
        <v>377</v>
      </c>
      <c r="B11" s="38" t="s">
        <v>378</v>
      </c>
      <c r="C11" s="42">
        <f>_xlfn.XLOOKUP(E11,'Corte 1_Final'!$A$2:$A$42,'Corte 1_Final'!$L$2:$L$42,"na",0)</f>
        <v>3.4</v>
      </c>
      <c r="D11" s="10">
        <f>_xlfn.XLOOKUP(E11,Asistencia_Corte_1!$A$6:$A$46,Asistencia_Corte_1!$F$6:$F$46,"na",0)</f>
        <v>1</v>
      </c>
      <c r="E11" s="10" t="s">
        <v>51</v>
      </c>
    </row>
    <row r="12" spans="1:5" x14ac:dyDescent="0.4">
      <c r="A12" s="38" t="s">
        <v>379</v>
      </c>
      <c r="B12" s="38" t="s">
        <v>380</v>
      </c>
      <c r="C12" s="42">
        <f>_xlfn.XLOOKUP(E12,'Corte 1_Final'!$A$2:$A$42,'Corte 1_Final'!$L$2:$L$42,"na",0)</f>
        <v>3.5750000000000002</v>
      </c>
      <c r="D12" s="10">
        <f>_xlfn.XLOOKUP(E12,Asistencia_Corte_1!$A$6:$A$46,Asistencia_Corte_1!$F$6:$F$46,"na",0)</f>
        <v>0</v>
      </c>
      <c r="E12" s="10" t="s">
        <v>60</v>
      </c>
    </row>
    <row r="13" spans="1:5" x14ac:dyDescent="0.4">
      <c r="A13" s="38" t="s">
        <v>381</v>
      </c>
      <c r="B13" s="38" t="s">
        <v>382</v>
      </c>
      <c r="C13" s="42">
        <f>_xlfn.XLOOKUP(E13,'Corte 1_Final'!$A$2:$A$42,'Corte 1_Final'!$L$2:$L$42,"na",0)</f>
        <v>4.9850000000000003</v>
      </c>
      <c r="D13" s="10">
        <f>_xlfn.XLOOKUP(E13,Asistencia_Corte_1!$A$6:$A$46,Asistencia_Corte_1!$F$6:$F$46,"na",0)</f>
        <v>0</v>
      </c>
      <c r="E13" s="10" t="s">
        <v>75</v>
      </c>
    </row>
    <row r="14" spans="1:5" x14ac:dyDescent="0.4">
      <c r="A14" s="38" t="s">
        <v>383</v>
      </c>
      <c r="B14" s="38" t="s">
        <v>384</v>
      </c>
      <c r="C14" s="42">
        <f>_xlfn.XLOOKUP(E14,'Corte 1_Final'!$A$2:$A$42,'Corte 1_Final'!$L$2:$L$42,"na",0)</f>
        <v>4.4000000000000004</v>
      </c>
      <c r="D14" s="10">
        <f>_xlfn.XLOOKUP(E14,Asistencia_Corte_1!$A$6:$A$46,Asistencia_Corte_1!$F$6:$F$46,"na",0)</f>
        <v>1</v>
      </c>
      <c r="E14" s="10" t="s">
        <v>31</v>
      </c>
    </row>
    <row r="15" spans="1:5" x14ac:dyDescent="0.4">
      <c r="A15" s="38" t="s">
        <v>385</v>
      </c>
      <c r="B15" s="38" t="s">
        <v>386</v>
      </c>
      <c r="C15" s="42">
        <f>_xlfn.XLOOKUP(E15,'Corte 1_Final'!$A$2:$A$42,'Corte 1_Final'!$L$2:$L$42,"na",0)</f>
        <v>5</v>
      </c>
      <c r="D15" s="10">
        <f>_xlfn.XLOOKUP(E15,Asistencia_Corte_1!$A$6:$A$46,Asistencia_Corte_1!$F$6:$F$46,"na",0)</f>
        <v>0</v>
      </c>
      <c r="E15" s="10" t="s">
        <v>168</v>
      </c>
    </row>
    <row r="16" spans="1:5" x14ac:dyDescent="0.4">
      <c r="A16" s="38" t="s">
        <v>387</v>
      </c>
      <c r="B16" s="38" t="s">
        <v>388</v>
      </c>
      <c r="C16" s="42">
        <f>_xlfn.XLOOKUP(E16,'Corte 1_Final'!$A$2:$A$42,'Corte 1_Final'!$L$2:$L$42,"na",0)</f>
        <v>5</v>
      </c>
      <c r="D16" s="10">
        <f>_xlfn.XLOOKUP(E16,Asistencia_Corte_1!$A$6:$A$46,Asistencia_Corte_1!$F$6:$F$46,"na",0)</f>
        <v>0</v>
      </c>
      <c r="E16" s="2" t="s">
        <v>215</v>
      </c>
    </row>
    <row r="17" spans="1:5" x14ac:dyDescent="0.4">
      <c r="A17" s="38" t="s">
        <v>389</v>
      </c>
      <c r="B17" s="38" t="s">
        <v>390</v>
      </c>
      <c r="C17" s="42">
        <f>_xlfn.XLOOKUP(E17,'Corte 1_Final'!$A$2:$A$42,'Corte 1_Final'!$L$2:$L$42,"na",0)</f>
        <v>5</v>
      </c>
      <c r="D17" s="10">
        <f>_xlfn.XLOOKUP(E17,Asistencia_Corte_1!$A$6:$A$46,Asistencia_Corte_1!$F$6:$F$46,"na",0)</f>
        <v>0</v>
      </c>
      <c r="E17" s="10" t="s">
        <v>104</v>
      </c>
    </row>
    <row r="18" spans="1:5" x14ac:dyDescent="0.4">
      <c r="A18" s="38" t="s">
        <v>391</v>
      </c>
      <c r="B18" s="38" t="s">
        <v>392</v>
      </c>
      <c r="C18" s="42">
        <f>_xlfn.XLOOKUP(E18,'Corte 1_Final'!$A$2:$A$42,'Corte 1_Final'!$L$2:$L$42,"na",0)</f>
        <v>3.7</v>
      </c>
      <c r="D18" s="10">
        <f>_xlfn.XLOOKUP(E18,Asistencia_Corte_1!$A$6:$A$46,Asistencia_Corte_1!$F$6:$F$46,"na",0)</f>
        <v>0</v>
      </c>
      <c r="E18" s="10" t="s">
        <v>160</v>
      </c>
    </row>
    <row r="19" spans="1:5" x14ac:dyDescent="0.4">
      <c r="A19" s="38" t="s">
        <v>393</v>
      </c>
      <c r="B19" s="38" t="s">
        <v>394</v>
      </c>
      <c r="C19" s="42">
        <f>_xlfn.XLOOKUP(E19,'Corte 1_Final'!$A$2:$A$42,'Corte 1_Final'!$L$2:$L$42,"na",0)</f>
        <v>3.15</v>
      </c>
      <c r="D19" s="10">
        <f>_xlfn.XLOOKUP(E19,Asistencia_Corte_1!$A$6:$A$46,Asistencia_Corte_1!$F$6:$F$46,"na",0)</f>
        <v>2</v>
      </c>
      <c r="E19" s="10" t="s">
        <v>89</v>
      </c>
    </row>
    <row r="20" spans="1:5" x14ac:dyDescent="0.4">
      <c r="A20" s="38" t="s">
        <v>395</v>
      </c>
      <c r="B20" s="38" t="s">
        <v>396</v>
      </c>
      <c r="C20" s="42">
        <f>_xlfn.XLOOKUP(E20,'Corte 1_Final'!$A$2:$A$42,'Corte 1_Final'!$L$2:$L$42,"na",0)</f>
        <v>4.3100000000000005</v>
      </c>
      <c r="D20" s="10">
        <f>_xlfn.XLOOKUP(E20,Asistencia_Corte_1!$A$6:$A$46,Asistencia_Corte_1!$F$6:$F$46,"na",0)</f>
        <v>1</v>
      </c>
      <c r="E20" s="10" t="s">
        <v>163</v>
      </c>
    </row>
    <row r="21" spans="1:5" x14ac:dyDescent="0.4">
      <c r="A21" s="38" t="s">
        <v>397</v>
      </c>
      <c r="B21" s="38" t="s">
        <v>398</v>
      </c>
      <c r="C21" s="42">
        <f>_xlfn.XLOOKUP(E21,'Corte 1_Final'!$A$2:$A$42,'Corte 1_Final'!$L$2:$L$42,"na",0)</f>
        <v>5</v>
      </c>
      <c r="D21" s="10">
        <f>_xlfn.XLOOKUP(E21,Asistencia_Corte_1!$A$6:$A$46,Asistencia_Corte_1!$F$6:$F$46,"na",0)</f>
        <v>0</v>
      </c>
      <c r="E21" s="10" t="s">
        <v>36</v>
      </c>
    </row>
    <row r="22" spans="1:5" x14ac:dyDescent="0.4">
      <c r="A22" s="38" t="s">
        <v>399</v>
      </c>
      <c r="B22" s="38" t="s">
        <v>400</v>
      </c>
      <c r="C22" s="42">
        <f>_xlfn.XLOOKUP(E22,'Corte 1_Final'!$A$2:$A$42,'Corte 1_Final'!$L$2:$L$42,"na",0)</f>
        <v>5</v>
      </c>
      <c r="D22" s="10">
        <f>_xlfn.XLOOKUP(E22,Asistencia_Corte_1!$A$6:$A$46,Asistencia_Corte_1!$F$6:$F$46,"na",0)</f>
        <v>0</v>
      </c>
      <c r="E22" s="10" t="s">
        <v>132</v>
      </c>
    </row>
    <row r="23" spans="1:5" x14ac:dyDescent="0.4">
      <c r="A23" s="38" t="s">
        <v>401</v>
      </c>
      <c r="B23" s="38" t="s">
        <v>402</v>
      </c>
      <c r="C23" s="42">
        <f>_xlfn.XLOOKUP(E23,'Corte 1_Final'!$A$2:$A$42,'Corte 1_Final'!$L$2:$L$42,"na",0)</f>
        <v>5</v>
      </c>
      <c r="D23" s="10">
        <f>_xlfn.XLOOKUP(E23,Asistencia_Corte_1!$A$6:$A$46,Asistencia_Corte_1!$F$6:$F$46,"na",0)</f>
        <v>0</v>
      </c>
      <c r="E23" s="10" t="s">
        <v>192</v>
      </c>
    </row>
    <row r="24" spans="1:5" x14ac:dyDescent="0.4">
      <c r="A24" s="38" t="s">
        <v>403</v>
      </c>
      <c r="B24" s="38" t="s">
        <v>404</v>
      </c>
      <c r="C24" s="42">
        <f>_xlfn.XLOOKUP(E24,'Corte 1_Final'!$A$2:$A$42,'Corte 1_Final'!$L$2:$L$42,"na",0)</f>
        <v>5</v>
      </c>
      <c r="D24" s="10">
        <f>_xlfn.XLOOKUP(E24,Asistencia_Corte_1!$A$6:$A$46,Asistencia_Corte_1!$F$6:$F$46,"na",0)</f>
        <v>0</v>
      </c>
      <c r="E24" s="10" t="s">
        <v>65</v>
      </c>
    </row>
    <row r="25" spans="1:5" x14ac:dyDescent="0.4">
      <c r="A25" s="38" t="s">
        <v>405</v>
      </c>
      <c r="B25" s="38" t="s">
        <v>406</v>
      </c>
      <c r="C25" s="42">
        <f>_xlfn.XLOOKUP(E25,'Corte 1_Final'!$A$2:$A$42,'Corte 1_Final'!$L$2:$L$42,"na",0)</f>
        <v>5</v>
      </c>
      <c r="D25" s="10">
        <f>_xlfn.XLOOKUP(E25,Asistencia_Corte_1!$A$6:$A$46,Asistencia_Corte_1!$F$6:$F$46,"na",0)</f>
        <v>1</v>
      </c>
      <c r="E25" s="10" t="s">
        <v>85</v>
      </c>
    </row>
    <row r="26" spans="1:5" x14ac:dyDescent="0.4">
      <c r="A26" s="38" t="s">
        <v>407</v>
      </c>
      <c r="B26" s="38" t="s">
        <v>408</v>
      </c>
      <c r="C26" s="42">
        <f>_xlfn.XLOOKUP(E26,'Corte 1_Final'!$A$2:$A$42,'Corte 1_Final'!$L$2:$L$42,"na",0)</f>
        <v>5</v>
      </c>
      <c r="D26" s="10">
        <f>_xlfn.XLOOKUP(E26,Asistencia_Corte_1!$A$6:$A$46,Asistencia_Corte_1!$F$6:$F$46,"na",0)</f>
        <v>0</v>
      </c>
      <c r="E26" s="10" t="s">
        <v>122</v>
      </c>
    </row>
    <row r="27" spans="1:5" x14ac:dyDescent="0.4">
      <c r="A27" s="38" t="s">
        <v>409</v>
      </c>
      <c r="B27" s="38" t="s">
        <v>410</v>
      </c>
      <c r="C27" s="42">
        <f>_xlfn.XLOOKUP(E27,'Corte 1_Final'!$A$2:$A$42,'Corte 1_Final'!$L$2:$L$42,"na",0)</f>
        <v>5</v>
      </c>
      <c r="D27" s="10">
        <f>_xlfn.XLOOKUP(E27,Asistencia_Corte_1!$A$6:$A$46,Asistencia_Corte_1!$F$6:$F$46,"na",0)</f>
        <v>0</v>
      </c>
      <c r="E27" s="10" t="s">
        <v>173</v>
      </c>
    </row>
    <row r="28" spans="1:5" x14ac:dyDescent="0.4">
      <c r="A28" s="38" t="s">
        <v>411</v>
      </c>
      <c r="B28" s="38" t="s">
        <v>412</v>
      </c>
      <c r="C28" s="42">
        <f>_xlfn.XLOOKUP(E28,'Corte 1_Final'!$A$2:$A$42,'Corte 1_Final'!$L$2:$L$42,"na",0)</f>
        <v>5</v>
      </c>
      <c r="D28" s="10">
        <f>_xlfn.XLOOKUP(E28,Asistencia_Corte_1!$A$6:$A$46,Asistencia_Corte_1!$F$6:$F$46,"na",0)</f>
        <v>0</v>
      </c>
      <c r="E28" s="10" t="s">
        <v>127</v>
      </c>
    </row>
    <row r="29" spans="1:5" x14ac:dyDescent="0.4">
      <c r="A29" s="38" t="s">
        <v>413</v>
      </c>
      <c r="B29" s="38" t="s">
        <v>414</v>
      </c>
      <c r="C29" s="42">
        <f>_xlfn.XLOOKUP(E29,'Corte 1_Final'!$A$2:$A$42,'Corte 1_Final'!$L$2:$L$42,"na",0)</f>
        <v>5</v>
      </c>
      <c r="D29" s="10">
        <f>_xlfn.XLOOKUP(E29,Asistencia_Corte_1!$A$6:$A$46,Asistencia_Corte_1!$F$6:$F$46,"na",0)</f>
        <v>0</v>
      </c>
      <c r="E29" s="10" t="s">
        <v>56</v>
      </c>
    </row>
    <row r="30" spans="1:5" x14ac:dyDescent="0.4">
      <c r="A30" s="38" t="s">
        <v>415</v>
      </c>
      <c r="B30" s="38" t="s">
        <v>416</v>
      </c>
      <c r="C30" s="42">
        <f>_xlfn.XLOOKUP(E30,'Corte 1_Final'!$A$2:$A$42,'Corte 1_Final'!$L$2:$L$42,"na",0)</f>
        <v>3.2299999999999995</v>
      </c>
      <c r="D30" s="10">
        <f>_xlfn.XLOOKUP(E30,Asistencia_Corte_1!$A$6:$A$46,Asistencia_Corte_1!$F$6:$F$46,"na",0)</f>
        <v>1</v>
      </c>
      <c r="E30" s="10" t="s">
        <v>201</v>
      </c>
    </row>
    <row r="31" spans="1:5" x14ac:dyDescent="0.4">
      <c r="A31" s="38" t="s">
        <v>417</v>
      </c>
      <c r="B31" s="38" t="s">
        <v>418</v>
      </c>
      <c r="C31" s="42">
        <f>_xlfn.XLOOKUP(E31,'Corte 1_Final'!$A$2:$A$42,'Corte 1_Final'!$L$2:$L$42,"na",0)</f>
        <v>5</v>
      </c>
      <c r="D31" s="10">
        <f>_xlfn.XLOOKUP(E31,Asistencia_Corte_1!$A$6:$A$46,Asistencia_Corte_1!$F$6:$F$46,"na",0)</f>
        <v>0</v>
      </c>
      <c r="E31" s="10" t="s">
        <v>117</v>
      </c>
    </row>
    <row r="32" spans="1:5" x14ac:dyDescent="0.4">
      <c r="A32" s="38" t="s">
        <v>419</v>
      </c>
      <c r="B32" s="38" t="s">
        <v>420</v>
      </c>
      <c r="C32" s="42">
        <f>_xlfn.XLOOKUP(E32,'Corte 1_Final'!$A$2:$A$42,'Corte 1_Final'!$L$2:$L$42,"na",0)</f>
        <v>5</v>
      </c>
      <c r="D32" s="10">
        <f>_xlfn.XLOOKUP(E32,Asistencia_Corte_1!$A$6:$A$46,Asistencia_Corte_1!$F$6:$F$46,"na",0)</f>
        <v>0</v>
      </c>
      <c r="E32" s="10" t="s">
        <v>107</v>
      </c>
    </row>
    <row r="33" spans="1:5" x14ac:dyDescent="0.4">
      <c r="A33" s="38" t="s">
        <v>421</v>
      </c>
      <c r="B33" s="38" t="s">
        <v>422</v>
      </c>
      <c r="C33" s="42">
        <f>_xlfn.XLOOKUP(E33,'Corte 1_Final'!$A$2:$A$42,'Corte 1_Final'!$L$2:$L$42,"na",0)</f>
        <v>0</v>
      </c>
      <c r="D33" s="10">
        <f>_xlfn.XLOOKUP(E33,Asistencia_Corte_1!$A$6:$A$46,Asistencia_Corte_1!$F$6:$F$46,"na",0)</f>
        <v>3</v>
      </c>
      <c r="E33" s="10" t="s">
        <v>183</v>
      </c>
    </row>
    <row r="34" spans="1:5" x14ac:dyDescent="0.4">
      <c r="A34" s="38" t="s">
        <v>423</v>
      </c>
      <c r="B34" s="38" t="s">
        <v>424</v>
      </c>
      <c r="C34" s="42">
        <f>_xlfn.XLOOKUP(E34,'Corte 1_Final'!$A$2:$A$42,'Corte 1_Final'!$L$2:$L$42,"na",0)</f>
        <v>5</v>
      </c>
      <c r="D34" s="10">
        <f>_xlfn.XLOOKUP(E34,Asistencia_Corte_1!$A$6:$A$46,Asistencia_Corte_1!$F$6:$F$46,"na",0)</f>
        <v>1</v>
      </c>
      <c r="E34" s="10" t="s">
        <v>210</v>
      </c>
    </row>
    <row r="35" spans="1:5" x14ac:dyDescent="0.4">
      <c r="A35" s="38" t="s">
        <v>425</v>
      </c>
      <c r="B35" s="38" t="s">
        <v>426</v>
      </c>
      <c r="C35" s="42">
        <f>_xlfn.XLOOKUP(E35,'Corte 1_Final'!$A$2:$A$42,'Corte 1_Final'!$L$2:$L$42,"na",0)</f>
        <v>3.5799999999999996</v>
      </c>
      <c r="D35" s="10">
        <f>_xlfn.XLOOKUP(E35,Asistencia_Corte_1!$A$6:$A$46,Asistencia_Corte_1!$F$6:$F$46,"na",0)</f>
        <v>0</v>
      </c>
      <c r="E35" s="10" t="s">
        <v>197</v>
      </c>
    </row>
    <row r="36" spans="1:5" x14ac:dyDescent="0.4">
      <c r="A36" s="38" t="s">
        <v>427</v>
      </c>
      <c r="B36" s="38" t="s">
        <v>428</v>
      </c>
      <c r="C36" s="42">
        <f>_xlfn.XLOOKUP(E36,'Corte 1_Final'!$A$2:$A$42,'Corte 1_Final'!$L$2:$L$42,"na",0)</f>
        <v>5</v>
      </c>
      <c r="D36" s="10">
        <f>_xlfn.XLOOKUP(E36,Asistencia_Corte_1!$A$6:$A$46,Asistencia_Corte_1!$F$6:$F$46,"na",0)</f>
        <v>0</v>
      </c>
      <c r="E36" s="10" t="s">
        <v>142</v>
      </c>
    </row>
    <row r="37" spans="1:5" x14ac:dyDescent="0.4">
      <c r="A37" s="38" t="s">
        <v>429</v>
      </c>
      <c r="B37" s="38" t="s">
        <v>430</v>
      </c>
      <c r="C37" s="42">
        <f>_xlfn.XLOOKUP(E37,'Corte 1_Final'!$A$2:$A$42,'Corte 1_Final'!$L$2:$L$42,"na",0)</f>
        <v>3.8899999999999997</v>
      </c>
      <c r="D37" s="10">
        <f>_xlfn.XLOOKUP(E37,Asistencia_Corte_1!$A$6:$A$46,Asistencia_Corte_1!$F$6:$F$46,"na",0)</f>
        <v>0</v>
      </c>
      <c r="E37" s="10" t="s">
        <v>152</v>
      </c>
    </row>
    <row r="38" spans="1:5" x14ac:dyDescent="0.4">
      <c r="A38" s="38" t="s">
        <v>431</v>
      </c>
      <c r="B38" s="38" t="s">
        <v>432</v>
      </c>
      <c r="C38" s="42">
        <f>_xlfn.XLOOKUP(E38,'Corte 1_Final'!$A$2:$A$42,'Corte 1_Final'!$L$2:$L$42,"na",0)</f>
        <v>4.8100000000000005</v>
      </c>
      <c r="D38" s="10">
        <f>_xlfn.XLOOKUP(E38,Asistencia_Corte_1!$A$6:$A$46,Asistencia_Corte_1!$F$6:$F$46,"na",0)</f>
        <v>1</v>
      </c>
      <c r="E38" s="10" t="s">
        <v>41</v>
      </c>
    </row>
    <row r="39" spans="1:5" x14ac:dyDescent="0.4">
      <c r="A39" s="38" t="s">
        <v>433</v>
      </c>
      <c r="B39" s="38" t="s">
        <v>434</v>
      </c>
      <c r="C39" s="42">
        <f>_xlfn.XLOOKUP(E39,'Corte 1_Final'!$A$2:$A$42,'Corte 1_Final'!$L$2:$L$42,"na",0)</f>
        <v>5</v>
      </c>
      <c r="D39" s="10">
        <f>_xlfn.XLOOKUP(E39,Asistencia_Corte_1!$A$6:$A$46,Asistencia_Corte_1!$F$6:$F$46,"na",0)</f>
        <v>0</v>
      </c>
      <c r="E39" s="10" t="s">
        <v>205</v>
      </c>
    </row>
    <row r="40" spans="1:5" x14ac:dyDescent="0.4">
      <c r="A40" s="38" t="s">
        <v>435</v>
      </c>
      <c r="B40" s="38" t="s">
        <v>436</v>
      </c>
      <c r="C40" s="42">
        <f>_xlfn.XLOOKUP(E40,'Corte 1_Final'!$A$2:$A$42,'Corte 1_Final'!$L$2:$L$42,"na",0)</f>
        <v>5</v>
      </c>
      <c r="D40" s="10">
        <f>_xlfn.XLOOKUP(E40,Asistencia_Corte_1!$A$6:$A$46,Asistencia_Corte_1!$F$6:$F$46,"na",0)</f>
        <v>0</v>
      </c>
      <c r="E40" s="10" t="s">
        <v>178</v>
      </c>
    </row>
    <row r="41" spans="1:5" x14ac:dyDescent="0.4">
      <c r="A41" s="38" t="s">
        <v>437</v>
      </c>
      <c r="B41" s="38" t="s">
        <v>438</v>
      </c>
      <c r="C41" s="42">
        <f>_xlfn.XLOOKUP(E41,'Corte 1_Final'!$A$2:$A$42,'Corte 1_Final'!$L$2:$L$42,"na",0)</f>
        <v>5</v>
      </c>
      <c r="D41" s="10">
        <f>_xlfn.XLOOKUP(E41,Asistencia_Corte_1!$A$6:$A$46,Asistencia_Corte_1!$F$6:$F$46,"na",0)</f>
        <v>0</v>
      </c>
      <c r="E41" s="10" t="s">
        <v>70</v>
      </c>
    </row>
    <row r="42" spans="1:5" x14ac:dyDescent="0.4">
      <c r="A42" s="73" t="s">
        <v>23</v>
      </c>
      <c r="B42" s="73"/>
      <c r="C42" s="73"/>
      <c r="D42" s="73"/>
      <c r="E42" s="10"/>
    </row>
  </sheetData>
  <mergeCells count="1">
    <mergeCell ref="A42:D4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8586-B86A-4A61-AF38-737BC67F1AA0}">
  <sheetPr>
    <tabColor theme="5"/>
  </sheetPr>
  <dimension ref="A1:Q977"/>
  <sheetViews>
    <sheetView topLeftCell="F1" workbookViewId="0">
      <selection activeCell="L277" sqref="L277"/>
    </sheetView>
  </sheetViews>
  <sheetFormatPr baseColWidth="10" defaultColWidth="8.796875" defaultRowHeight="16.8" x14ac:dyDescent="0.4"/>
  <cols>
    <col min="1" max="1" width="3" style="45" customWidth="1"/>
    <col min="2" max="2" width="30" style="45" customWidth="1"/>
    <col min="3" max="3" width="3" style="45" customWidth="1"/>
    <col min="4" max="5" width="20" style="45" customWidth="1"/>
    <col min="6" max="6" width="25" style="45" customWidth="1"/>
    <col min="7" max="8" width="30" style="45" customWidth="1"/>
    <col min="9" max="11" width="16" style="45" customWidth="1"/>
    <col min="12" max="12" width="25" style="45" customWidth="1"/>
    <col min="13" max="15" width="8" style="45" customWidth="1"/>
    <col min="16" max="16384" width="8.796875" style="45"/>
  </cols>
  <sheetData>
    <row r="1" spans="1:17" ht="37.5" customHeight="1" x14ac:dyDescent="0.4">
      <c r="A1" s="52"/>
      <c r="B1" s="52"/>
      <c r="C1" s="52"/>
      <c r="D1" s="52" t="s">
        <v>10</v>
      </c>
      <c r="E1" s="52"/>
      <c r="F1" s="52"/>
      <c r="G1" s="52"/>
      <c r="H1" s="52"/>
      <c r="I1" s="52"/>
      <c r="J1" s="52"/>
      <c r="K1" s="52"/>
      <c r="L1" s="52"/>
      <c r="M1" s="52"/>
      <c r="N1" s="52"/>
      <c r="O1" s="52"/>
    </row>
    <row r="2" spans="1:17" x14ac:dyDescent="0.4">
      <c r="D2" s="51" t="s">
        <v>11</v>
      </c>
      <c r="E2" s="51" t="s">
        <v>12</v>
      </c>
      <c r="F2" s="51" t="s">
        <v>13</v>
      </c>
      <c r="G2" s="51" t="s">
        <v>730</v>
      </c>
      <c r="H2" s="51" t="s">
        <v>15</v>
      </c>
      <c r="I2" s="51" t="s">
        <v>16</v>
      </c>
      <c r="J2" s="51" t="s">
        <v>17</v>
      </c>
      <c r="K2" s="51" t="s">
        <v>18</v>
      </c>
      <c r="L2" s="51" t="s">
        <v>19</v>
      </c>
      <c r="M2" s="51" t="s">
        <v>20</v>
      </c>
      <c r="N2" s="51" t="s">
        <v>21</v>
      </c>
      <c r="O2" s="51" t="s">
        <v>22</v>
      </c>
      <c r="P2" s="45" t="s">
        <v>23</v>
      </c>
    </row>
    <row r="3" spans="1:17" hidden="1" x14ac:dyDescent="0.4">
      <c r="D3" s="45" t="s">
        <v>24</v>
      </c>
      <c r="E3" s="45" t="s">
        <v>25</v>
      </c>
      <c r="F3" s="45" t="s">
        <v>26</v>
      </c>
      <c r="G3" s="45" t="s">
        <v>27</v>
      </c>
      <c r="H3" s="50" t="s">
        <v>706</v>
      </c>
      <c r="I3" s="49">
        <v>46127</v>
      </c>
      <c r="J3" s="45" t="s">
        <v>705</v>
      </c>
      <c r="K3" s="45" t="s">
        <v>444</v>
      </c>
      <c r="L3" s="48" t="s">
        <v>729</v>
      </c>
      <c r="M3" s="47">
        <v>45</v>
      </c>
      <c r="N3" s="47">
        <v>50</v>
      </c>
      <c r="O3" s="46">
        <v>0.9</v>
      </c>
      <c r="Q3" s="45" t="s">
        <v>23</v>
      </c>
    </row>
    <row r="4" spans="1:17" hidden="1" x14ac:dyDescent="0.4">
      <c r="D4" s="45" t="s">
        <v>31</v>
      </c>
      <c r="E4" s="45" t="s">
        <v>32</v>
      </c>
      <c r="F4" s="45" t="s">
        <v>33</v>
      </c>
      <c r="G4" s="45" t="s">
        <v>34</v>
      </c>
      <c r="H4" s="50" t="s">
        <v>706</v>
      </c>
      <c r="I4" s="49">
        <v>46127</v>
      </c>
      <c r="J4" s="45" t="s">
        <v>705</v>
      </c>
      <c r="K4" s="45" t="s">
        <v>444</v>
      </c>
      <c r="L4" s="48" t="s">
        <v>728</v>
      </c>
      <c r="M4" s="47">
        <v>30</v>
      </c>
      <c r="N4" s="47">
        <v>50</v>
      </c>
      <c r="O4" s="46">
        <v>0.6</v>
      </c>
      <c r="Q4" s="45" t="s">
        <v>23</v>
      </c>
    </row>
    <row r="5" spans="1:17" hidden="1" x14ac:dyDescent="0.4">
      <c r="D5" s="45" t="s">
        <v>36</v>
      </c>
      <c r="E5" s="45" t="s">
        <v>37</v>
      </c>
      <c r="F5" s="45" t="s">
        <v>38</v>
      </c>
      <c r="G5" s="45" t="s">
        <v>39</v>
      </c>
      <c r="H5" s="50" t="s">
        <v>706</v>
      </c>
      <c r="I5" s="49">
        <v>46127</v>
      </c>
      <c r="J5" s="45" t="s">
        <v>705</v>
      </c>
      <c r="K5" s="45" t="s">
        <v>444</v>
      </c>
      <c r="L5" s="48" t="s">
        <v>728</v>
      </c>
      <c r="M5" s="47">
        <v>30</v>
      </c>
      <c r="N5" s="47">
        <v>50</v>
      </c>
      <c r="O5" s="46">
        <v>0.6</v>
      </c>
      <c r="Q5" s="45" t="s">
        <v>23</v>
      </c>
    </row>
    <row r="6" spans="1:17" hidden="1" x14ac:dyDescent="0.4">
      <c r="D6" s="45" t="s">
        <v>41</v>
      </c>
      <c r="E6" s="45" t="s">
        <v>42</v>
      </c>
      <c r="F6" s="45" t="s">
        <v>43</v>
      </c>
      <c r="G6" s="45" t="s">
        <v>44</v>
      </c>
      <c r="H6" s="50" t="s">
        <v>706</v>
      </c>
      <c r="I6" s="49">
        <v>46127</v>
      </c>
      <c r="J6" s="45" t="s">
        <v>705</v>
      </c>
      <c r="K6" s="45" t="s">
        <v>444</v>
      </c>
      <c r="L6" s="48" t="s">
        <v>727</v>
      </c>
      <c r="M6" s="47">
        <v>46</v>
      </c>
      <c r="N6" s="47">
        <v>50</v>
      </c>
      <c r="O6" s="46">
        <v>0.92</v>
      </c>
      <c r="Q6" s="45" t="s">
        <v>23</v>
      </c>
    </row>
    <row r="7" spans="1:17" hidden="1" x14ac:dyDescent="0.4">
      <c r="D7" s="45" t="s">
        <v>46</v>
      </c>
      <c r="E7" s="45" t="s">
        <v>47</v>
      </c>
      <c r="F7" s="45" t="s">
        <v>48</v>
      </c>
      <c r="G7" s="45" t="s">
        <v>49</v>
      </c>
      <c r="H7" s="50" t="s">
        <v>706</v>
      </c>
      <c r="I7" s="49">
        <v>46127</v>
      </c>
      <c r="J7" s="45" t="s">
        <v>705</v>
      </c>
      <c r="K7" s="45" t="s">
        <v>444</v>
      </c>
      <c r="L7" s="48" t="s">
        <v>726</v>
      </c>
      <c r="M7" s="47">
        <v>0</v>
      </c>
      <c r="N7" s="47">
        <v>50</v>
      </c>
      <c r="O7" s="46">
        <v>0</v>
      </c>
      <c r="Q7" s="45" t="s">
        <v>23</v>
      </c>
    </row>
    <row r="8" spans="1:17" hidden="1" x14ac:dyDescent="0.4">
      <c r="D8" s="45" t="s">
        <v>51</v>
      </c>
      <c r="E8" s="45" t="s">
        <v>52</v>
      </c>
      <c r="F8" s="45" t="s">
        <v>53</v>
      </c>
      <c r="G8" s="45" t="s">
        <v>54</v>
      </c>
      <c r="H8" s="50" t="s">
        <v>706</v>
      </c>
      <c r="I8" s="49">
        <v>46127</v>
      </c>
      <c r="J8" s="45" t="s">
        <v>705</v>
      </c>
      <c r="K8" s="45" t="s">
        <v>444</v>
      </c>
      <c r="L8" s="48" t="s">
        <v>721</v>
      </c>
      <c r="M8" s="47">
        <v>40</v>
      </c>
      <c r="N8" s="47">
        <v>50</v>
      </c>
      <c r="O8" s="46">
        <v>0.8</v>
      </c>
      <c r="Q8" s="45" t="s">
        <v>23</v>
      </c>
    </row>
    <row r="9" spans="1:17" hidden="1" x14ac:dyDescent="0.4">
      <c r="D9" s="45" t="s">
        <v>56</v>
      </c>
      <c r="E9" s="45" t="s">
        <v>52</v>
      </c>
      <c r="F9" s="45" t="s">
        <v>57</v>
      </c>
      <c r="G9" s="45" t="s">
        <v>58</v>
      </c>
      <c r="H9" s="50" t="s">
        <v>706</v>
      </c>
      <c r="I9" s="49">
        <v>46127</v>
      </c>
      <c r="J9" s="45" t="s">
        <v>705</v>
      </c>
      <c r="K9" s="45" t="s">
        <v>444</v>
      </c>
      <c r="L9" s="48" t="s">
        <v>722</v>
      </c>
      <c r="M9" s="47">
        <v>50</v>
      </c>
      <c r="N9" s="47">
        <v>50</v>
      </c>
      <c r="O9" s="46">
        <v>1</v>
      </c>
      <c r="Q9" s="45" t="s">
        <v>23</v>
      </c>
    </row>
    <row r="10" spans="1:17" hidden="1" x14ac:dyDescent="0.4">
      <c r="D10" s="45" t="s">
        <v>60</v>
      </c>
      <c r="E10" s="45" t="s">
        <v>61</v>
      </c>
      <c r="F10" s="45" t="s">
        <v>62</v>
      </c>
      <c r="G10" s="45" t="s">
        <v>63</v>
      </c>
      <c r="H10" s="50" t="s">
        <v>706</v>
      </c>
      <c r="I10" s="49">
        <v>46127</v>
      </c>
      <c r="J10" s="45" t="s">
        <v>705</v>
      </c>
      <c r="K10" s="45" t="s">
        <v>444</v>
      </c>
      <c r="L10" s="48" t="s">
        <v>725</v>
      </c>
      <c r="M10" s="47">
        <v>45</v>
      </c>
      <c r="N10" s="47">
        <v>50</v>
      </c>
      <c r="O10" s="46">
        <v>0.9</v>
      </c>
      <c r="Q10" s="45" t="s">
        <v>23</v>
      </c>
    </row>
    <row r="11" spans="1:17" hidden="1" x14ac:dyDescent="0.4">
      <c r="D11" s="45" t="s">
        <v>65</v>
      </c>
      <c r="E11" s="45" t="s">
        <v>66</v>
      </c>
      <c r="F11" s="45" t="s">
        <v>67</v>
      </c>
      <c r="G11" s="45" t="s">
        <v>68</v>
      </c>
      <c r="H11" s="50" t="s">
        <v>706</v>
      </c>
      <c r="I11" s="49">
        <v>46127</v>
      </c>
      <c r="J11" s="45" t="s">
        <v>705</v>
      </c>
      <c r="K11" s="45" t="s">
        <v>444</v>
      </c>
      <c r="L11" s="48" t="s">
        <v>713</v>
      </c>
      <c r="M11" s="47">
        <v>50</v>
      </c>
      <c r="N11" s="47">
        <v>50</v>
      </c>
      <c r="O11" s="46">
        <v>1</v>
      </c>
      <c r="Q11" s="45" t="s">
        <v>23</v>
      </c>
    </row>
    <row r="12" spans="1:17" hidden="1" x14ac:dyDescent="0.4">
      <c r="D12" s="45" t="s">
        <v>70</v>
      </c>
      <c r="E12" s="45" t="s">
        <v>71</v>
      </c>
      <c r="F12" s="45" t="s">
        <v>72</v>
      </c>
      <c r="G12" s="45" t="s">
        <v>73</v>
      </c>
      <c r="H12" s="50" t="s">
        <v>706</v>
      </c>
      <c r="I12" s="49">
        <v>46127</v>
      </c>
      <c r="J12" s="45" t="s">
        <v>705</v>
      </c>
      <c r="K12" s="45" t="s">
        <v>444</v>
      </c>
      <c r="L12" s="48" t="s">
        <v>713</v>
      </c>
      <c r="M12" s="47">
        <v>50</v>
      </c>
      <c r="N12" s="47">
        <v>50</v>
      </c>
      <c r="O12" s="46">
        <v>1</v>
      </c>
      <c r="Q12" s="45" t="s">
        <v>23</v>
      </c>
    </row>
    <row r="13" spans="1:17" hidden="1" x14ac:dyDescent="0.4">
      <c r="D13" s="45" t="s">
        <v>75</v>
      </c>
      <c r="E13" s="45" t="s">
        <v>76</v>
      </c>
      <c r="F13" s="45" t="s">
        <v>77</v>
      </c>
      <c r="G13" s="45" t="s">
        <v>78</v>
      </c>
      <c r="H13" s="50" t="s">
        <v>706</v>
      </c>
      <c r="I13" s="49">
        <v>46127</v>
      </c>
      <c r="J13" s="45" t="s">
        <v>705</v>
      </c>
      <c r="K13" s="45" t="s">
        <v>444</v>
      </c>
      <c r="L13" s="48" t="s">
        <v>718</v>
      </c>
      <c r="M13" s="47">
        <v>45</v>
      </c>
      <c r="N13" s="47">
        <v>50</v>
      </c>
      <c r="O13" s="46">
        <v>0.9</v>
      </c>
      <c r="Q13" s="45" t="s">
        <v>23</v>
      </c>
    </row>
    <row r="14" spans="1:17" hidden="1" x14ac:dyDescent="0.4">
      <c r="D14" s="45" t="s">
        <v>80</v>
      </c>
      <c r="E14" s="45" t="s">
        <v>81</v>
      </c>
      <c r="F14" s="45" t="s">
        <v>82</v>
      </c>
      <c r="G14" s="45" t="s">
        <v>83</v>
      </c>
      <c r="H14" s="50" t="s">
        <v>706</v>
      </c>
      <c r="I14" s="49">
        <v>46127</v>
      </c>
      <c r="J14" s="45" t="s">
        <v>705</v>
      </c>
      <c r="K14" s="45" t="s">
        <v>444</v>
      </c>
      <c r="L14" s="48" t="s">
        <v>724</v>
      </c>
      <c r="M14" s="47">
        <v>50</v>
      </c>
      <c r="N14" s="47">
        <v>50</v>
      </c>
      <c r="O14" s="46">
        <v>1</v>
      </c>
      <c r="Q14" s="45" t="s">
        <v>23</v>
      </c>
    </row>
    <row r="15" spans="1:17" hidden="1" x14ac:dyDescent="0.4">
      <c r="D15" s="45" t="s">
        <v>85</v>
      </c>
      <c r="E15" s="45" t="s">
        <v>86</v>
      </c>
      <c r="F15" s="45" t="s">
        <v>87</v>
      </c>
      <c r="G15" s="45" t="s">
        <v>88</v>
      </c>
      <c r="H15" s="50" t="s">
        <v>706</v>
      </c>
      <c r="I15" s="49">
        <v>46127</v>
      </c>
      <c r="J15" s="45" t="s">
        <v>705</v>
      </c>
      <c r="K15" s="45" t="s">
        <v>444</v>
      </c>
      <c r="L15" s="48" t="s">
        <v>724</v>
      </c>
      <c r="M15" s="47">
        <v>50</v>
      </c>
      <c r="N15" s="47">
        <v>50</v>
      </c>
      <c r="O15" s="46">
        <v>1</v>
      </c>
      <c r="Q15" s="45" t="s">
        <v>23</v>
      </c>
    </row>
    <row r="16" spans="1:17" hidden="1" x14ac:dyDescent="0.4">
      <c r="D16" s="45" t="s">
        <v>89</v>
      </c>
      <c r="E16" s="45" t="s">
        <v>90</v>
      </c>
      <c r="F16" s="45" t="s">
        <v>91</v>
      </c>
      <c r="G16" s="45" t="s">
        <v>92</v>
      </c>
      <c r="H16" s="50" t="s">
        <v>706</v>
      </c>
      <c r="I16" s="49">
        <v>46127</v>
      </c>
      <c r="J16" s="45" t="s">
        <v>705</v>
      </c>
      <c r="K16" s="45" t="s">
        <v>444</v>
      </c>
      <c r="L16" s="48" t="s">
        <v>723</v>
      </c>
      <c r="M16" s="47">
        <v>40</v>
      </c>
      <c r="N16" s="47">
        <v>50</v>
      </c>
      <c r="O16" s="46">
        <v>0.2</v>
      </c>
      <c r="Q16" s="45" t="s">
        <v>23</v>
      </c>
    </row>
    <row r="17" spans="4:17" hidden="1" x14ac:dyDescent="0.4">
      <c r="D17" s="45" t="s">
        <v>94</v>
      </c>
      <c r="E17" s="45" t="s">
        <v>95</v>
      </c>
      <c r="F17" s="45" t="s">
        <v>96</v>
      </c>
      <c r="G17" s="45" t="s">
        <v>97</v>
      </c>
      <c r="H17" s="50" t="s">
        <v>706</v>
      </c>
      <c r="I17" s="49">
        <v>46127</v>
      </c>
      <c r="J17" s="45" t="s">
        <v>705</v>
      </c>
      <c r="K17" s="45" t="s">
        <v>444</v>
      </c>
      <c r="L17" s="48" t="s">
        <v>710</v>
      </c>
      <c r="M17" s="47">
        <v>40</v>
      </c>
      <c r="N17" s="47">
        <v>50</v>
      </c>
      <c r="O17" s="46">
        <v>0.8</v>
      </c>
      <c r="Q17" s="45" t="s">
        <v>23</v>
      </c>
    </row>
    <row r="18" spans="4:17" hidden="1" x14ac:dyDescent="0.4">
      <c r="D18" s="45" t="s">
        <v>99</v>
      </c>
      <c r="E18" s="45" t="s">
        <v>100</v>
      </c>
      <c r="F18" s="45" t="s">
        <v>101</v>
      </c>
      <c r="G18" s="45" t="s">
        <v>102</v>
      </c>
      <c r="H18" s="50" t="s">
        <v>706</v>
      </c>
      <c r="I18" s="49">
        <v>46127</v>
      </c>
      <c r="J18" s="45" t="s">
        <v>705</v>
      </c>
      <c r="K18" s="45" t="s">
        <v>444</v>
      </c>
      <c r="L18" s="48" t="s">
        <v>722</v>
      </c>
      <c r="M18" s="47">
        <v>50</v>
      </c>
      <c r="N18" s="47">
        <v>50</v>
      </c>
      <c r="O18" s="46">
        <v>1</v>
      </c>
      <c r="Q18" s="45" t="s">
        <v>23</v>
      </c>
    </row>
    <row r="19" spans="4:17" hidden="1" x14ac:dyDescent="0.4">
      <c r="D19" s="45" t="s">
        <v>104</v>
      </c>
      <c r="E19" s="45" t="s">
        <v>86</v>
      </c>
      <c r="F19" s="45" t="s">
        <v>105</v>
      </c>
      <c r="G19" s="45" t="s">
        <v>106</v>
      </c>
      <c r="H19" s="50" t="s">
        <v>706</v>
      </c>
      <c r="I19" s="49">
        <v>46127</v>
      </c>
      <c r="J19" s="45" t="s">
        <v>705</v>
      </c>
      <c r="K19" s="45" t="s">
        <v>444</v>
      </c>
      <c r="L19" s="48" t="s">
        <v>721</v>
      </c>
      <c r="M19" s="47">
        <v>40</v>
      </c>
      <c r="N19" s="47">
        <v>50</v>
      </c>
      <c r="O19" s="46">
        <v>0.8</v>
      </c>
      <c r="Q19" s="45" t="s">
        <v>23</v>
      </c>
    </row>
    <row r="20" spans="4:17" hidden="1" x14ac:dyDescent="0.4">
      <c r="D20" s="45" t="s">
        <v>107</v>
      </c>
      <c r="E20" s="45" t="s">
        <v>108</v>
      </c>
      <c r="F20" s="45" t="s">
        <v>109</v>
      </c>
      <c r="G20" s="45" t="s">
        <v>110</v>
      </c>
      <c r="H20" s="50" t="s">
        <v>706</v>
      </c>
      <c r="I20" s="49">
        <v>46127</v>
      </c>
      <c r="J20" s="45" t="s">
        <v>705</v>
      </c>
      <c r="K20" s="45" t="s">
        <v>444</v>
      </c>
      <c r="L20" s="48" t="s">
        <v>704</v>
      </c>
      <c r="M20" s="47">
        <v>47</v>
      </c>
      <c r="N20" s="47">
        <v>50</v>
      </c>
      <c r="O20" s="46">
        <v>0.94</v>
      </c>
      <c r="Q20" s="45" t="s">
        <v>23</v>
      </c>
    </row>
    <row r="21" spans="4:17" hidden="1" x14ac:dyDescent="0.4">
      <c r="D21" s="45" t="s">
        <v>112</v>
      </c>
      <c r="E21" s="45" t="s">
        <v>113</v>
      </c>
      <c r="F21" s="45" t="s">
        <v>114</v>
      </c>
      <c r="G21" s="45" t="s">
        <v>115</v>
      </c>
      <c r="H21" s="50" t="s">
        <v>706</v>
      </c>
      <c r="I21" s="49">
        <v>46127</v>
      </c>
      <c r="J21" s="45" t="s">
        <v>705</v>
      </c>
      <c r="K21" s="45" t="s">
        <v>444</v>
      </c>
      <c r="L21" s="48" t="s">
        <v>720</v>
      </c>
      <c r="M21" s="47">
        <v>21</v>
      </c>
      <c r="N21" s="47">
        <v>50</v>
      </c>
      <c r="O21" s="46">
        <v>0.42</v>
      </c>
      <c r="Q21" s="45" t="s">
        <v>23</v>
      </c>
    </row>
    <row r="22" spans="4:17" hidden="1" x14ac:dyDescent="0.4">
      <c r="D22" s="45" t="s">
        <v>117</v>
      </c>
      <c r="E22" s="45" t="s">
        <v>118</v>
      </c>
      <c r="F22" s="45" t="s">
        <v>119</v>
      </c>
      <c r="G22" s="45" t="s">
        <v>120</v>
      </c>
      <c r="H22" s="50" t="s">
        <v>706</v>
      </c>
      <c r="I22" s="49">
        <v>46127</v>
      </c>
      <c r="J22" s="45" t="s">
        <v>705</v>
      </c>
      <c r="K22" s="45" t="s">
        <v>444</v>
      </c>
      <c r="L22" s="48" t="s">
        <v>704</v>
      </c>
      <c r="M22" s="47">
        <v>47</v>
      </c>
      <c r="N22" s="47">
        <v>50</v>
      </c>
      <c r="O22" s="46">
        <v>0.94</v>
      </c>
      <c r="Q22" s="45" t="s">
        <v>23</v>
      </c>
    </row>
    <row r="23" spans="4:17" hidden="1" x14ac:dyDescent="0.4">
      <c r="D23" s="45" t="s">
        <v>122</v>
      </c>
      <c r="E23" s="45" t="s">
        <v>123</v>
      </c>
      <c r="F23" s="45" t="s">
        <v>124</v>
      </c>
      <c r="G23" s="45" t="s">
        <v>125</v>
      </c>
      <c r="H23" s="50" t="s">
        <v>706</v>
      </c>
      <c r="I23" s="49">
        <v>46127</v>
      </c>
      <c r="J23" s="45" t="s">
        <v>705</v>
      </c>
      <c r="K23" s="45" t="s">
        <v>444</v>
      </c>
      <c r="L23" s="48" t="s">
        <v>719</v>
      </c>
      <c r="M23" s="47">
        <v>50</v>
      </c>
      <c r="N23" s="47">
        <v>50</v>
      </c>
      <c r="O23" s="46">
        <v>1</v>
      </c>
      <c r="Q23" s="45" t="s">
        <v>23</v>
      </c>
    </row>
    <row r="24" spans="4:17" hidden="1" x14ac:dyDescent="0.4">
      <c r="D24" s="45" t="s">
        <v>127</v>
      </c>
      <c r="E24" s="45" t="s">
        <v>128</v>
      </c>
      <c r="F24" s="45" t="s">
        <v>129</v>
      </c>
      <c r="G24" s="45" t="s">
        <v>130</v>
      </c>
      <c r="H24" s="50" t="s">
        <v>706</v>
      </c>
      <c r="I24" s="49">
        <v>46127</v>
      </c>
      <c r="J24" s="45" t="s">
        <v>705</v>
      </c>
      <c r="K24" s="45" t="s">
        <v>444</v>
      </c>
      <c r="L24" s="48" t="s">
        <v>718</v>
      </c>
      <c r="M24" s="47">
        <v>45</v>
      </c>
      <c r="N24" s="47">
        <v>50</v>
      </c>
      <c r="O24" s="46">
        <v>0.9</v>
      </c>
      <c r="Q24" s="45" t="s">
        <v>23</v>
      </c>
    </row>
    <row r="25" spans="4:17" hidden="1" x14ac:dyDescent="0.4">
      <c r="D25" s="45" t="s">
        <v>132</v>
      </c>
      <c r="E25" s="45" t="s">
        <v>133</v>
      </c>
      <c r="F25" s="45" t="s">
        <v>134</v>
      </c>
      <c r="G25" s="45" t="s">
        <v>135</v>
      </c>
      <c r="H25" s="50" t="s">
        <v>706</v>
      </c>
      <c r="I25" s="49">
        <v>46127</v>
      </c>
      <c r="J25" s="45" t="s">
        <v>705</v>
      </c>
      <c r="K25" s="45" t="s">
        <v>444</v>
      </c>
      <c r="L25" s="48" t="s">
        <v>718</v>
      </c>
      <c r="M25" s="47">
        <v>45</v>
      </c>
      <c r="N25" s="47">
        <v>50</v>
      </c>
      <c r="O25" s="46">
        <v>0.9</v>
      </c>
      <c r="Q25" s="45" t="s">
        <v>23</v>
      </c>
    </row>
    <row r="26" spans="4:17" hidden="1" x14ac:dyDescent="0.4">
      <c r="D26" s="45" t="s">
        <v>137</v>
      </c>
      <c r="E26" s="45" t="s">
        <v>138</v>
      </c>
      <c r="F26" s="45" t="s">
        <v>139</v>
      </c>
      <c r="G26" s="45" t="s">
        <v>140</v>
      </c>
      <c r="H26" s="50" t="s">
        <v>706</v>
      </c>
      <c r="I26" s="49">
        <v>46127</v>
      </c>
      <c r="J26" s="45" t="s">
        <v>705</v>
      </c>
      <c r="K26" s="45" t="s">
        <v>444</v>
      </c>
      <c r="L26" s="48" t="s">
        <v>717</v>
      </c>
      <c r="M26" s="47">
        <v>50</v>
      </c>
      <c r="N26" s="47">
        <v>50</v>
      </c>
      <c r="O26" s="46">
        <v>1</v>
      </c>
      <c r="Q26" s="45" t="s">
        <v>23</v>
      </c>
    </row>
    <row r="27" spans="4:17" hidden="1" x14ac:dyDescent="0.4">
      <c r="D27" s="45" t="s">
        <v>142</v>
      </c>
      <c r="E27" s="45" t="s">
        <v>143</v>
      </c>
      <c r="F27" s="45" t="s">
        <v>144</v>
      </c>
      <c r="G27" s="45" t="s">
        <v>145</v>
      </c>
      <c r="H27" s="50" t="s">
        <v>706</v>
      </c>
      <c r="I27" s="49">
        <v>46127</v>
      </c>
      <c r="J27" s="45" t="s">
        <v>705</v>
      </c>
      <c r="K27" s="45" t="s">
        <v>444</v>
      </c>
      <c r="L27" s="48" t="s">
        <v>716</v>
      </c>
      <c r="M27" s="47">
        <v>50</v>
      </c>
      <c r="N27" s="47">
        <v>50</v>
      </c>
      <c r="O27" s="46">
        <v>1</v>
      </c>
      <c r="Q27" s="45" t="s">
        <v>23</v>
      </c>
    </row>
    <row r="28" spans="4:17" hidden="1" x14ac:dyDescent="0.4">
      <c r="D28" s="45" t="s">
        <v>147</v>
      </c>
      <c r="E28" s="45" t="s">
        <v>148</v>
      </c>
      <c r="F28" s="45" t="s">
        <v>149</v>
      </c>
      <c r="G28" s="45" t="s">
        <v>150</v>
      </c>
      <c r="H28" s="50" t="s">
        <v>706</v>
      </c>
      <c r="I28" s="49">
        <v>46127</v>
      </c>
      <c r="J28" s="45" t="s">
        <v>705</v>
      </c>
      <c r="K28" s="45" t="s">
        <v>444</v>
      </c>
      <c r="L28" s="48" t="s">
        <v>711</v>
      </c>
      <c r="M28" s="47">
        <v>50</v>
      </c>
      <c r="N28" s="47">
        <v>50</v>
      </c>
      <c r="O28" s="46">
        <v>1</v>
      </c>
      <c r="Q28" s="45" t="s">
        <v>23</v>
      </c>
    </row>
    <row r="29" spans="4:17" hidden="1" x14ac:dyDescent="0.4">
      <c r="D29" s="45" t="s">
        <v>152</v>
      </c>
      <c r="E29" s="45" t="s">
        <v>66</v>
      </c>
      <c r="F29" s="45" t="s">
        <v>153</v>
      </c>
      <c r="G29" s="45" t="s">
        <v>154</v>
      </c>
      <c r="H29" s="50" t="s">
        <v>706</v>
      </c>
      <c r="I29" s="49">
        <v>46127</v>
      </c>
      <c r="J29" s="45" t="s">
        <v>705</v>
      </c>
      <c r="K29" s="45" t="s">
        <v>444</v>
      </c>
      <c r="L29" s="48" t="s">
        <v>715</v>
      </c>
      <c r="M29" s="47">
        <v>10</v>
      </c>
      <c r="N29" s="47">
        <v>50</v>
      </c>
      <c r="O29" s="46">
        <v>0.2</v>
      </c>
      <c r="Q29" s="45" t="s">
        <v>23</v>
      </c>
    </row>
    <row r="30" spans="4:17" hidden="1" x14ac:dyDescent="0.4">
      <c r="D30" s="45" t="s">
        <v>160</v>
      </c>
      <c r="E30" s="45" t="s">
        <v>81</v>
      </c>
      <c r="F30" s="45" t="s">
        <v>161</v>
      </c>
      <c r="G30" s="45" t="s">
        <v>162</v>
      </c>
      <c r="H30" s="50" t="s">
        <v>706</v>
      </c>
      <c r="I30" s="49">
        <v>46127</v>
      </c>
      <c r="J30" s="45" t="s">
        <v>705</v>
      </c>
      <c r="K30" s="45" t="s">
        <v>444</v>
      </c>
      <c r="L30" s="48" t="s">
        <v>710</v>
      </c>
      <c r="M30" s="47">
        <v>40</v>
      </c>
      <c r="N30" s="47">
        <v>50</v>
      </c>
      <c r="O30" s="46">
        <v>0.8</v>
      </c>
      <c r="Q30" s="45" t="s">
        <v>23</v>
      </c>
    </row>
    <row r="31" spans="4:17" hidden="1" x14ac:dyDescent="0.4">
      <c r="D31" s="45" t="s">
        <v>163</v>
      </c>
      <c r="E31" s="45" t="s">
        <v>164</v>
      </c>
      <c r="F31" s="45" t="s">
        <v>165</v>
      </c>
      <c r="G31" s="45" t="s">
        <v>166</v>
      </c>
      <c r="H31" s="50" t="s">
        <v>706</v>
      </c>
      <c r="I31" s="49">
        <v>46127</v>
      </c>
      <c r="J31" s="45" t="s">
        <v>705</v>
      </c>
      <c r="K31" s="45" t="s">
        <v>444</v>
      </c>
      <c r="L31" s="48" t="s">
        <v>714</v>
      </c>
      <c r="M31" s="47">
        <v>46</v>
      </c>
      <c r="N31" s="47">
        <v>50</v>
      </c>
      <c r="O31" s="46">
        <v>0.92</v>
      </c>
      <c r="Q31" s="45" t="s">
        <v>23</v>
      </c>
    </row>
    <row r="32" spans="4:17" hidden="1" x14ac:dyDescent="0.4">
      <c r="D32" s="45" t="s">
        <v>168</v>
      </c>
      <c r="E32" s="45" t="s">
        <v>169</v>
      </c>
      <c r="F32" s="45" t="s">
        <v>170</v>
      </c>
      <c r="G32" s="45" t="s">
        <v>171</v>
      </c>
      <c r="H32" s="50" t="s">
        <v>706</v>
      </c>
      <c r="I32" s="49">
        <v>46127</v>
      </c>
      <c r="J32" s="45" t="s">
        <v>705</v>
      </c>
      <c r="K32" s="45" t="s">
        <v>444</v>
      </c>
      <c r="L32" s="48" t="s">
        <v>713</v>
      </c>
      <c r="M32" s="47">
        <v>50</v>
      </c>
      <c r="N32" s="47">
        <v>50</v>
      </c>
      <c r="O32" s="46">
        <v>1</v>
      </c>
      <c r="Q32" s="45" t="s">
        <v>23</v>
      </c>
    </row>
    <row r="33" spans="4:17" hidden="1" x14ac:dyDescent="0.4">
      <c r="D33" s="45" t="s">
        <v>173</v>
      </c>
      <c r="E33" s="45" t="s">
        <v>174</v>
      </c>
      <c r="F33" s="45" t="s">
        <v>175</v>
      </c>
      <c r="G33" s="45" t="s">
        <v>176</v>
      </c>
      <c r="H33" s="50" t="s">
        <v>706</v>
      </c>
      <c r="I33" s="49">
        <v>46127</v>
      </c>
      <c r="J33" s="45" t="s">
        <v>705</v>
      </c>
      <c r="K33" s="45" t="s">
        <v>444</v>
      </c>
      <c r="L33" s="48" t="s">
        <v>712</v>
      </c>
      <c r="M33" s="47">
        <v>45</v>
      </c>
      <c r="N33" s="47">
        <v>50</v>
      </c>
      <c r="O33" s="46">
        <v>0.9</v>
      </c>
      <c r="Q33" s="45" t="s">
        <v>23</v>
      </c>
    </row>
    <row r="34" spans="4:17" hidden="1" x14ac:dyDescent="0.4">
      <c r="D34" s="45" t="s">
        <v>178</v>
      </c>
      <c r="E34" s="45" t="s">
        <v>179</v>
      </c>
      <c r="F34" s="45" t="s">
        <v>180</v>
      </c>
      <c r="G34" s="45" t="s">
        <v>181</v>
      </c>
      <c r="H34" s="50" t="s">
        <v>706</v>
      </c>
      <c r="I34" s="49">
        <v>46127</v>
      </c>
      <c r="J34" s="45" t="s">
        <v>705</v>
      </c>
      <c r="K34" s="45" t="s">
        <v>444</v>
      </c>
      <c r="L34" s="48" t="s">
        <v>711</v>
      </c>
      <c r="M34" s="47">
        <v>50</v>
      </c>
      <c r="N34" s="47">
        <v>50</v>
      </c>
      <c r="O34" s="46">
        <v>1</v>
      </c>
      <c r="Q34" s="45" t="s">
        <v>23</v>
      </c>
    </row>
    <row r="35" spans="4:17" hidden="1" x14ac:dyDescent="0.4">
      <c r="D35" s="45" t="s">
        <v>187</v>
      </c>
      <c r="E35" s="45" t="s">
        <v>188</v>
      </c>
      <c r="F35" s="45" t="s">
        <v>189</v>
      </c>
      <c r="G35" s="45" t="s">
        <v>190</v>
      </c>
      <c r="H35" s="50" t="s">
        <v>706</v>
      </c>
      <c r="I35" s="49">
        <v>46127</v>
      </c>
      <c r="J35" s="45" t="s">
        <v>705</v>
      </c>
      <c r="K35" s="45" t="s">
        <v>444</v>
      </c>
      <c r="L35" s="48" t="s">
        <v>708</v>
      </c>
      <c r="M35" s="47">
        <v>43</v>
      </c>
      <c r="N35" s="47">
        <v>50</v>
      </c>
      <c r="O35" s="46">
        <v>0.86</v>
      </c>
      <c r="Q35" s="45" t="s">
        <v>23</v>
      </c>
    </row>
    <row r="36" spans="4:17" hidden="1" x14ac:dyDescent="0.4">
      <c r="D36" s="45" t="s">
        <v>192</v>
      </c>
      <c r="E36" s="45" t="s">
        <v>193</v>
      </c>
      <c r="F36" s="45" t="s">
        <v>194</v>
      </c>
      <c r="G36" s="45" t="s">
        <v>195</v>
      </c>
      <c r="H36" s="50" t="s">
        <v>706</v>
      </c>
      <c r="I36" s="49">
        <v>46127</v>
      </c>
      <c r="J36" s="45" t="s">
        <v>705</v>
      </c>
      <c r="K36" s="45" t="s">
        <v>444</v>
      </c>
      <c r="L36" s="48" t="s">
        <v>708</v>
      </c>
      <c r="M36" s="47">
        <v>43</v>
      </c>
      <c r="N36" s="47">
        <v>50</v>
      </c>
      <c r="O36" s="46">
        <v>0.86</v>
      </c>
      <c r="Q36" s="45" t="s">
        <v>23</v>
      </c>
    </row>
    <row r="37" spans="4:17" hidden="1" x14ac:dyDescent="0.4">
      <c r="D37" s="45" t="s">
        <v>197</v>
      </c>
      <c r="E37" s="45" t="s">
        <v>198</v>
      </c>
      <c r="F37" s="45" t="s">
        <v>199</v>
      </c>
      <c r="G37" s="45" t="s">
        <v>200</v>
      </c>
      <c r="H37" s="50" t="s">
        <v>706</v>
      </c>
      <c r="I37" s="49">
        <v>46127</v>
      </c>
      <c r="J37" s="45" t="s">
        <v>705</v>
      </c>
      <c r="K37" s="45" t="s">
        <v>444</v>
      </c>
      <c r="L37" s="48" t="s">
        <v>710</v>
      </c>
      <c r="M37" s="47">
        <v>40</v>
      </c>
      <c r="N37" s="47">
        <v>50</v>
      </c>
      <c r="O37" s="46">
        <v>0.8</v>
      </c>
      <c r="Q37" s="45" t="s">
        <v>23</v>
      </c>
    </row>
    <row r="38" spans="4:17" hidden="1" x14ac:dyDescent="0.4">
      <c r="D38" s="45" t="s">
        <v>201</v>
      </c>
      <c r="E38" s="45" t="s">
        <v>143</v>
      </c>
      <c r="F38" s="45" t="s">
        <v>202</v>
      </c>
      <c r="G38" s="45" t="s">
        <v>203</v>
      </c>
      <c r="H38" s="50" t="s">
        <v>706</v>
      </c>
      <c r="I38" s="49">
        <v>46127</v>
      </c>
      <c r="J38" s="45" t="s">
        <v>705</v>
      </c>
      <c r="K38" s="45" t="s">
        <v>444</v>
      </c>
      <c r="L38" s="48" t="s">
        <v>709</v>
      </c>
      <c r="M38" s="47">
        <v>10</v>
      </c>
      <c r="N38" s="47">
        <v>50</v>
      </c>
      <c r="O38" s="46">
        <v>0.2</v>
      </c>
      <c r="Q38" s="45" t="s">
        <v>23</v>
      </c>
    </row>
    <row r="39" spans="4:17" hidden="1" x14ac:dyDescent="0.4">
      <c r="D39" s="45" t="s">
        <v>205</v>
      </c>
      <c r="E39" s="45" t="s">
        <v>206</v>
      </c>
      <c r="F39" s="45" t="s">
        <v>207</v>
      </c>
      <c r="G39" s="45" t="s">
        <v>208</v>
      </c>
      <c r="H39" s="50" t="s">
        <v>706</v>
      </c>
      <c r="I39" s="49">
        <v>46127</v>
      </c>
      <c r="J39" s="45" t="s">
        <v>705</v>
      </c>
      <c r="K39" s="45" t="s">
        <v>444</v>
      </c>
      <c r="L39" s="48" t="s">
        <v>708</v>
      </c>
      <c r="M39" s="47">
        <v>43</v>
      </c>
      <c r="N39" s="47">
        <v>50</v>
      </c>
      <c r="O39" s="46">
        <v>0.86</v>
      </c>
      <c r="Q39" s="45" t="s">
        <v>23</v>
      </c>
    </row>
    <row r="40" spans="4:17" hidden="1" x14ac:dyDescent="0.4">
      <c r="D40" s="45" t="s">
        <v>210</v>
      </c>
      <c r="E40" s="45" t="s">
        <v>211</v>
      </c>
      <c r="F40" s="45" t="s">
        <v>212</v>
      </c>
      <c r="G40" s="45" t="s">
        <v>213</v>
      </c>
      <c r="H40" s="50" t="s">
        <v>706</v>
      </c>
      <c r="I40" s="49">
        <v>46127</v>
      </c>
      <c r="J40" s="45" t="s">
        <v>705</v>
      </c>
      <c r="K40" s="45" t="s">
        <v>444</v>
      </c>
      <c r="L40" s="48" t="s">
        <v>707</v>
      </c>
      <c r="M40" s="47">
        <v>50</v>
      </c>
      <c r="N40" s="47">
        <v>50</v>
      </c>
      <c r="O40" s="46">
        <v>1</v>
      </c>
      <c r="Q40" s="45" t="s">
        <v>23</v>
      </c>
    </row>
    <row r="41" spans="4:17" hidden="1" x14ac:dyDescent="0.4">
      <c r="D41" s="45" t="s">
        <v>215</v>
      </c>
      <c r="E41" s="45" t="s">
        <v>216</v>
      </c>
      <c r="F41" s="45" t="s">
        <v>217</v>
      </c>
      <c r="G41" s="45" t="s">
        <v>218</v>
      </c>
      <c r="H41" s="50" t="s">
        <v>706</v>
      </c>
      <c r="I41" s="49">
        <v>46127</v>
      </c>
      <c r="J41" s="45" t="s">
        <v>705</v>
      </c>
      <c r="K41" s="45" t="s">
        <v>444</v>
      </c>
      <c r="L41" s="48" t="s">
        <v>704</v>
      </c>
      <c r="M41" s="47">
        <v>47</v>
      </c>
      <c r="N41" s="47">
        <v>50</v>
      </c>
      <c r="O41" s="46">
        <v>0.94</v>
      </c>
      <c r="Q41" s="45" t="s">
        <v>23</v>
      </c>
    </row>
    <row r="42" spans="4:17" hidden="1" x14ac:dyDescent="0.4">
      <c r="D42" s="45" t="s">
        <v>24</v>
      </c>
      <c r="E42" s="45" t="s">
        <v>25</v>
      </c>
      <c r="F42" s="45" t="s">
        <v>26</v>
      </c>
      <c r="G42" s="45" t="s">
        <v>27</v>
      </c>
      <c r="H42" s="50" t="s">
        <v>700</v>
      </c>
      <c r="I42" s="49">
        <v>46120</v>
      </c>
      <c r="J42" s="45" t="s">
        <v>445</v>
      </c>
      <c r="K42" s="45" t="s">
        <v>444</v>
      </c>
      <c r="L42" s="48"/>
      <c r="M42" s="47">
        <v>50</v>
      </c>
      <c r="N42" s="47">
        <v>50</v>
      </c>
      <c r="O42" s="46">
        <v>1</v>
      </c>
      <c r="Q42" s="45" t="s">
        <v>23</v>
      </c>
    </row>
    <row r="43" spans="4:17" hidden="1" x14ac:dyDescent="0.4">
      <c r="D43" s="45" t="s">
        <v>31</v>
      </c>
      <c r="E43" s="45" t="s">
        <v>32</v>
      </c>
      <c r="F43" s="45" t="s">
        <v>33</v>
      </c>
      <c r="G43" s="45" t="s">
        <v>34</v>
      </c>
      <c r="H43" s="50" t="s">
        <v>700</v>
      </c>
      <c r="I43" s="49">
        <v>46120</v>
      </c>
      <c r="J43" s="45" t="s">
        <v>445</v>
      </c>
      <c r="K43" s="45" t="s">
        <v>444</v>
      </c>
      <c r="L43" s="48"/>
      <c r="M43" s="47">
        <v>0</v>
      </c>
      <c r="N43" s="47">
        <v>50</v>
      </c>
      <c r="O43" s="46">
        <v>0</v>
      </c>
      <c r="Q43" s="45" t="s">
        <v>23</v>
      </c>
    </row>
    <row r="44" spans="4:17" hidden="1" x14ac:dyDescent="0.4">
      <c r="D44" s="45" t="s">
        <v>36</v>
      </c>
      <c r="E44" s="45" t="s">
        <v>37</v>
      </c>
      <c r="F44" s="45" t="s">
        <v>38</v>
      </c>
      <c r="G44" s="45" t="s">
        <v>39</v>
      </c>
      <c r="H44" s="50" t="s">
        <v>700</v>
      </c>
      <c r="I44" s="49">
        <v>46120</v>
      </c>
      <c r="J44" s="45" t="s">
        <v>445</v>
      </c>
      <c r="K44" s="45" t="s">
        <v>444</v>
      </c>
      <c r="L44" s="48"/>
      <c r="M44" s="47">
        <v>0</v>
      </c>
      <c r="N44" s="47">
        <v>50</v>
      </c>
      <c r="O44" s="46">
        <v>0</v>
      </c>
      <c r="Q44" s="45" t="s">
        <v>23</v>
      </c>
    </row>
    <row r="45" spans="4:17" hidden="1" x14ac:dyDescent="0.4">
      <c r="D45" s="45" t="s">
        <v>41</v>
      </c>
      <c r="E45" s="45" t="s">
        <v>42</v>
      </c>
      <c r="F45" s="45" t="s">
        <v>43</v>
      </c>
      <c r="G45" s="45" t="s">
        <v>44</v>
      </c>
      <c r="H45" s="50" t="s">
        <v>700</v>
      </c>
      <c r="I45" s="49">
        <v>46120</v>
      </c>
      <c r="J45" s="45" t="s">
        <v>445</v>
      </c>
      <c r="K45" s="45" t="s">
        <v>444</v>
      </c>
      <c r="L45" s="48"/>
      <c r="M45" s="47">
        <v>50</v>
      </c>
      <c r="N45" s="47">
        <v>50</v>
      </c>
      <c r="O45" s="46">
        <v>1</v>
      </c>
      <c r="Q45" s="45" t="s">
        <v>23</v>
      </c>
    </row>
    <row r="46" spans="4:17" hidden="1" x14ac:dyDescent="0.4">
      <c r="D46" s="45" t="s">
        <v>46</v>
      </c>
      <c r="E46" s="45" t="s">
        <v>47</v>
      </c>
      <c r="F46" s="45" t="s">
        <v>48</v>
      </c>
      <c r="G46" s="45" t="s">
        <v>49</v>
      </c>
      <c r="H46" s="50" t="s">
        <v>700</v>
      </c>
      <c r="I46" s="49">
        <v>46120</v>
      </c>
      <c r="J46" s="45" t="s">
        <v>445</v>
      </c>
      <c r="K46" s="45" t="s">
        <v>444</v>
      </c>
      <c r="L46" s="48"/>
      <c r="M46" s="47">
        <v>0</v>
      </c>
      <c r="N46" s="47">
        <v>50</v>
      </c>
      <c r="O46" s="46">
        <v>0</v>
      </c>
      <c r="Q46" s="45" t="s">
        <v>23</v>
      </c>
    </row>
    <row r="47" spans="4:17" hidden="1" x14ac:dyDescent="0.4">
      <c r="D47" s="45" t="s">
        <v>51</v>
      </c>
      <c r="E47" s="45" t="s">
        <v>52</v>
      </c>
      <c r="F47" s="45" t="s">
        <v>53</v>
      </c>
      <c r="G47" s="45" t="s">
        <v>54</v>
      </c>
      <c r="H47" s="50" t="s">
        <v>700</v>
      </c>
      <c r="I47" s="49">
        <v>46120</v>
      </c>
      <c r="J47" s="45" t="s">
        <v>445</v>
      </c>
      <c r="K47" s="45" t="s">
        <v>444</v>
      </c>
      <c r="L47" s="48"/>
      <c r="M47" s="47">
        <v>0</v>
      </c>
      <c r="N47" s="47">
        <v>50</v>
      </c>
      <c r="O47" s="46">
        <v>0</v>
      </c>
      <c r="Q47" s="45" t="s">
        <v>23</v>
      </c>
    </row>
    <row r="48" spans="4:17" hidden="1" x14ac:dyDescent="0.4">
      <c r="D48" s="45" t="s">
        <v>56</v>
      </c>
      <c r="E48" s="45" t="s">
        <v>52</v>
      </c>
      <c r="F48" s="45" t="s">
        <v>57</v>
      </c>
      <c r="G48" s="45" t="s">
        <v>58</v>
      </c>
      <c r="H48" s="50" t="s">
        <v>700</v>
      </c>
      <c r="I48" s="49">
        <v>46120</v>
      </c>
      <c r="J48" s="45" t="s">
        <v>445</v>
      </c>
      <c r="K48" s="45" t="s">
        <v>444</v>
      </c>
      <c r="L48" s="48"/>
      <c r="M48" s="47">
        <v>50</v>
      </c>
      <c r="N48" s="47">
        <v>50</v>
      </c>
      <c r="O48" s="46">
        <v>1</v>
      </c>
      <c r="Q48" s="45" t="s">
        <v>23</v>
      </c>
    </row>
    <row r="49" spans="4:17" hidden="1" x14ac:dyDescent="0.4">
      <c r="D49" s="45" t="s">
        <v>60</v>
      </c>
      <c r="E49" s="45" t="s">
        <v>61</v>
      </c>
      <c r="F49" s="45" t="s">
        <v>62</v>
      </c>
      <c r="G49" s="45" t="s">
        <v>63</v>
      </c>
      <c r="H49" s="50" t="s">
        <v>700</v>
      </c>
      <c r="I49" s="49">
        <v>46120</v>
      </c>
      <c r="J49" s="45" t="s">
        <v>445</v>
      </c>
      <c r="K49" s="45" t="s">
        <v>444</v>
      </c>
      <c r="L49" s="48"/>
      <c r="M49" s="47">
        <v>50</v>
      </c>
      <c r="N49" s="47">
        <v>50</v>
      </c>
      <c r="O49" s="46">
        <v>1</v>
      </c>
      <c r="Q49" s="45" t="s">
        <v>23</v>
      </c>
    </row>
    <row r="50" spans="4:17" hidden="1" x14ac:dyDescent="0.4">
      <c r="D50" s="45" t="s">
        <v>65</v>
      </c>
      <c r="E50" s="45" t="s">
        <v>66</v>
      </c>
      <c r="F50" s="45" t="s">
        <v>67</v>
      </c>
      <c r="G50" s="45" t="s">
        <v>68</v>
      </c>
      <c r="H50" s="50" t="s">
        <v>700</v>
      </c>
      <c r="I50" s="49">
        <v>46120</v>
      </c>
      <c r="J50" s="45" t="s">
        <v>445</v>
      </c>
      <c r="K50" s="45" t="s">
        <v>444</v>
      </c>
      <c r="L50" s="48"/>
      <c r="M50" s="47">
        <v>50</v>
      </c>
      <c r="N50" s="47">
        <v>50</v>
      </c>
      <c r="O50" s="46">
        <v>1</v>
      </c>
      <c r="Q50" s="45" t="s">
        <v>23</v>
      </c>
    </row>
    <row r="51" spans="4:17" hidden="1" x14ac:dyDescent="0.4">
      <c r="D51" s="45" t="s">
        <v>70</v>
      </c>
      <c r="E51" s="45" t="s">
        <v>71</v>
      </c>
      <c r="F51" s="45" t="s">
        <v>72</v>
      </c>
      <c r="G51" s="45" t="s">
        <v>73</v>
      </c>
      <c r="H51" s="50" t="s">
        <v>700</v>
      </c>
      <c r="I51" s="49">
        <v>46120</v>
      </c>
      <c r="J51" s="45" t="s">
        <v>445</v>
      </c>
      <c r="K51" s="45" t="s">
        <v>444</v>
      </c>
      <c r="L51" s="48"/>
      <c r="M51" s="47">
        <v>50</v>
      </c>
      <c r="N51" s="47">
        <v>50</v>
      </c>
      <c r="O51" s="46">
        <v>1</v>
      </c>
      <c r="Q51" s="45" t="s">
        <v>23</v>
      </c>
    </row>
    <row r="52" spans="4:17" hidden="1" x14ac:dyDescent="0.4">
      <c r="D52" s="45" t="s">
        <v>75</v>
      </c>
      <c r="E52" s="45" t="s">
        <v>76</v>
      </c>
      <c r="F52" s="45" t="s">
        <v>77</v>
      </c>
      <c r="G52" s="45" t="s">
        <v>78</v>
      </c>
      <c r="H52" s="50" t="s">
        <v>700</v>
      </c>
      <c r="I52" s="49">
        <v>46120</v>
      </c>
      <c r="J52" s="45" t="s">
        <v>445</v>
      </c>
      <c r="K52" s="45" t="s">
        <v>444</v>
      </c>
      <c r="L52" s="48" t="s">
        <v>703</v>
      </c>
      <c r="M52" s="47">
        <v>0</v>
      </c>
      <c r="N52" s="47">
        <v>50</v>
      </c>
      <c r="O52" s="46">
        <v>0</v>
      </c>
      <c r="Q52" s="45" t="s">
        <v>23</v>
      </c>
    </row>
    <row r="53" spans="4:17" hidden="1" x14ac:dyDescent="0.4">
      <c r="D53" s="45" t="s">
        <v>80</v>
      </c>
      <c r="E53" s="45" t="s">
        <v>81</v>
      </c>
      <c r="F53" s="45" t="s">
        <v>82</v>
      </c>
      <c r="G53" s="45" t="s">
        <v>83</v>
      </c>
      <c r="H53" s="50" t="s">
        <v>700</v>
      </c>
      <c r="I53" s="49">
        <v>46120</v>
      </c>
      <c r="J53" s="45" t="s">
        <v>445</v>
      </c>
      <c r="K53" s="45" t="s">
        <v>444</v>
      </c>
      <c r="L53" s="48"/>
      <c r="M53" s="47">
        <v>50</v>
      </c>
      <c r="N53" s="47">
        <v>50</v>
      </c>
      <c r="O53" s="46">
        <v>1</v>
      </c>
      <c r="Q53" s="45" t="s">
        <v>23</v>
      </c>
    </row>
    <row r="54" spans="4:17" hidden="1" x14ac:dyDescent="0.4">
      <c r="D54" s="45" t="s">
        <v>85</v>
      </c>
      <c r="E54" s="45" t="s">
        <v>86</v>
      </c>
      <c r="F54" s="45" t="s">
        <v>87</v>
      </c>
      <c r="G54" s="45" t="s">
        <v>88</v>
      </c>
      <c r="H54" s="50" t="s">
        <v>700</v>
      </c>
      <c r="I54" s="49">
        <v>46120</v>
      </c>
      <c r="J54" s="45" t="s">
        <v>445</v>
      </c>
      <c r="K54" s="45" t="s">
        <v>444</v>
      </c>
      <c r="L54" s="48"/>
      <c r="M54" s="47">
        <v>50</v>
      </c>
      <c r="N54" s="47">
        <v>50</v>
      </c>
      <c r="O54" s="46">
        <v>1</v>
      </c>
      <c r="Q54" s="45" t="s">
        <v>23</v>
      </c>
    </row>
    <row r="55" spans="4:17" hidden="1" x14ac:dyDescent="0.4">
      <c r="D55" s="45" t="s">
        <v>89</v>
      </c>
      <c r="E55" s="45" t="s">
        <v>90</v>
      </c>
      <c r="F55" s="45" t="s">
        <v>91</v>
      </c>
      <c r="G55" s="45" t="s">
        <v>92</v>
      </c>
      <c r="H55" s="50" t="s">
        <v>700</v>
      </c>
      <c r="I55" s="49">
        <v>46120</v>
      </c>
      <c r="J55" s="45" t="s">
        <v>445</v>
      </c>
      <c r="K55" s="45" t="s">
        <v>444</v>
      </c>
      <c r="L55" s="48"/>
      <c r="M55" s="47">
        <v>50</v>
      </c>
      <c r="N55" s="47">
        <v>50</v>
      </c>
      <c r="O55" s="46">
        <v>1</v>
      </c>
      <c r="Q55" s="45" t="s">
        <v>23</v>
      </c>
    </row>
    <row r="56" spans="4:17" hidden="1" x14ac:dyDescent="0.4">
      <c r="D56" s="45" t="s">
        <v>94</v>
      </c>
      <c r="E56" s="45" t="s">
        <v>95</v>
      </c>
      <c r="F56" s="45" t="s">
        <v>96</v>
      </c>
      <c r="G56" s="45" t="s">
        <v>97</v>
      </c>
      <c r="H56" s="50" t="s">
        <v>700</v>
      </c>
      <c r="I56" s="49">
        <v>46120</v>
      </c>
      <c r="J56" s="45" t="s">
        <v>445</v>
      </c>
      <c r="K56" s="45" t="s">
        <v>444</v>
      </c>
      <c r="L56" s="48"/>
      <c r="M56" s="47">
        <v>50</v>
      </c>
      <c r="N56" s="47">
        <v>50</v>
      </c>
      <c r="O56" s="46">
        <v>1</v>
      </c>
      <c r="Q56" s="45" t="s">
        <v>23</v>
      </c>
    </row>
    <row r="57" spans="4:17" hidden="1" x14ac:dyDescent="0.4">
      <c r="D57" s="45" t="s">
        <v>99</v>
      </c>
      <c r="E57" s="45" t="s">
        <v>100</v>
      </c>
      <c r="F57" s="45" t="s">
        <v>101</v>
      </c>
      <c r="G57" s="45" t="s">
        <v>102</v>
      </c>
      <c r="H57" s="50" t="s">
        <v>700</v>
      </c>
      <c r="I57" s="49">
        <v>46120</v>
      </c>
      <c r="J57" s="45" t="s">
        <v>445</v>
      </c>
      <c r="K57" s="45" t="s">
        <v>444</v>
      </c>
      <c r="L57" s="48"/>
      <c r="M57" s="47">
        <v>50</v>
      </c>
      <c r="N57" s="47">
        <v>50</v>
      </c>
      <c r="O57" s="46">
        <v>1</v>
      </c>
      <c r="Q57" s="45" t="s">
        <v>23</v>
      </c>
    </row>
    <row r="58" spans="4:17" hidden="1" x14ac:dyDescent="0.4">
      <c r="D58" s="45" t="s">
        <v>104</v>
      </c>
      <c r="E58" s="45" t="s">
        <v>86</v>
      </c>
      <c r="F58" s="45" t="s">
        <v>105</v>
      </c>
      <c r="G58" s="45" t="s">
        <v>106</v>
      </c>
      <c r="H58" s="50" t="s">
        <v>700</v>
      </c>
      <c r="I58" s="49">
        <v>46120</v>
      </c>
      <c r="J58" s="45" t="s">
        <v>445</v>
      </c>
      <c r="K58" s="45" t="s">
        <v>444</v>
      </c>
      <c r="L58" s="48"/>
      <c r="M58" s="47">
        <v>50</v>
      </c>
      <c r="N58" s="47">
        <v>50</v>
      </c>
      <c r="O58" s="46">
        <v>1</v>
      </c>
      <c r="Q58" s="45" t="s">
        <v>23</v>
      </c>
    </row>
    <row r="59" spans="4:17" hidden="1" x14ac:dyDescent="0.4">
      <c r="D59" s="45" t="s">
        <v>107</v>
      </c>
      <c r="E59" s="45" t="s">
        <v>108</v>
      </c>
      <c r="F59" s="45" t="s">
        <v>109</v>
      </c>
      <c r="G59" s="45" t="s">
        <v>110</v>
      </c>
      <c r="H59" s="50" t="s">
        <v>700</v>
      </c>
      <c r="I59" s="49">
        <v>46120</v>
      </c>
      <c r="J59" s="45" t="s">
        <v>445</v>
      </c>
      <c r="K59" s="45" t="s">
        <v>444</v>
      </c>
      <c r="L59" s="48"/>
      <c r="M59" s="47">
        <v>50</v>
      </c>
      <c r="N59" s="47">
        <v>50</v>
      </c>
      <c r="O59" s="46">
        <v>1</v>
      </c>
      <c r="Q59" s="45" t="s">
        <v>23</v>
      </c>
    </row>
    <row r="60" spans="4:17" hidden="1" x14ac:dyDescent="0.4">
      <c r="D60" s="45" t="s">
        <v>112</v>
      </c>
      <c r="E60" s="45" t="s">
        <v>113</v>
      </c>
      <c r="F60" s="45" t="s">
        <v>114</v>
      </c>
      <c r="G60" s="45" t="s">
        <v>115</v>
      </c>
      <c r="H60" s="50" t="s">
        <v>700</v>
      </c>
      <c r="I60" s="49">
        <v>46120</v>
      </c>
      <c r="J60" s="45" t="s">
        <v>445</v>
      </c>
      <c r="K60" s="45" t="s">
        <v>444</v>
      </c>
      <c r="L60" s="48"/>
      <c r="M60" s="47">
        <v>50</v>
      </c>
      <c r="N60" s="47">
        <v>50</v>
      </c>
      <c r="O60" s="46">
        <v>1</v>
      </c>
      <c r="Q60" s="45" t="s">
        <v>23</v>
      </c>
    </row>
    <row r="61" spans="4:17" hidden="1" x14ac:dyDescent="0.4">
      <c r="D61" s="45" t="s">
        <v>117</v>
      </c>
      <c r="E61" s="45" t="s">
        <v>118</v>
      </c>
      <c r="F61" s="45" t="s">
        <v>119</v>
      </c>
      <c r="G61" s="45" t="s">
        <v>120</v>
      </c>
      <c r="H61" s="50" t="s">
        <v>700</v>
      </c>
      <c r="I61" s="49">
        <v>46120</v>
      </c>
      <c r="J61" s="45" t="s">
        <v>445</v>
      </c>
      <c r="K61" s="45" t="s">
        <v>444</v>
      </c>
      <c r="L61" s="48"/>
      <c r="M61" s="47">
        <v>50</v>
      </c>
      <c r="N61" s="47">
        <v>50</v>
      </c>
      <c r="O61" s="46">
        <v>1</v>
      </c>
      <c r="Q61" s="45" t="s">
        <v>23</v>
      </c>
    </row>
    <row r="62" spans="4:17" hidden="1" x14ac:dyDescent="0.4">
      <c r="D62" s="45" t="s">
        <v>122</v>
      </c>
      <c r="E62" s="45" t="s">
        <v>123</v>
      </c>
      <c r="F62" s="45" t="s">
        <v>124</v>
      </c>
      <c r="G62" s="45" t="s">
        <v>125</v>
      </c>
      <c r="H62" s="50" t="s">
        <v>700</v>
      </c>
      <c r="I62" s="49">
        <v>46120</v>
      </c>
      <c r="J62" s="45" t="s">
        <v>445</v>
      </c>
      <c r="K62" s="45" t="s">
        <v>444</v>
      </c>
      <c r="L62" s="48"/>
      <c r="M62" s="47">
        <v>50</v>
      </c>
      <c r="N62" s="47">
        <v>50</v>
      </c>
      <c r="O62" s="46">
        <v>1</v>
      </c>
      <c r="Q62" s="45" t="s">
        <v>23</v>
      </c>
    </row>
    <row r="63" spans="4:17" hidden="1" x14ac:dyDescent="0.4">
      <c r="D63" s="45" t="s">
        <v>127</v>
      </c>
      <c r="E63" s="45" t="s">
        <v>128</v>
      </c>
      <c r="F63" s="45" t="s">
        <v>129</v>
      </c>
      <c r="G63" s="45" t="s">
        <v>130</v>
      </c>
      <c r="H63" s="50" t="s">
        <v>700</v>
      </c>
      <c r="I63" s="49">
        <v>46120</v>
      </c>
      <c r="J63" s="45" t="s">
        <v>445</v>
      </c>
      <c r="K63" s="45" t="s">
        <v>444</v>
      </c>
      <c r="L63" s="48"/>
      <c r="M63" s="47">
        <v>50</v>
      </c>
      <c r="N63" s="47">
        <v>50</v>
      </c>
      <c r="O63" s="46">
        <v>1</v>
      </c>
      <c r="Q63" s="45" t="s">
        <v>23</v>
      </c>
    </row>
    <row r="64" spans="4:17" hidden="1" x14ac:dyDescent="0.4">
      <c r="D64" s="45" t="s">
        <v>132</v>
      </c>
      <c r="E64" s="45" t="s">
        <v>133</v>
      </c>
      <c r="F64" s="45" t="s">
        <v>134</v>
      </c>
      <c r="G64" s="45" t="s">
        <v>135</v>
      </c>
      <c r="H64" s="50" t="s">
        <v>700</v>
      </c>
      <c r="I64" s="49">
        <v>46120</v>
      </c>
      <c r="J64" s="45" t="s">
        <v>445</v>
      </c>
      <c r="K64" s="45" t="s">
        <v>444</v>
      </c>
      <c r="L64" s="48"/>
      <c r="M64" s="47">
        <v>0</v>
      </c>
      <c r="N64" s="47">
        <v>50</v>
      </c>
      <c r="O64" s="46">
        <v>0</v>
      </c>
      <c r="Q64" s="45" t="s">
        <v>23</v>
      </c>
    </row>
    <row r="65" spans="4:17" hidden="1" x14ac:dyDescent="0.4">
      <c r="D65" s="45" t="s">
        <v>137</v>
      </c>
      <c r="E65" s="45" t="s">
        <v>138</v>
      </c>
      <c r="F65" s="45" t="s">
        <v>139</v>
      </c>
      <c r="G65" s="45" t="s">
        <v>140</v>
      </c>
      <c r="H65" s="50" t="s">
        <v>700</v>
      </c>
      <c r="I65" s="49">
        <v>46120</v>
      </c>
      <c r="J65" s="45" t="s">
        <v>445</v>
      </c>
      <c r="K65" s="45" t="s">
        <v>444</v>
      </c>
      <c r="L65" s="48" t="s">
        <v>702</v>
      </c>
      <c r="M65" s="47">
        <v>0</v>
      </c>
      <c r="N65" s="47">
        <v>50</v>
      </c>
      <c r="O65" s="46">
        <v>0</v>
      </c>
      <c r="Q65" s="45" t="s">
        <v>23</v>
      </c>
    </row>
    <row r="66" spans="4:17" hidden="1" x14ac:dyDescent="0.4">
      <c r="D66" s="45" t="s">
        <v>142</v>
      </c>
      <c r="E66" s="45" t="s">
        <v>143</v>
      </c>
      <c r="F66" s="45" t="s">
        <v>144</v>
      </c>
      <c r="G66" s="45" t="s">
        <v>145</v>
      </c>
      <c r="H66" s="50" t="s">
        <v>700</v>
      </c>
      <c r="I66" s="49">
        <v>46120</v>
      </c>
      <c r="J66" s="45" t="s">
        <v>445</v>
      </c>
      <c r="K66" s="45" t="s">
        <v>444</v>
      </c>
      <c r="L66" s="48" t="s">
        <v>701</v>
      </c>
      <c r="M66" s="47">
        <v>0</v>
      </c>
      <c r="N66" s="47">
        <v>50</v>
      </c>
      <c r="O66" s="46">
        <v>0</v>
      </c>
      <c r="Q66" s="45" t="s">
        <v>23</v>
      </c>
    </row>
    <row r="67" spans="4:17" hidden="1" x14ac:dyDescent="0.4">
      <c r="D67" s="45" t="s">
        <v>147</v>
      </c>
      <c r="E67" s="45" t="s">
        <v>148</v>
      </c>
      <c r="F67" s="45" t="s">
        <v>149</v>
      </c>
      <c r="G67" s="45" t="s">
        <v>150</v>
      </c>
      <c r="H67" s="50" t="s">
        <v>700</v>
      </c>
      <c r="I67" s="49">
        <v>46120</v>
      </c>
      <c r="J67" s="45" t="s">
        <v>445</v>
      </c>
      <c r="K67" s="45" t="s">
        <v>444</v>
      </c>
      <c r="L67" s="48"/>
      <c r="M67" s="47">
        <v>50</v>
      </c>
      <c r="N67" s="47">
        <v>50</v>
      </c>
      <c r="O67" s="46">
        <v>1</v>
      </c>
      <c r="Q67" s="45" t="s">
        <v>23</v>
      </c>
    </row>
    <row r="68" spans="4:17" hidden="1" x14ac:dyDescent="0.4">
      <c r="D68" s="45" t="s">
        <v>152</v>
      </c>
      <c r="E68" s="45" t="s">
        <v>66</v>
      </c>
      <c r="F68" s="45" t="s">
        <v>153</v>
      </c>
      <c r="G68" s="45" t="s">
        <v>154</v>
      </c>
      <c r="H68" s="50" t="s">
        <v>700</v>
      </c>
      <c r="I68" s="49">
        <v>46120</v>
      </c>
      <c r="J68" s="45" t="s">
        <v>445</v>
      </c>
      <c r="K68" s="45" t="s">
        <v>444</v>
      </c>
      <c r="L68" s="48"/>
      <c r="M68" s="47">
        <v>50</v>
      </c>
      <c r="N68" s="47">
        <v>50</v>
      </c>
      <c r="O68" s="46">
        <v>1</v>
      </c>
      <c r="Q68" s="45" t="s">
        <v>23</v>
      </c>
    </row>
    <row r="69" spans="4:17" hidden="1" x14ac:dyDescent="0.4">
      <c r="D69" s="45" t="s">
        <v>160</v>
      </c>
      <c r="E69" s="45" t="s">
        <v>81</v>
      </c>
      <c r="F69" s="45" t="s">
        <v>161</v>
      </c>
      <c r="G69" s="45" t="s">
        <v>162</v>
      </c>
      <c r="H69" s="50" t="s">
        <v>700</v>
      </c>
      <c r="I69" s="49">
        <v>46120</v>
      </c>
      <c r="J69" s="45" t="s">
        <v>445</v>
      </c>
      <c r="K69" s="45" t="s">
        <v>444</v>
      </c>
      <c r="L69" s="48"/>
      <c r="M69" s="47">
        <v>0</v>
      </c>
      <c r="N69" s="47">
        <v>50</v>
      </c>
      <c r="O69" s="46">
        <v>0</v>
      </c>
      <c r="Q69" s="45" t="s">
        <v>23</v>
      </c>
    </row>
    <row r="70" spans="4:17" hidden="1" x14ac:dyDescent="0.4">
      <c r="D70" s="45" t="s">
        <v>163</v>
      </c>
      <c r="E70" s="45" t="s">
        <v>164</v>
      </c>
      <c r="F70" s="45" t="s">
        <v>165</v>
      </c>
      <c r="G70" s="45" t="s">
        <v>166</v>
      </c>
      <c r="H70" s="50" t="s">
        <v>700</v>
      </c>
      <c r="I70" s="49">
        <v>46120</v>
      </c>
      <c r="J70" s="45" t="s">
        <v>445</v>
      </c>
      <c r="K70" s="45" t="s">
        <v>444</v>
      </c>
      <c r="L70" s="48"/>
      <c r="M70" s="47">
        <v>50</v>
      </c>
      <c r="N70" s="47">
        <v>50</v>
      </c>
      <c r="O70" s="46">
        <v>1</v>
      </c>
      <c r="Q70" s="45" t="s">
        <v>23</v>
      </c>
    </row>
    <row r="71" spans="4:17" hidden="1" x14ac:dyDescent="0.4">
      <c r="D71" s="45" t="s">
        <v>168</v>
      </c>
      <c r="E71" s="45" t="s">
        <v>169</v>
      </c>
      <c r="F71" s="45" t="s">
        <v>170</v>
      </c>
      <c r="G71" s="45" t="s">
        <v>171</v>
      </c>
      <c r="H71" s="50" t="s">
        <v>700</v>
      </c>
      <c r="I71" s="49">
        <v>46120</v>
      </c>
      <c r="J71" s="45" t="s">
        <v>445</v>
      </c>
      <c r="K71" s="45" t="s">
        <v>444</v>
      </c>
      <c r="L71" s="48"/>
      <c r="M71" s="47">
        <v>50</v>
      </c>
      <c r="N71" s="47">
        <v>50</v>
      </c>
      <c r="O71" s="46">
        <v>1</v>
      </c>
      <c r="Q71" s="45" t="s">
        <v>23</v>
      </c>
    </row>
    <row r="72" spans="4:17" hidden="1" x14ac:dyDescent="0.4">
      <c r="D72" s="45" t="s">
        <v>173</v>
      </c>
      <c r="E72" s="45" t="s">
        <v>174</v>
      </c>
      <c r="F72" s="45" t="s">
        <v>175</v>
      </c>
      <c r="G72" s="45" t="s">
        <v>176</v>
      </c>
      <c r="H72" s="50" t="s">
        <v>700</v>
      </c>
      <c r="I72" s="49">
        <v>46120</v>
      </c>
      <c r="J72" s="45" t="s">
        <v>445</v>
      </c>
      <c r="K72" s="45" t="s">
        <v>444</v>
      </c>
      <c r="L72" s="48"/>
      <c r="M72" s="47">
        <v>0</v>
      </c>
      <c r="N72" s="47">
        <v>50</v>
      </c>
      <c r="O72" s="46">
        <v>0</v>
      </c>
      <c r="Q72" s="45" t="s">
        <v>23</v>
      </c>
    </row>
    <row r="73" spans="4:17" hidden="1" x14ac:dyDescent="0.4">
      <c r="D73" s="45" t="s">
        <v>178</v>
      </c>
      <c r="E73" s="45" t="s">
        <v>179</v>
      </c>
      <c r="F73" s="45" t="s">
        <v>180</v>
      </c>
      <c r="G73" s="45" t="s">
        <v>181</v>
      </c>
      <c r="H73" s="50" t="s">
        <v>700</v>
      </c>
      <c r="I73" s="49">
        <v>46120</v>
      </c>
      <c r="J73" s="45" t="s">
        <v>445</v>
      </c>
      <c r="K73" s="45" t="s">
        <v>444</v>
      </c>
      <c r="L73" s="48"/>
      <c r="M73" s="47">
        <v>0</v>
      </c>
      <c r="N73" s="47">
        <v>50</v>
      </c>
      <c r="O73" s="46">
        <v>0</v>
      </c>
      <c r="Q73" s="45" t="s">
        <v>23</v>
      </c>
    </row>
    <row r="74" spans="4:17" hidden="1" x14ac:dyDescent="0.4">
      <c r="D74" s="45" t="s">
        <v>187</v>
      </c>
      <c r="E74" s="45" t="s">
        <v>188</v>
      </c>
      <c r="F74" s="45" t="s">
        <v>189</v>
      </c>
      <c r="G74" s="45" t="s">
        <v>190</v>
      </c>
      <c r="H74" s="50" t="s">
        <v>700</v>
      </c>
      <c r="I74" s="49">
        <v>46120</v>
      </c>
      <c r="J74" s="45" t="s">
        <v>445</v>
      </c>
      <c r="K74" s="45" t="s">
        <v>444</v>
      </c>
      <c r="L74" s="48"/>
      <c r="M74" s="47">
        <v>0</v>
      </c>
      <c r="N74" s="47">
        <v>50</v>
      </c>
      <c r="O74" s="46">
        <v>0</v>
      </c>
      <c r="Q74" s="45" t="s">
        <v>23</v>
      </c>
    </row>
    <row r="75" spans="4:17" hidden="1" x14ac:dyDescent="0.4">
      <c r="D75" s="45" t="s">
        <v>192</v>
      </c>
      <c r="E75" s="45" t="s">
        <v>193</v>
      </c>
      <c r="F75" s="45" t="s">
        <v>194</v>
      </c>
      <c r="G75" s="45" t="s">
        <v>195</v>
      </c>
      <c r="H75" s="50" t="s">
        <v>700</v>
      </c>
      <c r="I75" s="49">
        <v>46120</v>
      </c>
      <c r="J75" s="45" t="s">
        <v>445</v>
      </c>
      <c r="K75" s="45" t="s">
        <v>444</v>
      </c>
      <c r="L75" s="48"/>
      <c r="M75" s="47">
        <v>50</v>
      </c>
      <c r="N75" s="47">
        <v>50</v>
      </c>
      <c r="O75" s="46">
        <v>1</v>
      </c>
      <c r="Q75" s="45" t="s">
        <v>23</v>
      </c>
    </row>
    <row r="76" spans="4:17" hidden="1" x14ac:dyDescent="0.4">
      <c r="D76" s="45" t="s">
        <v>197</v>
      </c>
      <c r="E76" s="45" t="s">
        <v>198</v>
      </c>
      <c r="F76" s="45" t="s">
        <v>199</v>
      </c>
      <c r="G76" s="45" t="s">
        <v>200</v>
      </c>
      <c r="H76" s="50" t="s">
        <v>700</v>
      </c>
      <c r="I76" s="49">
        <v>46120</v>
      </c>
      <c r="J76" s="45" t="s">
        <v>445</v>
      </c>
      <c r="K76" s="45" t="s">
        <v>444</v>
      </c>
      <c r="L76" s="48"/>
      <c r="M76" s="47">
        <v>50</v>
      </c>
      <c r="N76" s="47">
        <v>50</v>
      </c>
      <c r="O76" s="46">
        <v>1</v>
      </c>
      <c r="Q76" s="45" t="s">
        <v>23</v>
      </c>
    </row>
    <row r="77" spans="4:17" hidden="1" x14ac:dyDescent="0.4">
      <c r="D77" s="45" t="s">
        <v>201</v>
      </c>
      <c r="E77" s="45" t="s">
        <v>143</v>
      </c>
      <c r="F77" s="45" t="s">
        <v>202</v>
      </c>
      <c r="G77" s="45" t="s">
        <v>203</v>
      </c>
      <c r="H77" s="50" t="s">
        <v>700</v>
      </c>
      <c r="I77" s="49">
        <v>46120</v>
      </c>
      <c r="J77" s="45" t="s">
        <v>445</v>
      </c>
      <c r="K77" s="45" t="s">
        <v>444</v>
      </c>
      <c r="L77" s="48"/>
      <c r="M77" s="47">
        <v>0</v>
      </c>
      <c r="N77" s="47">
        <v>50</v>
      </c>
      <c r="O77" s="46">
        <v>0</v>
      </c>
      <c r="Q77" s="45" t="s">
        <v>23</v>
      </c>
    </row>
    <row r="78" spans="4:17" hidden="1" x14ac:dyDescent="0.4">
      <c r="D78" s="45" t="s">
        <v>205</v>
      </c>
      <c r="E78" s="45" t="s">
        <v>206</v>
      </c>
      <c r="F78" s="45" t="s">
        <v>207</v>
      </c>
      <c r="G78" s="45" t="s">
        <v>208</v>
      </c>
      <c r="H78" s="50" t="s">
        <v>700</v>
      </c>
      <c r="I78" s="49">
        <v>46120</v>
      </c>
      <c r="J78" s="45" t="s">
        <v>445</v>
      </c>
      <c r="K78" s="45" t="s">
        <v>444</v>
      </c>
      <c r="L78" s="48"/>
      <c r="M78" s="47">
        <v>0</v>
      </c>
      <c r="N78" s="47">
        <v>50</v>
      </c>
      <c r="O78" s="46">
        <v>0</v>
      </c>
      <c r="Q78" s="45" t="s">
        <v>23</v>
      </c>
    </row>
    <row r="79" spans="4:17" hidden="1" x14ac:dyDescent="0.4">
      <c r="D79" s="45" t="s">
        <v>210</v>
      </c>
      <c r="E79" s="45" t="s">
        <v>211</v>
      </c>
      <c r="F79" s="45" t="s">
        <v>212</v>
      </c>
      <c r="G79" s="45" t="s">
        <v>213</v>
      </c>
      <c r="H79" s="50" t="s">
        <v>700</v>
      </c>
      <c r="I79" s="49">
        <v>46120</v>
      </c>
      <c r="J79" s="45" t="s">
        <v>445</v>
      </c>
      <c r="K79" s="45" t="s">
        <v>444</v>
      </c>
      <c r="L79" s="48"/>
      <c r="M79" s="47">
        <v>50</v>
      </c>
      <c r="N79" s="47">
        <v>50</v>
      </c>
      <c r="O79" s="46">
        <v>1</v>
      </c>
      <c r="Q79" s="45" t="s">
        <v>23</v>
      </c>
    </row>
    <row r="80" spans="4:17" hidden="1" x14ac:dyDescent="0.4">
      <c r="D80" s="45" t="s">
        <v>215</v>
      </c>
      <c r="E80" s="45" t="s">
        <v>216</v>
      </c>
      <c r="F80" s="45" t="s">
        <v>217</v>
      </c>
      <c r="G80" s="45" t="s">
        <v>218</v>
      </c>
      <c r="H80" s="50" t="s">
        <v>700</v>
      </c>
      <c r="I80" s="49">
        <v>46120</v>
      </c>
      <c r="J80" s="45" t="s">
        <v>445</v>
      </c>
      <c r="K80" s="45" t="s">
        <v>444</v>
      </c>
      <c r="L80" s="48"/>
      <c r="M80" s="47">
        <v>50</v>
      </c>
      <c r="N80" s="47">
        <v>50</v>
      </c>
      <c r="O80" s="46">
        <v>1</v>
      </c>
      <c r="Q80" s="45" t="s">
        <v>23</v>
      </c>
    </row>
    <row r="81" spans="4:17" hidden="1" x14ac:dyDescent="0.4">
      <c r="D81" s="45" t="s">
        <v>24</v>
      </c>
      <c r="E81" s="45" t="s">
        <v>25</v>
      </c>
      <c r="F81" s="45" t="s">
        <v>26</v>
      </c>
      <c r="G81" s="45" t="s">
        <v>27</v>
      </c>
      <c r="H81" s="50" t="s">
        <v>668</v>
      </c>
      <c r="I81" s="49">
        <v>46127</v>
      </c>
      <c r="J81" s="45" t="s">
        <v>448</v>
      </c>
      <c r="K81" s="45" t="s">
        <v>444</v>
      </c>
      <c r="L81" s="48" t="s">
        <v>699</v>
      </c>
      <c r="M81" s="47">
        <v>50</v>
      </c>
      <c r="N81" s="47">
        <v>50</v>
      </c>
      <c r="O81" s="46">
        <v>1</v>
      </c>
      <c r="Q81" s="45" t="s">
        <v>23</v>
      </c>
    </row>
    <row r="82" spans="4:17" hidden="1" x14ac:dyDescent="0.4">
      <c r="D82" s="45" t="s">
        <v>31</v>
      </c>
      <c r="E82" s="45" t="s">
        <v>32</v>
      </c>
      <c r="F82" s="45" t="s">
        <v>33</v>
      </c>
      <c r="G82" s="45" t="s">
        <v>34</v>
      </c>
      <c r="H82" s="50" t="s">
        <v>668</v>
      </c>
      <c r="I82" s="49">
        <v>46127</v>
      </c>
      <c r="J82" s="45" t="s">
        <v>448</v>
      </c>
      <c r="K82" s="45" t="s">
        <v>444</v>
      </c>
      <c r="L82" s="48" t="s">
        <v>698</v>
      </c>
      <c r="M82" s="47">
        <v>0</v>
      </c>
      <c r="N82" s="47">
        <v>50</v>
      </c>
      <c r="O82" s="46">
        <v>0</v>
      </c>
      <c r="Q82" s="45" t="s">
        <v>23</v>
      </c>
    </row>
    <row r="83" spans="4:17" hidden="1" x14ac:dyDescent="0.4">
      <c r="D83" s="45" t="s">
        <v>36</v>
      </c>
      <c r="E83" s="45" t="s">
        <v>37</v>
      </c>
      <c r="F83" s="45" t="s">
        <v>38</v>
      </c>
      <c r="G83" s="45" t="s">
        <v>39</v>
      </c>
      <c r="H83" s="50" t="s">
        <v>668</v>
      </c>
      <c r="I83" s="49">
        <v>46127</v>
      </c>
      <c r="J83" s="45" t="s">
        <v>448</v>
      </c>
      <c r="K83" s="45" t="s">
        <v>444</v>
      </c>
      <c r="L83" s="48" t="s">
        <v>697</v>
      </c>
      <c r="M83" s="47">
        <v>0</v>
      </c>
      <c r="N83" s="47">
        <v>50</v>
      </c>
      <c r="O83" s="46">
        <v>0</v>
      </c>
      <c r="Q83" s="45" t="s">
        <v>23</v>
      </c>
    </row>
    <row r="84" spans="4:17" hidden="1" x14ac:dyDescent="0.4">
      <c r="D84" s="45" t="s">
        <v>41</v>
      </c>
      <c r="E84" s="45" t="s">
        <v>42</v>
      </c>
      <c r="F84" s="45" t="s">
        <v>43</v>
      </c>
      <c r="G84" s="45" t="s">
        <v>44</v>
      </c>
      <c r="H84" s="50" t="s">
        <v>668</v>
      </c>
      <c r="I84" s="49">
        <v>46127</v>
      </c>
      <c r="J84" s="45" t="s">
        <v>448</v>
      </c>
      <c r="K84" s="45" t="s">
        <v>444</v>
      </c>
      <c r="L84" s="48" t="s">
        <v>696</v>
      </c>
      <c r="M84" s="47">
        <v>47</v>
      </c>
      <c r="N84" s="47">
        <v>50</v>
      </c>
      <c r="O84" s="46">
        <v>0.94</v>
      </c>
      <c r="Q84" s="45" t="s">
        <v>23</v>
      </c>
    </row>
    <row r="85" spans="4:17" hidden="1" x14ac:dyDescent="0.4">
      <c r="D85" s="45" t="s">
        <v>46</v>
      </c>
      <c r="E85" s="45" t="s">
        <v>47</v>
      </c>
      <c r="F85" s="45" t="s">
        <v>48</v>
      </c>
      <c r="G85" s="45" t="s">
        <v>49</v>
      </c>
      <c r="H85" s="50" t="s">
        <v>668</v>
      </c>
      <c r="I85" s="49">
        <v>46127</v>
      </c>
      <c r="J85" s="45" t="s">
        <v>448</v>
      </c>
      <c r="K85" s="45" t="s">
        <v>444</v>
      </c>
      <c r="L85" s="48" t="s">
        <v>695</v>
      </c>
      <c r="M85" s="47">
        <v>0</v>
      </c>
      <c r="N85" s="47">
        <v>50</v>
      </c>
      <c r="O85" s="46">
        <v>0</v>
      </c>
      <c r="Q85" s="45" t="s">
        <v>23</v>
      </c>
    </row>
    <row r="86" spans="4:17" hidden="1" x14ac:dyDescent="0.4">
      <c r="D86" s="45" t="s">
        <v>51</v>
      </c>
      <c r="E86" s="45" t="s">
        <v>52</v>
      </c>
      <c r="F86" s="45" t="s">
        <v>53</v>
      </c>
      <c r="G86" s="45" t="s">
        <v>54</v>
      </c>
      <c r="H86" s="50" t="s">
        <v>668</v>
      </c>
      <c r="I86" s="49">
        <v>46127</v>
      </c>
      <c r="J86" s="45" t="s">
        <v>448</v>
      </c>
      <c r="K86" s="45" t="s">
        <v>444</v>
      </c>
      <c r="L86" s="48" t="s">
        <v>694</v>
      </c>
      <c r="M86" s="47">
        <v>0</v>
      </c>
      <c r="N86" s="47">
        <v>50</v>
      </c>
      <c r="O86" s="46">
        <v>0</v>
      </c>
      <c r="Q86" s="45" t="s">
        <v>23</v>
      </c>
    </row>
    <row r="87" spans="4:17" hidden="1" x14ac:dyDescent="0.4">
      <c r="D87" s="45" t="s">
        <v>56</v>
      </c>
      <c r="E87" s="45" t="s">
        <v>52</v>
      </c>
      <c r="F87" s="45" t="s">
        <v>57</v>
      </c>
      <c r="G87" s="45" t="s">
        <v>58</v>
      </c>
      <c r="H87" s="50" t="s">
        <v>668</v>
      </c>
      <c r="I87" s="49">
        <v>46127</v>
      </c>
      <c r="J87" s="45" t="s">
        <v>448</v>
      </c>
      <c r="K87" s="45" t="s">
        <v>444</v>
      </c>
      <c r="L87" s="48" t="s">
        <v>682</v>
      </c>
      <c r="M87" s="47">
        <v>50</v>
      </c>
      <c r="N87" s="47">
        <v>50</v>
      </c>
      <c r="O87" s="46">
        <v>1</v>
      </c>
      <c r="Q87" s="45" t="s">
        <v>23</v>
      </c>
    </row>
    <row r="88" spans="4:17" hidden="1" x14ac:dyDescent="0.4">
      <c r="D88" s="45" t="s">
        <v>60</v>
      </c>
      <c r="E88" s="45" t="s">
        <v>61</v>
      </c>
      <c r="F88" s="45" t="s">
        <v>62</v>
      </c>
      <c r="G88" s="45" t="s">
        <v>63</v>
      </c>
      <c r="H88" s="50" t="s">
        <v>668</v>
      </c>
      <c r="I88" s="49">
        <v>46127</v>
      </c>
      <c r="J88" s="45" t="s">
        <v>448</v>
      </c>
      <c r="K88" s="45" t="s">
        <v>444</v>
      </c>
      <c r="L88" s="48" t="s">
        <v>693</v>
      </c>
      <c r="M88" s="47">
        <v>50</v>
      </c>
      <c r="N88" s="47">
        <v>50</v>
      </c>
      <c r="O88" s="46">
        <v>1</v>
      </c>
      <c r="Q88" s="45" t="s">
        <v>23</v>
      </c>
    </row>
    <row r="89" spans="4:17" hidden="1" x14ac:dyDescent="0.4">
      <c r="D89" s="45" t="s">
        <v>65</v>
      </c>
      <c r="E89" s="45" t="s">
        <v>66</v>
      </c>
      <c r="F89" s="45" t="s">
        <v>67</v>
      </c>
      <c r="G89" s="45" t="s">
        <v>68</v>
      </c>
      <c r="H89" s="50" t="s">
        <v>668</v>
      </c>
      <c r="I89" s="49">
        <v>46127</v>
      </c>
      <c r="J89" s="45" t="s">
        <v>448</v>
      </c>
      <c r="K89" s="45" t="s">
        <v>444</v>
      </c>
      <c r="L89" s="48" t="s">
        <v>676</v>
      </c>
      <c r="M89" s="47">
        <v>50</v>
      </c>
      <c r="N89" s="47">
        <v>50</v>
      </c>
      <c r="O89" s="46">
        <v>1</v>
      </c>
      <c r="Q89" s="45" t="s">
        <v>23</v>
      </c>
    </row>
    <row r="90" spans="4:17" hidden="1" x14ac:dyDescent="0.4">
      <c r="D90" s="45" t="s">
        <v>70</v>
      </c>
      <c r="E90" s="45" t="s">
        <v>71</v>
      </c>
      <c r="F90" s="45" t="s">
        <v>72</v>
      </c>
      <c r="G90" s="45" t="s">
        <v>73</v>
      </c>
      <c r="H90" s="50" t="s">
        <v>668</v>
      </c>
      <c r="I90" s="49">
        <v>46127</v>
      </c>
      <c r="J90" s="45" t="s">
        <v>448</v>
      </c>
      <c r="K90" s="45" t="s">
        <v>444</v>
      </c>
      <c r="L90" s="48" t="s">
        <v>692</v>
      </c>
      <c r="M90" s="47">
        <v>50</v>
      </c>
      <c r="N90" s="47">
        <v>50</v>
      </c>
      <c r="O90" s="46">
        <v>1</v>
      </c>
      <c r="Q90" s="45" t="s">
        <v>23</v>
      </c>
    </row>
    <row r="91" spans="4:17" hidden="1" x14ac:dyDescent="0.4">
      <c r="D91" s="45" t="s">
        <v>75</v>
      </c>
      <c r="E91" s="45" t="s">
        <v>76</v>
      </c>
      <c r="F91" s="45" t="s">
        <v>77</v>
      </c>
      <c r="G91" s="45" t="s">
        <v>78</v>
      </c>
      <c r="H91" s="50" t="s">
        <v>668</v>
      </c>
      <c r="I91" s="49">
        <v>46127</v>
      </c>
      <c r="J91" s="45" t="s">
        <v>448</v>
      </c>
      <c r="K91" s="45" t="s">
        <v>444</v>
      </c>
      <c r="L91" s="48" t="s">
        <v>691</v>
      </c>
      <c r="M91" s="47">
        <v>50</v>
      </c>
      <c r="N91" s="47">
        <v>50</v>
      </c>
      <c r="O91" s="46">
        <v>1</v>
      </c>
      <c r="Q91" s="45" t="s">
        <v>23</v>
      </c>
    </row>
    <row r="92" spans="4:17" hidden="1" x14ac:dyDescent="0.4">
      <c r="D92" s="45" t="s">
        <v>80</v>
      </c>
      <c r="E92" s="45" t="s">
        <v>81</v>
      </c>
      <c r="F92" s="45" t="s">
        <v>82</v>
      </c>
      <c r="G92" s="45" t="s">
        <v>83</v>
      </c>
      <c r="H92" s="50" t="s">
        <v>668</v>
      </c>
      <c r="I92" s="49">
        <v>46127</v>
      </c>
      <c r="J92" s="45" t="s">
        <v>448</v>
      </c>
      <c r="K92" s="45" t="s">
        <v>444</v>
      </c>
      <c r="L92" s="48" t="s">
        <v>690</v>
      </c>
      <c r="M92" s="47">
        <v>50</v>
      </c>
      <c r="N92" s="47">
        <v>50</v>
      </c>
      <c r="O92" s="46">
        <v>1</v>
      </c>
      <c r="Q92" s="45" t="s">
        <v>23</v>
      </c>
    </row>
    <row r="93" spans="4:17" hidden="1" x14ac:dyDescent="0.4">
      <c r="D93" s="45" t="s">
        <v>85</v>
      </c>
      <c r="E93" s="45" t="s">
        <v>86</v>
      </c>
      <c r="F93" s="45" t="s">
        <v>87</v>
      </c>
      <c r="G93" s="45" t="s">
        <v>88</v>
      </c>
      <c r="H93" s="50" t="s">
        <v>668</v>
      </c>
      <c r="I93" s="49">
        <v>46127</v>
      </c>
      <c r="J93" s="45" t="s">
        <v>448</v>
      </c>
      <c r="K93" s="45" t="s">
        <v>444</v>
      </c>
      <c r="L93" s="48" t="s">
        <v>689</v>
      </c>
      <c r="M93" s="47">
        <v>50</v>
      </c>
      <c r="N93" s="47">
        <v>50</v>
      </c>
      <c r="O93" s="46">
        <v>1</v>
      </c>
      <c r="Q93" s="45" t="s">
        <v>23</v>
      </c>
    </row>
    <row r="94" spans="4:17" hidden="1" x14ac:dyDescent="0.4">
      <c r="D94" s="45" t="s">
        <v>89</v>
      </c>
      <c r="E94" s="45" t="s">
        <v>90</v>
      </c>
      <c r="F94" s="45" t="s">
        <v>91</v>
      </c>
      <c r="G94" s="45" t="s">
        <v>92</v>
      </c>
      <c r="H94" s="50" t="s">
        <v>668</v>
      </c>
      <c r="I94" s="49">
        <v>46127</v>
      </c>
      <c r="J94" s="45" t="s">
        <v>448</v>
      </c>
      <c r="K94" s="45" t="s">
        <v>444</v>
      </c>
      <c r="L94" s="48" t="s">
        <v>688</v>
      </c>
      <c r="M94" s="47">
        <v>50</v>
      </c>
      <c r="N94" s="47">
        <v>50</v>
      </c>
      <c r="O94" s="46">
        <v>1</v>
      </c>
      <c r="Q94" s="45" t="s">
        <v>23</v>
      </c>
    </row>
    <row r="95" spans="4:17" hidden="1" x14ac:dyDescent="0.4">
      <c r="D95" s="45" t="s">
        <v>94</v>
      </c>
      <c r="E95" s="45" t="s">
        <v>95</v>
      </c>
      <c r="F95" s="45" t="s">
        <v>96</v>
      </c>
      <c r="G95" s="45" t="s">
        <v>97</v>
      </c>
      <c r="H95" s="50" t="s">
        <v>668</v>
      </c>
      <c r="I95" s="49">
        <v>46127</v>
      </c>
      <c r="J95" s="45" t="s">
        <v>448</v>
      </c>
      <c r="K95" s="45" t="s">
        <v>444</v>
      </c>
      <c r="L95" s="48" t="s">
        <v>687</v>
      </c>
      <c r="M95" s="47">
        <v>0</v>
      </c>
      <c r="N95" s="47">
        <v>50</v>
      </c>
      <c r="O95" s="46">
        <v>0</v>
      </c>
      <c r="Q95" s="45" t="s">
        <v>23</v>
      </c>
    </row>
    <row r="96" spans="4:17" hidden="1" x14ac:dyDescent="0.4">
      <c r="D96" s="45" t="s">
        <v>99</v>
      </c>
      <c r="E96" s="45" t="s">
        <v>100</v>
      </c>
      <c r="F96" s="45" t="s">
        <v>101</v>
      </c>
      <c r="G96" s="45" t="s">
        <v>102</v>
      </c>
      <c r="H96" s="50" t="s">
        <v>668</v>
      </c>
      <c r="I96" s="49">
        <v>46127</v>
      </c>
      <c r="J96" s="45" t="s">
        <v>448</v>
      </c>
      <c r="K96" s="45" t="s">
        <v>444</v>
      </c>
      <c r="L96" s="48" t="s">
        <v>686</v>
      </c>
      <c r="M96" s="47">
        <v>50</v>
      </c>
      <c r="N96" s="47">
        <v>50</v>
      </c>
      <c r="O96" s="46">
        <v>1</v>
      </c>
      <c r="Q96" s="45" t="s">
        <v>23</v>
      </c>
    </row>
    <row r="97" spans="4:17" hidden="1" x14ac:dyDescent="0.4">
      <c r="D97" s="45" t="s">
        <v>104</v>
      </c>
      <c r="E97" s="45" t="s">
        <v>86</v>
      </c>
      <c r="F97" s="45" t="s">
        <v>105</v>
      </c>
      <c r="G97" s="45" t="s">
        <v>106</v>
      </c>
      <c r="H97" s="50" t="s">
        <v>668</v>
      </c>
      <c r="I97" s="49">
        <v>46127</v>
      </c>
      <c r="J97" s="45" t="s">
        <v>448</v>
      </c>
      <c r="K97" s="45" t="s">
        <v>444</v>
      </c>
      <c r="L97" s="48" t="s">
        <v>685</v>
      </c>
      <c r="M97" s="47">
        <v>0</v>
      </c>
      <c r="N97" s="47">
        <v>50</v>
      </c>
      <c r="O97" s="46">
        <v>0</v>
      </c>
      <c r="Q97" s="45" t="s">
        <v>23</v>
      </c>
    </row>
    <row r="98" spans="4:17" hidden="1" x14ac:dyDescent="0.4">
      <c r="D98" s="45" t="s">
        <v>107</v>
      </c>
      <c r="E98" s="45" t="s">
        <v>108</v>
      </c>
      <c r="F98" s="45" t="s">
        <v>109</v>
      </c>
      <c r="G98" s="45" t="s">
        <v>110</v>
      </c>
      <c r="H98" s="50" t="s">
        <v>668</v>
      </c>
      <c r="I98" s="49">
        <v>46127</v>
      </c>
      <c r="J98" s="45" t="s">
        <v>448</v>
      </c>
      <c r="K98" s="45" t="s">
        <v>444</v>
      </c>
      <c r="L98" s="48" t="s">
        <v>683</v>
      </c>
      <c r="M98" s="47">
        <v>45</v>
      </c>
      <c r="N98" s="47">
        <v>50</v>
      </c>
      <c r="O98" s="46">
        <v>0.9</v>
      </c>
      <c r="Q98" s="45" t="s">
        <v>23</v>
      </c>
    </row>
    <row r="99" spans="4:17" hidden="1" x14ac:dyDescent="0.4">
      <c r="D99" s="45" t="s">
        <v>112</v>
      </c>
      <c r="E99" s="45" t="s">
        <v>113</v>
      </c>
      <c r="F99" s="45" t="s">
        <v>114</v>
      </c>
      <c r="G99" s="45" t="s">
        <v>115</v>
      </c>
      <c r="H99" s="50" t="s">
        <v>668</v>
      </c>
      <c r="I99" s="49">
        <v>46127</v>
      </c>
      <c r="J99" s="45" t="s">
        <v>448</v>
      </c>
      <c r="K99" s="45" t="s">
        <v>444</v>
      </c>
      <c r="L99" s="48" t="s">
        <v>684</v>
      </c>
      <c r="M99" s="47">
        <v>25</v>
      </c>
      <c r="N99" s="47">
        <v>50</v>
      </c>
      <c r="O99" s="46">
        <v>0.5</v>
      </c>
      <c r="Q99" s="45" t="s">
        <v>23</v>
      </c>
    </row>
    <row r="100" spans="4:17" hidden="1" x14ac:dyDescent="0.4">
      <c r="D100" s="45" t="s">
        <v>117</v>
      </c>
      <c r="E100" s="45" t="s">
        <v>118</v>
      </c>
      <c r="F100" s="45" t="s">
        <v>119</v>
      </c>
      <c r="G100" s="45" t="s">
        <v>120</v>
      </c>
      <c r="H100" s="50" t="s">
        <v>668</v>
      </c>
      <c r="I100" s="49">
        <v>46127</v>
      </c>
      <c r="J100" s="45" t="s">
        <v>448</v>
      </c>
      <c r="K100" s="45" t="s">
        <v>444</v>
      </c>
      <c r="L100" s="48" t="s">
        <v>683</v>
      </c>
      <c r="M100" s="47">
        <v>45</v>
      </c>
      <c r="N100" s="47">
        <v>50</v>
      </c>
      <c r="O100" s="46">
        <v>0.9</v>
      </c>
      <c r="Q100" s="45" t="s">
        <v>23</v>
      </c>
    </row>
    <row r="101" spans="4:17" hidden="1" x14ac:dyDescent="0.4">
      <c r="D101" s="45" t="s">
        <v>122</v>
      </c>
      <c r="E101" s="45" t="s">
        <v>123</v>
      </c>
      <c r="F101" s="45" t="s">
        <v>124</v>
      </c>
      <c r="G101" s="45" t="s">
        <v>125</v>
      </c>
      <c r="H101" s="50" t="s">
        <v>668</v>
      </c>
      <c r="I101" s="49">
        <v>46127</v>
      </c>
      <c r="J101" s="45" t="s">
        <v>448</v>
      </c>
      <c r="K101" s="45" t="s">
        <v>444</v>
      </c>
      <c r="L101" s="48" t="s">
        <v>682</v>
      </c>
      <c r="M101" s="47">
        <v>50</v>
      </c>
      <c r="N101" s="47">
        <v>50</v>
      </c>
      <c r="O101" s="46">
        <v>1</v>
      </c>
      <c r="Q101" s="45" t="s">
        <v>23</v>
      </c>
    </row>
    <row r="102" spans="4:17" hidden="1" x14ac:dyDescent="0.4">
      <c r="D102" s="45" t="s">
        <v>127</v>
      </c>
      <c r="E102" s="45" t="s">
        <v>128</v>
      </c>
      <c r="F102" s="45" t="s">
        <v>129</v>
      </c>
      <c r="G102" s="45" t="s">
        <v>130</v>
      </c>
      <c r="H102" s="50" t="s">
        <v>668</v>
      </c>
      <c r="I102" s="49">
        <v>46127</v>
      </c>
      <c r="J102" s="45" t="s">
        <v>448</v>
      </c>
      <c r="K102" s="45" t="s">
        <v>444</v>
      </c>
      <c r="L102" s="48" t="s">
        <v>681</v>
      </c>
      <c r="M102" s="47">
        <v>50</v>
      </c>
      <c r="N102" s="47">
        <v>50</v>
      </c>
      <c r="O102" s="46">
        <v>1</v>
      </c>
      <c r="Q102" s="45" t="s">
        <v>23</v>
      </c>
    </row>
    <row r="103" spans="4:17" hidden="1" x14ac:dyDescent="0.4">
      <c r="D103" s="45" t="s">
        <v>132</v>
      </c>
      <c r="E103" s="45" t="s">
        <v>133</v>
      </c>
      <c r="F103" s="45" t="s">
        <v>134</v>
      </c>
      <c r="G103" s="45" t="s">
        <v>135</v>
      </c>
      <c r="H103" s="50" t="s">
        <v>668</v>
      </c>
      <c r="I103" s="49">
        <v>46127</v>
      </c>
      <c r="J103" s="45" t="s">
        <v>448</v>
      </c>
      <c r="K103" s="45" t="s">
        <v>444</v>
      </c>
      <c r="L103" s="48" t="s">
        <v>681</v>
      </c>
      <c r="M103" s="47">
        <v>50</v>
      </c>
      <c r="N103" s="47">
        <v>50</v>
      </c>
      <c r="O103" s="46">
        <v>1</v>
      </c>
      <c r="Q103" s="45" t="s">
        <v>23</v>
      </c>
    </row>
    <row r="104" spans="4:17" hidden="1" x14ac:dyDescent="0.4">
      <c r="D104" s="45" t="s">
        <v>137</v>
      </c>
      <c r="E104" s="45" t="s">
        <v>138</v>
      </c>
      <c r="F104" s="45" t="s">
        <v>139</v>
      </c>
      <c r="G104" s="45" t="s">
        <v>140</v>
      </c>
      <c r="H104" s="50" t="s">
        <v>668</v>
      </c>
      <c r="I104" s="49">
        <v>46127</v>
      </c>
      <c r="J104" s="45" t="s">
        <v>448</v>
      </c>
      <c r="K104" s="45" t="s">
        <v>444</v>
      </c>
      <c r="L104" s="48" t="s">
        <v>680</v>
      </c>
      <c r="M104" s="47">
        <v>50</v>
      </c>
      <c r="N104" s="47">
        <v>50</v>
      </c>
      <c r="O104" s="46">
        <v>1</v>
      </c>
      <c r="Q104" s="45" t="s">
        <v>23</v>
      </c>
    </row>
    <row r="105" spans="4:17" hidden="1" x14ac:dyDescent="0.4">
      <c r="D105" s="45" t="s">
        <v>142</v>
      </c>
      <c r="E105" s="45" t="s">
        <v>143</v>
      </c>
      <c r="F105" s="45" t="s">
        <v>144</v>
      </c>
      <c r="G105" s="45" t="s">
        <v>145</v>
      </c>
      <c r="H105" s="50" t="s">
        <v>668</v>
      </c>
      <c r="I105" s="49">
        <v>46127</v>
      </c>
      <c r="J105" s="45" t="s">
        <v>448</v>
      </c>
      <c r="K105" s="45" t="s">
        <v>444</v>
      </c>
      <c r="L105" s="48" t="s">
        <v>669</v>
      </c>
      <c r="M105" s="47">
        <v>50</v>
      </c>
      <c r="N105" s="47">
        <v>50</v>
      </c>
      <c r="O105" s="46">
        <v>1</v>
      </c>
      <c r="Q105" s="45" t="s">
        <v>23</v>
      </c>
    </row>
    <row r="106" spans="4:17" hidden="1" x14ac:dyDescent="0.4">
      <c r="D106" s="45" t="s">
        <v>147</v>
      </c>
      <c r="E106" s="45" t="s">
        <v>148</v>
      </c>
      <c r="F106" s="45" t="s">
        <v>149</v>
      </c>
      <c r="G106" s="45" t="s">
        <v>150</v>
      </c>
      <c r="H106" s="50" t="s">
        <v>668</v>
      </c>
      <c r="I106" s="49">
        <v>46127</v>
      </c>
      <c r="J106" s="45" t="s">
        <v>448</v>
      </c>
      <c r="K106" s="45" t="s">
        <v>444</v>
      </c>
      <c r="L106" s="48" t="s">
        <v>679</v>
      </c>
      <c r="M106" s="47">
        <v>50</v>
      </c>
      <c r="N106" s="47">
        <v>50</v>
      </c>
      <c r="O106" s="46">
        <v>1</v>
      </c>
      <c r="Q106" s="45" t="s">
        <v>23</v>
      </c>
    </row>
    <row r="107" spans="4:17" hidden="1" x14ac:dyDescent="0.4">
      <c r="D107" s="45" t="s">
        <v>152</v>
      </c>
      <c r="E107" s="45" t="s">
        <v>66</v>
      </c>
      <c r="F107" s="45" t="s">
        <v>153</v>
      </c>
      <c r="G107" s="45" t="s">
        <v>154</v>
      </c>
      <c r="H107" s="50" t="s">
        <v>668</v>
      </c>
      <c r="I107" s="49">
        <v>46127</v>
      </c>
      <c r="J107" s="45" t="s">
        <v>448</v>
      </c>
      <c r="K107" s="45" t="s">
        <v>444</v>
      </c>
      <c r="L107" s="48" t="s">
        <v>678</v>
      </c>
      <c r="M107" s="47">
        <v>0</v>
      </c>
      <c r="N107" s="47">
        <v>50</v>
      </c>
      <c r="O107" s="46">
        <v>0</v>
      </c>
      <c r="Q107" s="45" t="s">
        <v>23</v>
      </c>
    </row>
    <row r="108" spans="4:17" hidden="1" x14ac:dyDescent="0.4">
      <c r="D108" s="45" t="s">
        <v>160</v>
      </c>
      <c r="E108" s="45" t="s">
        <v>81</v>
      </c>
      <c r="F108" s="45" t="s">
        <v>161</v>
      </c>
      <c r="G108" s="45" t="s">
        <v>162</v>
      </c>
      <c r="H108" s="50" t="s">
        <v>668</v>
      </c>
      <c r="I108" s="49">
        <v>46127</v>
      </c>
      <c r="J108" s="45" t="s">
        <v>448</v>
      </c>
      <c r="K108" s="45" t="s">
        <v>444</v>
      </c>
      <c r="L108" s="48" t="s">
        <v>677</v>
      </c>
      <c r="M108" s="47">
        <v>0</v>
      </c>
      <c r="N108" s="47">
        <v>50</v>
      </c>
      <c r="O108" s="46">
        <v>0</v>
      </c>
      <c r="Q108" s="45" t="s">
        <v>23</v>
      </c>
    </row>
    <row r="109" spans="4:17" hidden="1" x14ac:dyDescent="0.4">
      <c r="D109" s="45" t="s">
        <v>163</v>
      </c>
      <c r="E109" s="45" t="s">
        <v>164</v>
      </c>
      <c r="F109" s="45" t="s">
        <v>165</v>
      </c>
      <c r="G109" s="45" t="s">
        <v>166</v>
      </c>
      <c r="H109" s="50" t="s">
        <v>668</v>
      </c>
      <c r="I109" s="49">
        <v>46127</v>
      </c>
      <c r="J109" s="45" t="s">
        <v>448</v>
      </c>
      <c r="K109" s="45" t="s">
        <v>444</v>
      </c>
      <c r="L109" s="48" t="s">
        <v>671</v>
      </c>
      <c r="M109" s="47">
        <v>0</v>
      </c>
      <c r="N109" s="47">
        <v>50</v>
      </c>
      <c r="O109" s="46">
        <v>0</v>
      </c>
      <c r="Q109" s="45" t="s">
        <v>23</v>
      </c>
    </row>
    <row r="110" spans="4:17" hidden="1" x14ac:dyDescent="0.4">
      <c r="D110" s="45" t="s">
        <v>168</v>
      </c>
      <c r="E110" s="45" t="s">
        <v>169</v>
      </c>
      <c r="F110" s="45" t="s">
        <v>170</v>
      </c>
      <c r="G110" s="45" t="s">
        <v>171</v>
      </c>
      <c r="H110" s="50" t="s">
        <v>668</v>
      </c>
      <c r="I110" s="49">
        <v>46127</v>
      </c>
      <c r="J110" s="45" t="s">
        <v>448</v>
      </c>
      <c r="K110" s="45" t="s">
        <v>444</v>
      </c>
      <c r="L110" s="48" t="s">
        <v>676</v>
      </c>
      <c r="M110" s="47">
        <v>50</v>
      </c>
      <c r="N110" s="47">
        <v>50</v>
      </c>
      <c r="O110" s="46">
        <v>1</v>
      </c>
      <c r="Q110" s="45" t="s">
        <v>23</v>
      </c>
    </row>
    <row r="111" spans="4:17" hidden="1" x14ac:dyDescent="0.4">
      <c r="D111" s="45" t="s">
        <v>173</v>
      </c>
      <c r="E111" s="45" t="s">
        <v>174</v>
      </c>
      <c r="F111" s="45" t="s">
        <v>175</v>
      </c>
      <c r="G111" s="45" t="s">
        <v>176</v>
      </c>
      <c r="H111" s="50" t="s">
        <v>668</v>
      </c>
      <c r="I111" s="49">
        <v>46127</v>
      </c>
      <c r="J111" s="45" t="s">
        <v>448</v>
      </c>
      <c r="K111" s="45" t="s">
        <v>444</v>
      </c>
      <c r="L111" s="48" t="s">
        <v>675</v>
      </c>
      <c r="M111" s="47">
        <v>0</v>
      </c>
      <c r="N111" s="47">
        <v>50</v>
      </c>
      <c r="O111" s="46">
        <v>0</v>
      </c>
      <c r="Q111" s="45" t="s">
        <v>23</v>
      </c>
    </row>
    <row r="112" spans="4:17" hidden="1" x14ac:dyDescent="0.4">
      <c r="D112" s="45" t="s">
        <v>178</v>
      </c>
      <c r="E112" s="45" t="s">
        <v>179</v>
      </c>
      <c r="F112" s="45" t="s">
        <v>180</v>
      </c>
      <c r="G112" s="45" t="s">
        <v>181</v>
      </c>
      <c r="H112" s="50" t="s">
        <v>668</v>
      </c>
      <c r="I112" s="49">
        <v>46127</v>
      </c>
      <c r="J112" s="45" t="s">
        <v>448</v>
      </c>
      <c r="K112" s="45" t="s">
        <v>444</v>
      </c>
      <c r="L112" s="48" t="s">
        <v>674</v>
      </c>
      <c r="M112" s="47">
        <v>50</v>
      </c>
      <c r="N112" s="47">
        <v>50</v>
      </c>
      <c r="O112" s="46">
        <v>1</v>
      </c>
      <c r="Q112" s="45" t="s">
        <v>23</v>
      </c>
    </row>
    <row r="113" spans="4:17" hidden="1" x14ac:dyDescent="0.4">
      <c r="D113" s="45" t="s">
        <v>187</v>
      </c>
      <c r="E113" s="45" t="s">
        <v>188</v>
      </c>
      <c r="F113" s="45" t="s">
        <v>189</v>
      </c>
      <c r="G113" s="45" t="s">
        <v>190</v>
      </c>
      <c r="H113" s="50" t="s">
        <v>668</v>
      </c>
      <c r="I113" s="49">
        <v>46127</v>
      </c>
      <c r="J113" s="45" t="s">
        <v>448</v>
      </c>
      <c r="K113" s="45" t="s">
        <v>444</v>
      </c>
      <c r="L113" s="48" t="s">
        <v>673</v>
      </c>
      <c r="M113" s="47">
        <v>48</v>
      </c>
      <c r="N113" s="47">
        <v>50</v>
      </c>
      <c r="O113" s="46">
        <v>0.96</v>
      </c>
      <c r="Q113" s="45" t="s">
        <v>23</v>
      </c>
    </row>
    <row r="114" spans="4:17" hidden="1" x14ac:dyDescent="0.4">
      <c r="D114" s="45" t="s">
        <v>192</v>
      </c>
      <c r="E114" s="45" t="s">
        <v>193</v>
      </c>
      <c r="F114" s="45" t="s">
        <v>194</v>
      </c>
      <c r="G114" s="45" t="s">
        <v>195</v>
      </c>
      <c r="H114" s="50" t="s">
        <v>668</v>
      </c>
      <c r="I114" s="49">
        <v>46127</v>
      </c>
      <c r="J114" s="45" t="s">
        <v>448</v>
      </c>
      <c r="K114" s="45" t="s">
        <v>444</v>
      </c>
      <c r="L114" s="48" t="s">
        <v>670</v>
      </c>
      <c r="M114" s="47">
        <v>48</v>
      </c>
      <c r="N114" s="47">
        <v>50</v>
      </c>
      <c r="O114" s="46">
        <v>0.96</v>
      </c>
      <c r="Q114" s="45" t="s">
        <v>23</v>
      </c>
    </row>
    <row r="115" spans="4:17" hidden="1" x14ac:dyDescent="0.4">
      <c r="D115" s="45" t="s">
        <v>197</v>
      </c>
      <c r="E115" s="45" t="s">
        <v>198</v>
      </c>
      <c r="F115" s="45" t="s">
        <v>199</v>
      </c>
      <c r="G115" s="45" t="s">
        <v>200</v>
      </c>
      <c r="H115" s="50" t="s">
        <v>668</v>
      </c>
      <c r="I115" s="49">
        <v>46127</v>
      </c>
      <c r="J115" s="45" t="s">
        <v>448</v>
      </c>
      <c r="K115" s="45" t="s">
        <v>444</v>
      </c>
      <c r="L115" s="48" t="s">
        <v>672</v>
      </c>
      <c r="M115" s="47">
        <v>0</v>
      </c>
      <c r="N115" s="47">
        <v>50</v>
      </c>
      <c r="O115" s="46">
        <v>0</v>
      </c>
      <c r="Q115" s="45" t="s">
        <v>23</v>
      </c>
    </row>
    <row r="116" spans="4:17" hidden="1" x14ac:dyDescent="0.4">
      <c r="D116" s="45" t="s">
        <v>201</v>
      </c>
      <c r="E116" s="45" t="s">
        <v>143</v>
      </c>
      <c r="F116" s="45" t="s">
        <v>202</v>
      </c>
      <c r="G116" s="45" t="s">
        <v>203</v>
      </c>
      <c r="H116" s="50" t="s">
        <v>668</v>
      </c>
      <c r="I116" s="49">
        <v>46127</v>
      </c>
      <c r="J116" s="45" t="s">
        <v>448</v>
      </c>
      <c r="K116" s="45" t="s">
        <v>444</v>
      </c>
      <c r="L116" s="48" t="s">
        <v>671</v>
      </c>
      <c r="M116" s="47">
        <v>0</v>
      </c>
      <c r="N116" s="47">
        <v>50</v>
      </c>
      <c r="O116" s="46">
        <v>0</v>
      </c>
      <c r="Q116" s="45" t="s">
        <v>23</v>
      </c>
    </row>
    <row r="117" spans="4:17" hidden="1" x14ac:dyDescent="0.4">
      <c r="D117" s="45" t="s">
        <v>205</v>
      </c>
      <c r="E117" s="45" t="s">
        <v>206</v>
      </c>
      <c r="F117" s="45" t="s">
        <v>207</v>
      </c>
      <c r="G117" s="45" t="s">
        <v>208</v>
      </c>
      <c r="H117" s="50" t="s">
        <v>668</v>
      </c>
      <c r="I117" s="49">
        <v>46127</v>
      </c>
      <c r="J117" s="45" t="s">
        <v>448</v>
      </c>
      <c r="K117" s="45" t="s">
        <v>444</v>
      </c>
      <c r="L117" s="48" t="s">
        <v>670</v>
      </c>
      <c r="M117" s="47">
        <v>48</v>
      </c>
      <c r="N117" s="47">
        <v>50</v>
      </c>
      <c r="O117" s="46">
        <v>0.96</v>
      </c>
      <c r="Q117" s="45" t="s">
        <v>23</v>
      </c>
    </row>
    <row r="118" spans="4:17" hidden="1" x14ac:dyDescent="0.4">
      <c r="D118" s="45" t="s">
        <v>210</v>
      </c>
      <c r="E118" s="45" t="s">
        <v>211</v>
      </c>
      <c r="F118" s="45" t="s">
        <v>212</v>
      </c>
      <c r="G118" s="45" t="s">
        <v>213</v>
      </c>
      <c r="H118" s="50" t="s">
        <v>668</v>
      </c>
      <c r="I118" s="49">
        <v>46127</v>
      </c>
      <c r="J118" s="45" t="s">
        <v>448</v>
      </c>
      <c r="K118" s="45" t="s">
        <v>444</v>
      </c>
      <c r="L118" s="48" t="s">
        <v>669</v>
      </c>
      <c r="M118" s="47">
        <v>50</v>
      </c>
      <c r="N118" s="47">
        <v>50</v>
      </c>
      <c r="O118" s="46">
        <v>1</v>
      </c>
      <c r="Q118" s="45" t="s">
        <v>23</v>
      </c>
    </row>
    <row r="119" spans="4:17" hidden="1" x14ac:dyDescent="0.4">
      <c r="D119" s="45" t="s">
        <v>215</v>
      </c>
      <c r="E119" s="45" t="s">
        <v>216</v>
      </c>
      <c r="F119" s="45" t="s">
        <v>217</v>
      </c>
      <c r="G119" s="45" t="s">
        <v>218</v>
      </c>
      <c r="H119" s="50" t="s">
        <v>668</v>
      </c>
      <c r="I119" s="49">
        <v>46127</v>
      </c>
      <c r="J119" s="45" t="s">
        <v>448</v>
      </c>
      <c r="K119" s="45" t="s">
        <v>444</v>
      </c>
      <c r="L119" s="48" t="s">
        <v>667</v>
      </c>
      <c r="M119" s="47">
        <v>45</v>
      </c>
      <c r="N119" s="47">
        <v>50</v>
      </c>
      <c r="O119" s="46">
        <v>0.9</v>
      </c>
      <c r="Q119" s="45" t="s">
        <v>23</v>
      </c>
    </row>
    <row r="120" spans="4:17" hidden="1" x14ac:dyDescent="0.4">
      <c r="D120" s="45" t="s">
        <v>24</v>
      </c>
      <c r="E120" s="45" t="s">
        <v>25</v>
      </c>
      <c r="F120" s="45" t="s">
        <v>26</v>
      </c>
      <c r="G120" s="45" t="s">
        <v>27</v>
      </c>
      <c r="H120" s="50" t="s">
        <v>636</v>
      </c>
      <c r="I120" s="49">
        <v>46127</v>
      </c>
      <c r="J120" s="45" t="s">
        <v>448</v>
      </c>
      <c r="K120" s="45" t="s">
        <v>444</v>
      </c>
      <c r="L120" s="48" t="s">
        <v>661</v>
      </c>
      <c r="M120" s="47">
        <v>50</v>
      </c>
      <c r="N120" s="47">
        <v>50</v>
      </c>
      <c r="O120" s="46">
        <v>1</v>
      </c>
      <c r="Q120" s="45" t="s">
        <v>23</v>
      </c>
    </row>
    <row r="121" spans="4:17" hidden="1" x14ac:dyDescent="0.4">
      <c r="D121" s="45" t="s">
        <v>31</v>
      </c>
      <c r="E121" s="45" t="s">
        <v>32</v>
      </c>
      <c r="F121" s="45" t="s">
        <v>33</v>
      </c>
      <c r="G121" s="45" t="s">
        <v>34</v>
      </c>
      <c r="H121" s="50" t="s">
        <v>636</v>
      </c>
      <c r="I121" s="49">
        <v>46127</v>
      </c>
      <c r="J121" s="45" t="s">
        <v>448</v>
      </c>
      <c r="K121" s="45" t="s">
        <v>444</v>
      </c>
      <c r="L121" s="48" t="s">
        <v>666</v>
      </c>
      <c r="M121" s="47">
        <v>0</v>
      </c>
      <c r="N121" s="47">
        <v>50</v>
      </c>
      <c r="O121" s="46">
        <v>0</v>
      </c>
      <c r="Q121" s="45" t="s">
        <v>23</v>
      </c>
    </row>
    <row r="122" spans="4:17" hidden="1" x14ac:dyDescent="0.4">
      <c r="D122" s="45" t="s">
        <v>36</v>
      </c>
      <c r="E122" s="45" t="s">
        <v>37</v>
      </c>
      <c r="F122" s="45" t="s">
        <v>38</v>
      </c>
      <c r="G122" s="45" t="s">
        <v>39</v>
      </c>
      <c r="H122" s="50" t="s">
        <v>636</v>
      </c>
      <c r="I122" s="49">
        <v>46127</v>
      </c>
      <c r="J122" s="45" t="s">
        <v>448</v>
      </c>
      <c r="K122" s="45" t="s">
        <v>444</v>
      </c>
      <c r="L122" s="48" t="s">
        <v>665</v>
      </c>
      <c r="M122" s="47">
        <v>0</v>
      </c>
      <c r="N122" s="47">
        <v>50</v>
      </c>
      <c r="O122" s="46">
        <v>0</v>
      </c>
      <c r="Q122" s="45" t="s">
        <v>23</v>
      </c>
    </row>
    <row r="123" spans="4:17" hidden="1" x14ac:dyDescent="0.4">
      <c r="D123" s="45" t="s">
        <v>41</v>
      </c>
      <c r="E123" s="45" t="s">
        <v>42</v>
      </c>
      <c r="F123" s="45" t="s">
        <v>43</v>
      </c>
      <c r="G123" s="45" t="s">
        <v>44</v>
      </c>
      <c r="H123" s="50" t="s">
        <v>636</v>
      </c>
      <c r="I123" s="49">
        <v>46127</v>
      </c>
      <c r="J123" s="45" t="s">
        <v>448</v>
      </c>
      <c r="K123" s="45" t="s">
        <v>444</v>
      </c>
      <c r="L123" s="48" t="s">
        <v>664</v>
      </c>
      <c r="M123" s="47">
        <v>50</v>
      </c>
      <c r="N123" s="47">
        <v>50</v>
      </c>
      <c r="O123" s="46">
        <v>1</v>
      </c>
      <c r="Q123" s="45" t="s">
        <v>23</v>
      </c>
    </row>
    <row r="124" spans="4:17" hidden="1" x14ac:dyDescent="0.4">
      <c r="D124" s="45" t="s">
        <v>46</v>
      </c>
      <c r="E124" s="45" t="s">
        <v>47</v>
      </c>
      <c r="F124" s="45" t="s">
        <v>48</v>
      </c>
      <c r="G124" s="45" t="s">
        <v>49</v>
      </c>
      <c r="H124" s="50" t="s">
        <v>636</v>
      </c>
      <c r="I124" s="49">
        <v>46127</v>
      </c>
      <c r="J124" s="45" t="s">
        <v>448</v>
      </c>
      <c r="K124" s="45" t="s">
        <v>444</v>
      </c>
      <c r="L124" s="48" t="s">
        <v>663</v>
      </c>
      <c r="M124" s="47">
        <v>0</v>
      </c>
      <c r="N124" s="47">
        <v>50</v>
      </c>
      <c r="O124" s="46">
        <v>0</v>
      </c>
      <c r="Q124" s="45" t="s">
        <v>23</v>
      </c>
    </row>
    <row r="125" spans="4:17" hidden="1" x14ac:dyDescent="0.4">
      <c r="D125" s="45" t="s">
        <v>51</v>
      </c>
      <c r="E125" s="45" t="s">
        <v>52</v>
      </c>
      <c r="F125" s="45" t="s">
        <v>53</v>
      </c>
      <c r="G125" s="45" t="s">
        <v>54</v>
      </c>
      <c r="H125" s="50" t="s">
        <v>636</v>
      </c>
      <c r="I125" s="49">
        <v>46127</v>
      </c>
      <c r="J125" s="45" t="s">
        <v>448</v>
      </c>
      <c r="K125" s="45" t="s">
        <v>444</v>
      </c>
      <c r="L125" s="48" t="s">
        <v>662</v>
      </c>
      <c r="M125" s="47">
        <v>0</v>
      </c>
      <c r="N125" s="47">
        <v>50</v>
      </c>
      <c r="O125" s="46">
        <v>0</v>
      </c>
      <c r="Q125" s="45" t="s">
        <v>23</v>
      </c>
    </row>
    <row r="126" spans="4:17" hidden="1" x14ac:dyDescent="0.4">
      <c r="D126" s="45" t="s">
        <v>56</v>
      </c>
      <c r="E126" s="45" t="s">
        <v>52</v>
      </c>
      <c r="F126" s="45" t="s">
        <v>57</v>
      </c>
      <c r="G126" s="45" t="s">
        <v>58</v>
      </c>
      <c r="H126" s="50" t="s">
        <v>636</v>
      </c>
      <c r="I126" s="49">
        <v>46127</v>
      </c>
      <c r="J126" s="45" t="s">
        <v>448</v>
      </c>
      <c r="K126" s="45" t="s">
        <v>444</v>
      </c>
      <c r="L126" s="48" t="s">
        <v>650</v>
      </c>
      <c r="M126" s="47">
        <v>50</v>
      </c>
      <c r="N126" s="47">
        <v>50</v>
      </c>
      <c r="O126" s="46">
        <v>1</v>
      </c>
      <c r="Q126" s="45" t="s">
        <v>23</v>
      </c>
    </row>
    <row r="127" spans="4:17" hidden="1" x14ac:dyDescent="0.4">
      <c r="D127" s="45" t="s">
        <v>60</v>
      </c>
      <c r="E127" s="45" t="s">
        <v>61</v>
      </c>
      <c r="F127" s="45" t="s">
        <v>62</v>
      </c>
      <c r="G127" s="45" t="s">
        <v>63</v>
      </c>
      <c r="H127" s="50" t="s">
        <v>636</v>
      </c>
      <c r="I127" s="49">
        <v>46127</v>
      </c>
      <c r="J127" s="45" t="s">
        <v>448</v>
      </c>
      <c r="K127" s="45" t="s">
        <v>444</v>
      </c>
      <c r="L127" s="48" t="s">
        <v>661</v>
      </c>
      <c r="M127" s="47">
        <v>50</v>
      </c>
      <c r="N127" s="47">
        <v>50</v>
      </c>
      <c r="O127" s="46">
        <v>1</v>
      </c>
      <c r="Q127" s="45" t="s">
        <v>23</v>
      </c>
    </row>
    <row r="128" spans="4:17" hidden="1" x14ac:dyDescent="0.4">
      <c r="D128" s="45" t="s">
        <v>65</v>
      </c>
      <c r="E128" s="45" t="s">
        <v>66</v>
      </c>
      <c r="F128" s="45" t="s">
        <v>67</v>
      </c>
      <c r="G128" s="45" t="s">
        <v>68</v>
      </c>
      <c r="H128" s="50" t="s">
        <v>636</v>
      </c>
      <c r="I128" s="49">
        <v>46127</v>
      </c>
      <c r="J128" s="45" t="s">
        <v>448</v>
      </c>
      <c r="K128" s="45" t="s">
        <v>444</v>
      </c>
      <c r="L128" s="48" t="s">
        <v>644</v>
      </c>
      <c r="M128" s="47">
        <v>50</v>
      </c>
      <c r="N128" s="47">
        <v>50</v>
      </c>
      <c r="O128" s="46">
        <v>1</v>
      </c>
      <c r="Q128" s="45" t="s">
        <v>23</v>
      </c>
    </row>
    <row r="129" spans="4:17" hidden="1" x14ac:dyDescent="0.4">
      <c r="D129" s="45" t="s">
        <v>70</v>
      </c>
      <c r="E129" s="45" t="s">
        <v>71</v>
      </c>
      <c r="F129" s="45" t="s">
        <v>72</v>
      </c>
      <c r="G129" s="45" t="s">
        <v>73</v>
      </c>
      <c r="H129" s="50" t="s">
        <v>636</v>
      </c>
      <c r="I129" s="49">
        <v>46127</v>
      </c>
      <c r="J129" s="45" t="s">
        <v>448</v>
      </c>
      <c r="K129" s="45" t="s">
        <v>444</v>
      </c>
      <c r="L129" s="48" t="s">
        <v>660</v>
      </c>
      <c r="M129" s="47">
        <v>50</v>
      </c>
      <c r="N129" s="47">
        <v>50</v>
      </c>
      <c r="O129" s="46">
        <v>1</v>
      </c>
      <c r="Q129" s="45" t="s">
        <v>23</v>
      </c>
    </row>
    <row r="130" spans="4:17" hidden="1" x14ac:dyDescent="0.4">
      <c r="D130" s="45" t="s">
        <v>75</v>
      </c>
      <c r="E130" s="45" t="s">
        <v>76</v>
      </c>
      <c r="F130" s="45" t="s">
        <v>77</v>
      </c>
      <c r="G130" s="45" t="s">
        <v>78</v>
      </c>
      <c r="H130" s="50" t="s">
        <v>636</v>
      </c>
      <c r="I130" s="49">
        <v>46127</v>
      </c>
      <c r="J130" s="45" t="s">
        <v>448</v>
      </c>
      <c r="K130" s="45" t="s">
        <v>444</v>
      </c>
      <c r="L130" s="48" t="s">
        <v>659</v>
      </c>
      <c r="M130" s="47">
        <v>50</v>
      </c>
      <c r="N130" s="47">
        <v>50</v>
      </c>
      <c r="O130" s="46">
        <v>1</v>
      </c>
      <c r="Q130" s="45" t="s">
        <v>23</v>
      </c>
    </row>
    <row r="131" spans="4:17" hidden="1" x14ac:dyDescent="0.4">
      <c r="D131" s="45" t="s">
        <v>80</v>
      </c>
      <c r="E131" s="45" t="s">
        <v>81</v>
      </c>
      <c r="F131" s="45" t="s">
        <v>82</v>
      </c>
      <c r="G131" s="45" t="s">
        <v>83</v>
      </c>
      <c r="H131" s="50" t="s">
        <v>636</v>
      </c>
      <c r="I131" s="49">
        <v>46127</v>
      </c>
      <c r="J131" s="45" t="s">
        <v>448</v>
      </c>
      <c r="K131" s="45" t="s">
        <v>444</v>
      </c>
      <c r="L131" s="48" t="s">
        <v>658</v>
      </c>
      <c r="M131" s="47">
        <v>50</v>
      </c>
      <c r="N131" s="47">
        <v>50</v>
      </c>
      <c r="O131" s="46">
        <v>1</v>
      </c>
      <c r="Q131" s="45" t="s">
        <v>23</v>
      </c>
    </row>
    <row r="132" spans="4:17" hidden="1" x14ac:dyDescent="0.4">
      <c r="D132" s="45" t="s">
        <v>85</v>
      </c>
      <c r="E132" s="45" t="s">
        <v>86</v>
      </c>
      <c r="F132" s="45" t="s">
        <v>87</v>
      </c>
      <c r="G132" s="45" t="s">
        <v>88</v>
      </c>
      <c r="H132" s="50" t="s">
        <v>636</v>
      </c>
      <c r="I132" s="49">
        <v>46127</v>
      </c>
      <c r="J132" s="45" t="s">
        <v>448</v>
      </c>
      <c r="K132" s="45" t="s">
        <v>444</v>
      </c>
      <c r="L132" s="48" t="s">
        <v>657</v>
      </c>
      <c r="M132" s="47">
        <v>50</v>
      </c>
      <c r="N132" s="47">
        <v>50</v>
      </c>
      <c r="O132" s="46">
        <v>1</v>
      </c>
      <c r="Q132" s="45" t="s">
        <v>23</v>
      </c>
    </row>
    <row r="133" spans="4:17" hidden="1" x14ac:dyDescent="0.4">
      <c r="D133" s="45" t="s">
        <v>89</v>
      </c>
      <c r="E133" s="45" t="s">
        <v>90</v>
      </c>
      <c r="F133" s="45" t="s">
        <v>91</v>
      </c>
      <c r="G133" s="45" t="s">
        <v>92</v>
      </c>
      <c r="H133" s="50" t="s">
        <v>636</v>
      </c>
      <c r="I133" s="49">
        <v>46127</v>
      </c>
      <c r="J133" s="45" t="s">
        <v>448</v>
      </c>
      <c r="K133" s="45" t="s">
        <v>444</v>
      </c>
      <c r="L133" s="48" t="s">
        <v>656</v>
      </c>
      <c r="M133" s="47">
        <v>50</v>
      </c>
      <c r="N133" s="47">
        <v>50</v>
      </c>
      <c r="O133" s="46">
        <v>1</v>
      </c>
      <c r="Q133" s="45" t="s">
        <v>23</v>
      </c>
    </row>
    <row r="134" spans="4:17" hidden="1" x14ac:dyDescent="0.4">
      <c r="D134" s="45" t="s">
        <v>94</v>
      </c>
      <c r="E134" s="45" t="s">
        <v>95</v>
      </c>
      <c r="F134" s="45" t="s">
        <v>96</v>
      </c>
      <c r="G134" s="45" t="s">
        <v>97</v>
      </c>
      <c r="H134" s="50" t="s">
        <v>636</v>
      </c>
      <c r="I134" s="49">
        <v>46127</v>
      </c>
      <c r="J134" s="45" t="s">
        <v>448</v>
      </c>
      <c r="K134" s="45" t="s">
        <v>444</v>
      </c>
      <c r="L134" s="48" t="s">
        <v>655</v>
      </c>
      <c r="M134" s="47">
        <v>0</v>
      </c>
      <c r="N134" s="47">
        <v>50</v>
      </c>
      <c r="O134" s="46">
        <v>0</v>
      </c>
      <c r="Q134" s="45" t="s">
        <v>23</v>
      </c>
    </row>
    <row r="135" spans="4:17" hidden="1" x14ac:dyDescent="0.4">
      <c r="D135" s="45" t="s">
        <v>99</v>
      </c>
      <c r="E135" s="45" t="s">
        <v>100</v>
      </c>
      <c r="F135" s="45" t="s">
        <v>101</v>
      </c>
      <c r="G135" s="45" t="s">
        <v>102</v>
      </c>
      <c r="H135" s="50" t="s">
        <v>636</v>
      </c>
      <c r="I135" s="49">
        <v>46127</v>
      </c>
      <c r="J135" s="45" t="s">
        <v>448</v>
      </c>
      <c r="K135" s="45" t="s">
        <v>444</v>
      </c>
      <c r="L135" s="48" t="s">
        <v>654</v>
      </c>
      <c r="M135" s="47">
        <v>50</v>
      </c>
      <c r="N135" s="47">
        <v>50</v>
      </c>
      <c r="O135" s="46">
        <v>1</v>
      </c>
      <c r="Q135" s="45" t="s">
        <v>23</v>
      </c>
    </row>
    <row r="136" spans="4:17" hidden="1" x14ac:dyDescent="0.4">
      <c r="D136" s="45" t="s">
        <v>104</v>
      </c>
      <c r="E136" s="45" t="s">
        <v>86</v>
      </c>
      <c r="F136" s="45" t="s">
        <v>105</v>
      </c>
      <c r="G136" s="45" t="s">
        <v>106</v>
      </c>
      <c r="H136" s="50" t="s">
        <v>636</v>
      </c>
      <c r="I136" s="49">
        <v>46127</v>
      </c>
      <c r="J136" s="45" t="s">
        <v>448</v>
      </c>
      <c r="K136" s="45" t="s">
        <v>444</v>
      </c>
      <c r="L136" s="48" t="s">
        <v>653</v>
      </c>
      <c r="M136" s="47">
        <v>0</v>
      </c>
      <c r="N136" s="47">
        <v>50</v>
      </c>
      <c r="O136" s="46">
        <v>0</v>
      </c>
      <c r="Q136" s="45" t="s">
        <v>23</v>
      </c>
    </row>
    <row r="137" spans="4:17" hidden="1" x14ac:dyDescent="0.4">
      <c r="D137" s="45" t="s">
        <v>107</v>
      </c>
      <c r="E137" s="45" t="s">
        <v>108</v>
      </c>
      <c r="F137" s="45" t="s">
        <v>109</v>
      </c>
      <c r="G137" s="45" t="s">
        <v>110</v>
      </c>
      <c r="H137" s="50" t="s">
        <v>636</v>
      </c>
      <c r="I137" s="49">
        <v>46127</v>
      </c>
      <c r="J137" s="45" t="s">
        <v>448</v>
      </c>
      <c r="K137" s="45" t="s">
        <v>444</v>
      </c>
      <c r="L137" s="48" t="s">
        <v>651</v>
      </c>
      <c r="M137" s="47">
        <v>50</v>
      </c>
      <c r="N137" s="47">
        <v>50</v>
      </c>
      <c r="O137" s="46">
        <v>1</v>
      </c>
      <c r="Q137" s="45" t="s">
        <v>23</v>
      </c>
    </row>
    <row r="138" spans="4:17" hidden="1" x14ac:dyDescent="0.4">
      <c r="D138" s="45" t="s">
        <v>112</v>
      </c>
      <c r="E138" s="45" t="s">
        <v>113</v>
      </c>
      <c r="F138" s="45" t="s">
        <v>114</v>
      </c>
      <c r="G138" s="45" t="s">
        <v>115</v>
      </c>
      <c r="H138" s="50" t="s">
        <v>636</v>
      </c>
      <c r="I138" s="49">
        <v>46127</v>
      </c>
      <c r="J138" s="45" t="s">
        <v>448</v>
      </c>
      <c r="K138" s="45" t="s">
        <v>444</v>
      </c>
      <c r="L138" s="48" t="s">
        <v>652</v>
      </c>
      <c r="M138" s="47">
        <v>35</v>
      </c>
      <c r="N138" s="47">
        <v>50</v>
      </c>
      <c r="O138" s="46">
        <v>0.7</v>
      </c>
      <c r="Q138" s="45" t="s">
        <v>23</v>
      </c>
    </row>
    <row r="139" spans="4:17" hidden="1" x14ac:dyDescent="0.4">
      <c r="D139" s="45" t="s">
        <v>117</v>
      </c>
      <c r="E139" s="45" t="s">
        <v>118</v>
      </c>
      <c r="F139" s="45" t="s">
        <v>119</v>
      </c>
      <c r="G139" s="45" t="s">
        <v>120</v>
      </c>
      <c r="H139" s="50" t="s">
        <v>636</v>
      </c>
      <c r="I139" s="49">
        <v>46127</v>
      </c>
      <c r="J139" s="45" t="s">
        <v>448</v>
      </c>
      <c r="K139" s="45" t="s">
        <v>444</v>
      </c>
      <c r="L139" s="48" t="s">
        <v>651</v>
      </c>
      <c r="M139" s="47">
        <v>50</v>
      </c>
      <c r="N139" s="47">
        <v>50</v>
      </c>
      <c r="O139" s="46">
        <v>1</v>
      </c>
      <c r="Q139" s="45" t="s">
        <v>23</v>
      </c>
    </row>
    <row r="140" spans="4:17" hidden="1" x14ac:dyDescent="0.4">
      <c r="D140" s="45" t="s">
        <v>122</v>
      </c>
      <c r="E140" s="45" t="s">
        <v>123</v>
      </c>
      <c r="F140" s="45" t="s">
        <v>124</v>
      </c>
      <c r="G140" s="45" t="s">
        <v>125</v>
      </c>
      <c r="H140" s="50" t="s">
        <v>636</v>
      </c>
      <c r="I140" s="49">
        <v>46127</v>
      </c>
      <c r="J140" s="45" t="s">
        <v>448</v>
      </c>
      <c r="K140" s="45" t="s">
        <v>444</v>
      </c>
      <c r="L140" s="48" t="s">
        <v>650</v>
      </c>
      <c r="M140" s="47">
        <v>50</v>
      </c>
      <c r="N140" s="47">
        <v>50</v>
      </c>
      <c r="O140" s="46">
        <v>1</v>
      </c>
      <c r="Q140" s="45" t="s">
        <v>23</v>
      </c>
    </row>
    <row r="141" spans="4:17" hidden="1" x14ac:dyDescent="0.4">
      <c r="D141" s="45" t="s">
        <v>127</v>
      </c>
      <c r="E141" s="45" t="s">
        <v>128</v>
      </c>
      <c r="F141" s="45" t="s">
        <v>129</v>
      </c>
      <c r="G141" s="45" t="s">
        <v>130</v>
      </c>
      <c r="H141" s="50" t="s">
        <v>636</v>
      </c>
      <c r="I141" s="49">
        <v>46127</v>
      </c>
      <c r="J141" s="45" t="s">
        <v>448</v>
      </c>
      <c r="K141" s="45" t="s">
        <v>444</v>
      </c>
      <c r="L141" s="48" t="s">
        <v>649</v>
      </c>
      <c r="M141" s="47">
        <v>50</v>
      </c>
      <c r="N141" s="47">
        <v>50</v>
      </c>
      <c r="O141" s="46">
        <v>1</v>
      </c>
      <c r="Q141" s="45" t="s">
        <v>23</v>
      </c>
    </row>
    <row r="142" spans="4:17" hidden="1" x14ac:dyDescent="0.4">
      <c r="D142" s="45" t="s">
        <v>132</v>
      </c>
      <c r="E142" s="45" t="s">
        <v>133</v>
      </c>
      <c r="F142" s="45" t="s">
        <v>134</v>
      </c>
      <c r="G142" s="45" t="s">
        <v>135</v>
      </c>
      <c r="H142" s="50" t="s">
        <v>636</v>
      </c>
      <c r="I142" s="49">
        <v>46127</v>
      </c>
      <c r="J142" s="45" t="s">
        <v>448</v>
      </c>
      <c r="K142" s="45" t="s">
        <v>444</v>
      </c>
      <c r="L142" s="48" t="s">
        <v>649</v>
      </c>
      <c r="M142" s="47">
        <v>50</v>
      </c>
      <c r="N142" s="47">
        <v>50</v>
      </c>
      <c r="O142" s="46">
        <v>1</v>
      </c>
      <c r="Q142" s="45" t="s">
        <v>23</v>
      </c>
    </row>
    <row r="143" spans="4:17" hidden="1" x14ac:dyDescent="0.4">
      <c r="D143" s="45" t="s">
        <v>137</v>
      </c>
      <c r="E143" s="45" t="s">
        <v>138</v>
      </c>
      <c r="F143" s="45" t="s">
        <v>139</v>
      </c>
      <c r="G143" s="45" t="s">
        <v>140</v>
      </c>
      <c r="H143" s="50" t="s">
        <v>636</v>
      </c>
      <c r="I143" s="49">
        <v>46127</v>
      </c>
      <c r="J143" s="45" t="s">
        <v>448</v>
      </c>
      <c r="K143" s="45" t="s">
        <v>444</v>
      </c>
      <c r="L143" s="48" t="s">
        <v>648</v>
      </c>
      <c r="M143" s="47">
        <v>50</v>
      </c>
      <c r="N143" s="47">
        <v>50</v>
      </c>
      <c r="O143" s="46">
        <v>1</v>
      </c>
      <c r="Q143" s="45" t="s">
        <v>23</v>
      </c>
    </row>
    <row r="144" spans="4:17" hidden="1" x14ac:dyDescent="0.4">
      <c r="D144" s="45" t="s">
        <v>142</v>
      </c>
      <c r="E144" s="45" t="s">
        <v>143</v>
      </c>
      <c r="F144" s="45" t="s">
        <v>144</v>
      </c>
      <c r="G144" s="45" t="s">
        <v>145</v>
      </c>
      <c r="H144" s="50" t="s">
        <v>636</v>
      </c>
      <c r="I144" s="49">
        <v>46127</v>
      </c>
      <c r="J144" s="45" t="s">
        <v>448</v>
      </c>
      <c r="K144" s="45" t="s">
        <v>444</v>
      </c>
      <c r="L144" s="48" t="s">
        <v>637</v>
      </c>
      <c r="M144" s="47">
        <v>50</v>
      </c>
      <c r="N144" s="47">
        <v>50</v>
      </c>
      <c r="O144" s="46">
        <v>1</v>
      </c>
      <c r="Q144" s="45" t="s">
        <v>23</v>
      </c>
    </row>
    <row r="145" spans="4:17" hidden="1" x14ac:dyDescent="0.4">
      <c r="D145" s="45" t="s">
        <v>147</v>
      </c>
      <c r="E145" s="45" t="s">
        <v>148</v>
      </c>
      <c r="F145" s="45" t="s">
        <v>149</v>
      </c>
      <c r="G145" s="45" t="s">
        <v>150</v>
      </c>
      <c r="H145" s="50" t="s">
        <v>636</v>
      </c>
      <c r="I145" s="49">
        <v>46127</v>
      </c>
      <c r="J145" s="45" t="s">
        <v>448</v>
      </c>
      <c r="K145" s="45" t="s">
        <v>444</v>
      </c>
      <c r="L145" s="48" t="s">
        <v>647</v>
      </c>
      <c r="M145" s="47">
        <v>50</v>
      </c>
      <c r="N145" s="47">
        <v>50</v>
      </c>
      <c r="O145" s="46">
        <v>1</v>
      </c>
      <c r="Q145" s="45" t="s">
        <v>23</v>
      </c>
    </row>
    <row r="146" spans="4:17" hidden="1" x14ac:dyDescent="0.4">
      <c r="D146" s="45" t="s">
        <v>152</v>
      </c>
      <c r="E146" s="45" t="s">
        <v>66</v>
      </c>
      <c r="F146" s="45" t="s">
        <v>153</v>
      </c>
      <c r="G146" s="45" t="s">
        <v>154</v>
      </c>
      <c r="H146" s="50" t="s">
        <v>636</v>
      </c>
      <c r="I146" s="49">
        <v>46127</v>
      </c>
      <c r="J146" s="45" t="s">
        <v>448</v>
      </c>
      <c r="K146" s="45" t="s">
        <v>444</v>
      </c>
      <c r="L146" s="48" t="s">
        <v>646</v>
      </c>
      <c r="M146" s="47">
        <v>0</v>
      </c>
      <c r="N146" s="47">
        <v>50</v>
      </c>
      <c r="O146" s="46">
        <v>0</v>
      </c>
      <c r="Q146" s="45" t="s">
        <v>23</v>
      </c>
    </row>
    <row r="147" spans="4:17" hidden="1" x14ac:dyDescent="0.4">
      <c r="D147" s="45" t="s">
        <v>160</v>
      </c>
      <c r="E147" s="45" t="s">
        <v>81</v>
      </c>
      <c r="F147" s="45" t="s">
        <v>161</v>
      </c>
      <c r="G147" s="45" t="s">
        <v>162</v>
      </c>
      <c r="H147" s="50" t="s">
        <v>636</v>
      </c>
      <c r="I147" s="49">
        <v>46127</v>
      </c>
      <c r="J147" s="45" t="s">
        <v>448</v>
      </c>
      <c r="K147" s="45" t="s">
        <v>444</v>
      </c>
      <c r="L147" s="48" t="s">
        <v>645</v>
      </c>
      <c r="M147" s="47">
        <v>0</v>
      </c>
      <c r="N147" s="47">
        <v>50</v>
      </c>
      <c r="O147" s="46">
        <v>0</v>
      </c>
      <c r="Q147" s="45" t="s">
        <v>23</v>
      </c>
    </row>
    <row r="148" spans="4:17" hidden="1" x14ac:dyDescent="0.4">
      <c r="D148" s="45" t="s">
        <v>163</v>
      </c>
      <c r="E148" s="45" t="s">
        <v>164</v>
      </c>
      <c r="F148" s="45" t="s">
        <v>165</v>
      </c>
      <c r="G148" s="45" t="s">
        <v>166</v>
      </c>
      <c r="H148" s="50" t="s">
        <v>636</v>
      </c>
      <c r="I148" s="49">
        <v>46127</v>
      </c>
      <c r="J148" s="45" t="s">
        <v>448</v>
      </c>
      <c r="K148" s="45" t="s">
        <v>444</v>
      </c>
      <c r="L148" s="48" t="s">
        <v>639</v>
      </c>
      <c r="M148" s="47">
        <v>0</v>
      </c>
      <c r="N148" s="47">
        <v>50</v>
      </c>
      <c r="O148" s="46">
        <v>0</v>
      </c>
      <c r="Q148" s="45" t="s">
        <v>23</v>
      </c>
    </row>
    <row r="149" spans="4:17" hidden="1" x14ac:dyDescent="0.4">
      <c r="D149" s="45" t="s">
        <v>168</v>
      </c>
      <c r="E149" s="45" t="s">
        <v>169</v>
      </c>
      <c r="F149" s="45" t="s">
        <v>170</v>
      </c>
      <c r="G149" s="45" t="s">
        <v>171</v>
      </c>
      <c r="H149" s="50" t="s">
        <v>636</v>
      </c>
      <c r="I149" s="49">
        <v>46127</v>
      </c>
      <c r="J149" s="45" t="s">
        <v>448</v>
      </c>
      <c r="K149" s="45" t="s">
        <v>444</v>
      </c>
      <c r="L149" s="48" t="s">
        <v>644</v>
      </c>
      <c r="M149" s="47">
        <v>50</v>
      </c>
      <c r="N149" s="47">
        <v>50</v>
      </c>
      <c r="O149" s="46">
        <v>1</v>
      </c>
      <c r="Q149" s="45" t="s">
        <v>23</v>
      </c>
    </row>
    <row r="150" spans="4:17" hidden="1" x14ac:dyDescent="0.4">
      <c r="D150" s="45" t="s">
        <v>173</v>
      </c>
      <c r="E150" s="45" t="s">
        <v>174</v>
      </c>
      <c r="F150" s="45" t="s">
        <v>175</v>
      </c>
      <c r="G150" s="45" t="s">
        <v>176</v>
      </c>
      <c r="H150" s="50" t="s">
        <v>636</v>
      </c>
      <c r="I150" s="49">
        <v>46127</v>
      </c>
      <c r="J150" s="45" t="s">
        <v>448</v>
      </c>
      <c r="K150" s="45" t="s">
        <v>444</v>
      </c>
      <c r="L150" s="48" t="s">
        <v>643</v>
      </c>
      <c r="M150" s="47">
        <v>0</v>
      </c>
      <c r="N150" s="47">
        <v>50</v>
      </c>
      <c r="O150" s="46">
        <v>0</v>
      </c>
      <c r="Q150" s="45" t="s">
        <v>23</v>
      </c>
    </row>
    <row r="151" spans="4:17" hidden="1" x14ac:dyDescent="0.4">
      <c r="D151" s="45" t="s">
        <v>178</v>
      </c>
      <c r="E151" s="45" t="s">
        <v>179</v>
      </c>
      <c r="F151" s="45" t="s">
        <v>180</v>
      </c>
      <c r="G151" s="45" t="s">
        <v>181</v>
      </c>
      <c r="H151" s="50" t="s">
        <v>636</v>
      </c>
      <c r="I151" s="49">
        <v>46127</v>
      </c>
      <c r="J151" s="45" t="s">
        <v>448</v>
      </c>
      <c r="K151" s="45" t="s">
        <v>444</v>
      </c>
      <c r="L151" s="48" t="s">
        <v>642</v>
      </c>
      <c r="M151" s="47">
        <v>50</v>
      </c>
      <c r="N151" s="47">
        <v>50</v>
      </c>
      <c r="O151" s="46">
        <v>1</v>
      </c>
      <c r="Q151" s="45" t="s">
        <v>23</v>
      </c>
    </row>
    <row r="152" spans="4:17" hidden="1" x14ac:dyDescent="0.4">
      <c r="D152" s="45" t="s">
        <v>187</v>
      </c>
      <c r="E152" s="45" t="s">
        <v>188</v>
      </c>
      <c r="F152" s="45" t="s">
        <v>189</v>
      </c>
      <c r="G152" s="45" t="s">
        <v>190</v>
      </c>
      <c r="H152" s="50" t="s">
        <v>636</v>
      </c>
      <c r="I152" s="49">
        <v>46127</v>
      </c>
      <c r="J152" s="45" t="s">
        <v>448</v>
      </c>
      <c r="K152" s="45" t="s">
        <v>444</v>
      </c>
      <c r="L152" s="48" t="s">
        <v>638</v>
      </c>
      <c r="M152" s="47">
        <v>50</v>
      </c>
      <c r="N152" s="47">
        <v>50</v>
      </c>
      <c r="O152" s="46">
        <v>1</v>
      </c>
      <c r="Q152" s="45" t="s">
        <v>23</v>
      </c>
    </row>
    <row r="153" spans="4:17" hidden="1" x14ac:dyDescent="0.4">
      <c r="D153" s="45" t="s">
        <v>192</v>
      </c>
      <c r="E153" s="45" t="s">
        <v>193</v>
      </c>
      <c r="F153" s="45" t="s">
        <v>194</v>
      </c>
      <c r="G153" s="45" t="s">
        <v>195</v>
      </c>
      <c r="H153" s="50" t="s">
        <v>636</v>
      </c>
      <c r="I153" s="49">
        <v>46127</v>
      </c>
      <c r="J153" s="45" t="s">
        <v>448</v>
      </c>
      <c r="K153" s="45" t="s">
        <v>444</v>
      </c>
      <c r="L153" s="48" t="s">
        <v>641</v>
      </c>
      <c r="M153" s="47">
        <v>50</v>
      </c>
      <c r="N153" s="47">
        <v>50</v>
      </c>
      <c r="O153" s="46">
        <v>1</v>
      </c>
      <c r="Q153" s="45" t="s">
        <v>23</v>
      </c>
    </row>
    <row r="154" spans="4:17" hidden="1" x14ac:dyDescent="0.4">
      <c r="D154" s="45" t="s">
        <v>197</v>
      </c>
      <c r="E154" s="45" t="s">
        <v>198</v>
      </c>
      <c r="F154" s="45" t="s">
        <v>199</v>
      </c>
      <c r="G154" s="45" t="s">
        <v>200</v>
      </c>
      <c r="H154" s="50" t="s">
        <v>636</v>
      </c>
      <c r="I154" s="49">
        <v>46127</v>
      </c>
      <c r="J154" s="45" t="s">
        <v>448</v>
      </c>
      <c r="K154" s="45" t="s">
        <v>444</v>
      </c>
      <c r="L154" s="48" t="s">
        <v>640</v>
      </c>
      <c r="M154" s="47">
        <v>0</v>
      </c>
      <c r="N154" s="47">
        <v>50</v>
      </c>
      <c r="O154" s="46">
        <v>0</v>
      </c>
      <c r="Q154" s="45" t="s">
        <v>23</v>
      </c>
    </row>
    <row r="155" spans="4:17" hidden="1" x14ac:dyDescent="0.4">
      <c r="D155" s="45" t="s">
        <v>201</v>
      </c>
      <c r="E155" s="45" t="s">
        <v>143</v>
      </c>
      <c r="F155" s="45" t="s">
        <v>202</v>
      </c>
      <c r="G155" s="45" t="s">
        <v>203</v>
      </c>
      <c r="H155" s="50" t="s">
        <v>636</v>
      </c>
      <c r="I155" s="49">
        <v>46127</v>
      </c>
      <c r="J155" s="45" t="s">
        <v>448</v>
      </c>
      <c r="K155" s="45" t="s">
        <v>444</v>
      </c>
      <c r="L155" s="48" t="s">
        <v>639</v>
      </c>
      <c r="M155" s="47">
        <v>0</v>
      </c>
      <c r="N155" s="47">
        <v>50</v>
      </c>
      <c r="O155" s="46">
        <v>0</v>
      </c>
      <c r="Q155" s="45" t="s">
        <v>23</v>
      </c>
    </row>
    <row r="156" spans="4:17" hidden="1" x14ac:dyDescent="0.4">
      <c r="D156" s="45" t="s">
        <v>205</v>
      </c>
      <c r="E156" s="45" t="s">
        <v>206</v>
      </c>
      <c r="F156" s="45" t="s">
        <v>207</v>
      </c>
      <c r="G156" s="45" t="s">
        <v>208</v>
      </c>
      <c r="H156" s="50" t="s">
        <v>636</v>
      </c>
      <c r="I156" s="49">
        <v>46127</v>
      </c>
      <c r="J156" s="45" t="s">
        <v>448</v>
      </c>
      <c r="K156" s="45" t="s">
        <v>444</v>
      </c>
      <c r="L156" s="48" t="s">
        <v>638</v>
      </c>
      <c r="M156" s="47">
        <v>50</v>
      </c>
      <c r="N156" s="47">
        <v>50</v>
      </c>
      <c r="O156" s="46">
        <v>1</v>
      </c>
      <c r="Q156" s="45" t="s">
        <v>23</v>
      </c>
    </row>
    <row r="157" spans="4:17" hidden="1" x14ac:dyDescent="0.4">
      <c r="D157" s="45" t="s">
        <v>210</v>
      </c>
      <c r="E157" s="45" t="s">
        <v>211</v>
      </c>
      <c r="F157" s="45" t="s">
        <v>212</v>
      </c>
      <c r="G157" s="45" t="s">
        <v>213</v>
      </c>
      <c r="H157" s="50" t="s">
        <v>636</v>
      </c>
      <c r="I157" s="49">
        <v>46127</v>
      </c>
      <c r="J157" s="45" t="s">
        <v>448</v>
      </c>
      <c r="K157" s="45" t="s">
        <v>444</v>
      </c>
      <c r="L157" s="48" t="s">
        <v>637</v>
      </c>
      <c r="M157" s="47">
        <v>50</v>
      </c>
      <c r="N157" s="47">
        <v>50</v>
      </c>
      <c r="O157" s="46">
        <v>1</v>
      </c>
      <c r="Q157" s="45" t="s">
        <v>23</v>
      </c>
    </row>
    <row r="158" spans="4:17" hidden="1" x14ac:dyDescent="0.4">
      <c r="D158" s="45" t="s">
        <v>215</v>
      </c>
      <c r="E158" s="45" t="s">
        <v>216</v>
      </c>
      <c r="F158" s="45" t="s">
        <v>217</v>
      </c>
      <c r="G158" s="45" t="s">
        <v>218</v>
      </c>
      <c r="H158" s="50" t="s">
        <v>636</v>
      </c>
      <c r="I158" s="49">
        <v>46127</v>
      </c>
      <c r="J158" s="45" t="s">
        <v>448</v>
      </c>
      <c r="K158" s="45" t="s">
        <v>444</v>
      </c>
      <c r="L158" s="48" t="s">
        <v>635</v>
      </c>
      <c r="M158" s="47">
        <v>50</v>
      </c>
      <c r="N158" s="47">
        <v>50</v>
      </c>
      <c r="O158" s="46">
        <v>1</v>
      </c>
      <c r="Q158" s="45" t="s">
        <v>23</v>
      </c>
    </row>
    <row r="159" spans="4:17" hidden="1" x14ac:dyDescent="0.4">
      <c r="D159" s="45" t="s">
        <v>24</v>
      </c>
      <c r="E159" s="45" t="s">
        <v>25</v>
      </c>
      <c r="F159" s="45" t="s">
        <v>26</v>
      </c>
      <c r="G159" s="45" t="s">
        <v>27</v>
      </c>
      <c r="H159" s="50" t="s">
        <v>502</v>
      </c>
      <c r="I159" s="49">
        <v>46107</v>
      </c>
      <c r="J159" s="45" t="s">
        <v>445</v>
      </c>
      <c r="K159" s="45" t="s">
        <v>444</v>
      </c>
      <c r="L159" s="48"/>
      <c r="M159" s="47">
        <v>50</v>
      </c>
      <c r="N159" s="47">
        <v>50</v>
      </c>
      <c r="O159" s="46">
        <v>1</v>
      </c>
      <c r="Q159" s="45" t="s">
        <v>23</v>
      </c>
    </row>
    <row r="160" spans="4:17" hidden="1" x14ac:dyDescent="0.4">
      <c r="D160" s="45" t="s">
        <v>31</v>
      </c>
      <c r="E160" s="45" t="s">
        <v>32</v>
      </c>
      <c r="F160" s="45" t="s">
        <v>33</v>
      </c>
      <c r="G160" s="45" t="s">
        <v>34</v>
      </c>
      <c r="H160" s="50" t="s">
        <v>502</v>
      </c>
      <c r="I160" s="49">
        <v>46107</v>
      </c>
      <c r="J160" s="45" t="s">
        <v>445</v>
      </c>
      <c r="K160" s="45" t="s">
        <v>444</v>
      </c>
      <c r="L160" s="48"/>
      <c r="M160" s="47">
        <v>50</v>
      </c>
      <c r="N160" s="47">
        <v>50</v>
      </c>
      <c r="O160" s="46">
        <v>1</v>
      </c>
      <c r="Q160" s="45" t="s">
        <v>23</v>
      </c>
    </row>
    <row r="161" spans="4:17" hidden="1" x14ac:dyDescent="0.4">
      <c r="D161" s="45" t="s">
        <v>36</v>
      </c>
      <c r="E161" s="45" t="s">
        <v>37</v>
      </c>
      <c r="F161" s="45" t="s">
        <v>38</v>
      </c>
      <c r="G161" s="45" t="s">
        <v>39</v>
      </c>
      <c r="H161" s="50" t="s">
        <v>502</v>
      </c>
      <c r="I161" s="49">
        <v>46107</v>
      </c>
      <c r="J161" s="45" t="s">
        <v>445</v>
      </c>
      <c r="K161" s="45" t="s">
        <v>444</v>
      </c>
      <c r="L161" s="48"/>
      <c r="M161" s="47">
        <v>50</v>
      </c>
      <c r="N161" s="47">
        <v>50</v>
      </c>
      <c r="O161" s="46">
        <v>1</v>
      </c>
      <c r="Q161" s="45" t="s">
        <v>23</v>
      </c>
    </row>
    <row r="162" spans="4:17" hidden="1" x14ac:dyDescent="0.4">
      <c r="D162" s="45" t="s">
        <v>41</v>
      </c>
      <c r="E162" s="45" t="s">
        <v>42</v>
      </c>
      <c r="F162" s="45" t="s">
        <v>43</v>
      </c>
      <c r="G162" s="45" t="s">
        <v>44</v>
      </c>
      <c r="H162" s="50" t="s">
        <v>502</v>
      </c>
      <c r="I162" s="49">
        <v>46107</v>
      </c>
      <c r="J162" s="45" t="s">
        <v>445</v>
      </c>
      <c r="K162" s="45" t="s">
        <v>444</v>
      </c>
      <c r="L162" s="48"/>
      <c r="M162" s="47">
        <v>50</v>
      </c>
      <c r="N162" s="47">
        <v>50</v>
      </c>
      <c r="O162" s="46">
        <v>1</v>
      </c>
      <c r="Q162" s="45" t="s">
        <v>23</v>
      </c>
    </row>
    <row r="163" spans="4:17" hidden="1" x14ac:dyDescent="0.4">
      <c r="D163" s="45" t="s">
        <v>46</v>
      </c>
      <c r="E163" s="45" t="s">
        <v>47</v>
      </c>
      <c r="F163" s="45" t="s">
        <v>48</v>
      </c>
      <c r="G163" s="45" t="s">
        <v>49</v>
      </c>
      <c r="H163" s="50" t="s">
        <v>502</v>
      </c>
      <c r="I163" s="49">
        <v>46107</v>
      </c>
      <c r="J163" s="45" t="s">
        <v>445</v>
      </c>
      <c r="K163" s="45" t="s">
        <v>444</v>
      </c>
      <c r="L163" s="48"/>
      <c r="M163" s="47">
        <v>0</v>
      </c>
      <c r="N163" s="47">
        <v>50</v>
      </c>
      <c r="O163" s="46">
        <v>0</v>
      </c>
      <c r="Q163" s="45" t="s">
        <v>23</v>
      </c>
    </row>
    <row r="164" spans="4:17" hidden="1" x14ac:dyDescent="0.4">
      <c r="D164" s="45" t="s">
        <v>51</v>
      </c>
      <c r="E164" s="45" t="s">
        <v>52</v>
      </c>
      <c r="F164" s="45" t="s">
        <v>53</v>
      </c>
      <c r="G164" s="45" t="s">
        <v>54</v>
      </c>
      <c r="H164" s="50" t="s">
        <v>502</v>
      </c>
      <c r="I164" s="49">
        <v>46107</v>
      </c>
      <c r="J164" s="45" t="s">
        <v>445</v>
      </c>
      <c r="K164" s="45" t="s">
        <v>444</v>
      </c>
      <c r="L164" s="48"/>
      <c r="M164" s="47">
        <v>0</v>
      </c>
      <c r="N164" s="47">
        <v>50</v>
      </c>
      <c r="O164" s="46">
        <v>0</v>
      </c>
      <c r="Q164" s="45" t="s">
        <v>23</v>
      </c>
    </row>
    <row r="165" spans="4:17" hidden="1" x14ac:dyDescent="0.4">
      <c r="D165" s="45" t="s">
        <v>56</v>
      </c>
      <c r="E165" s="45" t="s">
        <v>52</v>
      </c>
      <c r="F165" s="45" t="s">
        <v>57</v>
      </c>
      <c r="G165" s="45" t="s">
        <v>58</v>
      </c>
      <c r="H165" s="50" t="s">
        <v>502</v>
      </c>
      <c r="I165" s="49">
        <v>46107</v>
      </c>
      <c r="J165" s="45" t="s">
        <v>445</v>
      </c>
      <c r="K165" s="45" t="s">
        <v>444</v>
      </c>
      <c r="L165" s="48"/>
      <c r="M165" s="47">
        <v>0</v>
      </c>
      <c r="N165" s="47">
        <v>50</v>
      </c>
      <c r="O165" s="46">
        <v>0</v>
      </c>
      <c r="Q165" s="45" t="s">
        <v>23</v>
      </c>
    </row>
    <row r="166" spans="4:17" hidden="1" x14ac:dyDescent="0.4">
      <c r="D166" s="45" t="s">
        <v>60</v>
      </c>
      <c r="E166" s="45" t="s">
        <v>61</v>
      </c>
      <c r="F166" s="45" t="s">
        <v>62</v>
      </c>
      <c r="G166" s="45" t="s">
        <v>63</v>
      </c>
      <c r="H166" s="50" t="s">
        <v>502</v>
      </c>
      <c r="I166" s="49">
        <v>46107</v>
      </c>
      <c r="J166" s="45" t="s">
        <v>445</v>
      </c>
      <c r="K166" s="45" t="s">
        <v>444</v>
      </c>
      <c r="L166" s="48"/>
      <c r="M166" s="47">
        <v>50</v>
      </c>
      <c r="N166" s="47">
        <v>50</v>
      </c>
      <c r="O166" s="46">
        <v>1</v>
      </c>
      <c r="Q166" s="45" t="s">
        <v>23</v>
      </c>
    </row>
    <row r="167" spans="4:17" hidden="1" x14ac:dyDescent="0.4">
      <c r="D167" s="45" t="s">
        <v>65</v>
      </c>
      <c r="E167" s="45" t="s">
        <v>66</v>
      </c>
      <c r="F167" s="45" t="s">
        <v>67</v>
      </c>
      <c r="G167" s="45" t="s">
        <v>68</v>
      </c>
      <c r="H167" s="50" t="s">
        <v>502</v>
      </c>
      <c r="I167" s="49">
        <v>46107</v>
      </c>
      <c r="J167" s="45" t="s">
        <v>445</v>
      </c>
      <c r="K167" s="45" t="s">
        <v>444</v>
      </c>
      <c r="L167" s="48"/>
      <c r="M167" s="47">
        <v>50</v>
      </c>
      <c r="N167" s="47">
        <v>50</v>
      </c>
      <c r="O167" s="46">
        <v>1</v>
      </c>
      <c r="Q167" s="45" t="s">
        <v>23</v>
      </c>
    </row>
    <row r="168" spans="4:17" hidden="1" x14ac:dyDescent="0.4">
      <c r="D168" s="45" t="s">
        <v>70</v>
      </c>
      <c r="E168" s="45" t="s">
        <v>71</v>
      </c>
      <c r="F168" s="45" t="s">
        <v>72</v>
      </c>
      <c r="G168" s="45" t="s">
        <v>73</v>
      </c>
      <c r="H168" s="50" t="s">
        <v>502</v>
      </c>
      <c r="I168" s="49">
        <v>46107</v>
      </c>
      <c r="J168" s="45" t="s">
        <v>445</v>
      </c>
      <c r="K168" s="45" t="s">
        <v>444</v>
      </c>
      <c r="L168" s="48"/>
      <c r="M168" s="47">
        <v>50</v>
      </c>
      <c r="N168" s="47">
        <v>50</v>
      </c>
      <c r="O168" s="46">
        <v>1</v>
      </c>
      <c r="Q168" s="45" t="s">
        <v>23</v>
      </c>
    </row>
    <row r="169" spans="4:17" hidden="1" x14ac:dyDescent="0.4">
      <c r="D169" s="45" t="s">
        <v>75</v>
      </c>
      <c r="E169" s="45" t="s">
        <v>76</v>
      </c>
      <c r="F169" s="45" t="s">
        <v>77</v>
      </c>
      <c r="G169" s="45" t="s">
        <v>78</v>
      </c>
      <c r="H169" s="50" t="s">
        <v>502</v>
      </c>
      <c r="I169" s="49">
        <v>46107</v>
      </c>
      <c r="J169" s="45" t="s">
        <v>445</v>
      </c>
      <c r="K169" s="45" t="s">
        <v>444</v>
      </c>
      <c r="L169" s="48"/>
      <c r="M169" s="47">
        <v>50</v>
      </c>
      <c r="N169" s="47">
        <v>50</v>
      </c>
      <c r="O169" s="46">
        <v>1</v>
      </c>
      <c r="Q169" s="45" t="s">
        <v>23</v>
      </c>
    </row>
    <row r="170" spans="4:17" hidden="1" x14ac:dyDescent="0.4">
      <c r="D170" s="45" t="s">
        <v>80</v>
      </c>
      <c r="E170" s="45" t="s">
        <v>81</v>
      </c>
      <c r="F170" s="45" t="s">
        <v>82</v>
      </c>
      <c r="G170" s="45" t="s">
        <v>83</v>
      </c>
      <c r="H170" s="50" t="s">
        <v>502</v>
      </c>
      <c r="I170" s="49">
        <v>46107</v>
      </c>
      <c r="J170" s="45" t="s">
        <v>445</v>
      </c>
      <c r="K170" s="45" t="s">
        <v>444</v>
      </c>
      <c r="L170" s="48"/>
      <c r="M170" s="47">
        <v>0</v>
      </c>
      <c r="N170" s="47">
        <v>50</v>
      </c>
      <c r="O170" s="46">
        <v>0</v>
      </c>
      <c r="Q170" s="45" t="s">
        <v>23</v>
      </c>
    </row>
    <row r="171" spans="4:17" hidden="1" x14ac:dyDescent="0.4">
      <c r="D171" s="45" t="s">
        <v>85</v>
      </c>
      <c r="E171" s="45" t="s">
        <v>86</v>
      </c>
      <c r="F171" s="45" t="s">
        <v>87</v>
      </c>
      <c r="G171" s="45" t="s">
        <v>88</v>
      </c>
      <c r="H171" s="50" t="s">
        <v>502</v>
      </c>
      <c r="I171" s="49">
        <v>46107</v>
      </c>
      <c r="J171" s="45" t="s">
        <v>445</v>
      </c>
      <c r="K171" s="45" t="s">
        <v>444</v>
      </c>
      <c r="L171" s="48"/>
      <c r="M171" s="47">
        <v>0</v>
      </c>
      <c r="N171" s="47">
        <v>50</v>
      </c>
      <c r="O171" s="46">
        <v>0</v>
      </c>
      <c r="Q171" s="45" t="s">
        <v>23</v>
      </c>
    </row>
    <row r="172" spans="4:17" hidden="1" x14ac:dyDescent="0.4">
      <c r="D172" s="45" t="s">
        <v>89</v>
      </c>
      <c r="E172" s="45" t="s">
        <v>90</v>
      </c>
      <c r="F172" s="45" t="s">
        <v>91</v>
      </c>
      <c r="G172" s="45" t="s">
        <v>92</v>
      </c>
      <c r="H172" s="50" t="s">
        <v>502</v>
      </c>
      <c r="I172" s="49">
        <v>46107</v>
      </c>
      <c r="J172" s="45" t="s">
        <v>445</v>
      </c>
      <c r="K172" s="45" t="s">
        <v>444</v>
      </c>
      <c r="L172" s="48"/>
      <c r="M172" s="47">
        <v>0</v>
      </c>
      <c r="N172" s="47">
        <v>50</v>
      </c>
      <c r="O172" s="46">
        <v>0</v>
      </c>
      <c r="Q172" s="45" t="s">
        <v>23</v>
      </c>
    </row>
    <row r="173" spans="4:17" hidden="1" x14ac:dyDescent="0.4">
      <c r="D173" s="45" t="s">
        <v>94</v>
      </c>
      <c r="E173" s="45" t="s">
        <v>95</v>
      </c>
      <c r="F173" s="45" t="s">
        <v>96</v>
      </c>
      <c r="G173" s="45" t="s">
        <v>97</v>
      </c>
      <c r="H173" s="50" t="s">
        <v>502</v>
      </c>
      <c r="I173" s="49">
        <v>46107</v>
      </c>
      <c r="J173" s="45" t="s">
        <v>445</v>
      </c>
      <c r="K173" s="45" t="s">
        <v>444</v>
      </c>
      <c r="L173" s="48"/>
      <c r="M173" s="47">
        <v>0</v>
      </c>
      <c r="N173" s="47">
        <v>50</v>
      </c>
      <c r="O173" s="46">
        <v>0</v>
      </c>
      <c r="Q173" s="45" t="s">
        <v>23</v>
      </c>
    </row>
    <row r="174" spans="4:17" hidden="1" x14ac:dyDescent="0.4">
      <c r="D174" s="45" t="s">
        <v>99</v>
      </c>
      <c r="E174" s="45" t="s">
        <v>100</v>
      </c>
      <c r="F174" s="45" t="s">
        <v>101</v>
      </c>
      <c r="G174" s="45" t="s">
        <v>102</v>
      </c>
      <c r="H174" s="50" t="s">
        <v>502</v>
      </c>
      <c r="I174" s="49">
        <v>46107</v>
      </c>
      <c r="J174" s="45" t="s">
        <v>445</v>
      </c>
      <c r="K174" s="45" t="s">
        <v>444</v>
      </c>
      <c r="L174" s="48"/>
      <c r="M174" s="47">
        <v>0</v>
      </c>
      <c r="N174" s="47">
        <v>50</v>
      </c>
      <c r="O174" s="46">
        <v>0</v>
      </c>
      <c r="Q174" s="45" t="s">
        <v>23</v>
      </c>
    </row>
    <row r="175" spans="4:17" hidden="1" x14ac:dyDescent="0.4">
      <c r="D175" s="45" t="s">
        <v>104</v>
      </c>
      <c r="E175" s="45" t="s">
        <v>86</v>
      </c>
      <c r="F175" s="45" t="s">
        <v>105</v>
      </c>
      <c r="G175" s="45" t="s">
        <v>106</v>
      </c>
      <c r="H175" s="50" t="s">
        <v>502</v>
      </c>
      <c r="I175" s="49">
        <v>46107</v>
      </c>
      <c r="J175" s="45" t="s">
        <v>445</v>
      </c>
      <c r="K175" s="45" t="s">
        <v>444</v>
      </c>
      <c r="L175" s="48"/>
      <c r="M175" s="47">
        <v>50</v>
      </c>
      <c r="N175" s="47">
        <v>50</v>
      </c>
      <c r="O175" s="46">
        <v>1</v>
      </c>
      <c r="Q175" s="45" t="s">
        <v>23</v>
      </c>
    </row>
    <row r="176" spans="4:17" hidden="1" x14ac:dyDescent="0.4">
      <c r="D176" s="45" t="s">
        <v>107</v>
      </c>
      <c r="E176" s="45" t="s">
        <v>108</v>
      </c>
      <c r="F176" s="45" t="s">
        <v>109</v>
      </c>
      <c r="G176" s="45" t="s">
        <v>110</v>
      </c>
      <c r="H176" s="50" t="s">
        <v>502</v>
      </c>
      <c r="I176" s="49">
        <v>46107</v>
      </c>
      <c r="J176" s="45" t="s">
        <v>445</v>
      </c>
      <c r="K176" s="45" t="s">
        <v>444</v>
      </c>
      <c r="L176" s="48"/>
      <c r="M176" s="47">
        <v>50</v>
      </c>
      <c r="N176" s="47">
        <v>50</v>
      </c>
      <c r="O176" s="46">
        <v>1</v>
      </c>
      <c r="Q176" s="45" t="s">
        <v>23</v>
      </c>
    </row>
    <row r="177" spans="4:17" hidden="1" x14ac:dyDescent="0.4">
      <c r="D177" s="45" t="s">
        <v>112</v>
      </c>
      <c r="E177" s="45" t="s">
        <v>113</v>
      </c>
      <c r="F177" s="45" t="s">
        <v>114</v>
      </c>
      <c r="G177" s="45" t="s">
        <v>115</v>
      </c>
      <c r="H177" s="50" t="s">
        <v>502</v>
      </c>
      <c r="I177" s="49">
        <v>46107</v>
      </c>
      <c r="J177" s="45" t="s">
        <v>445</v>
      </c>
      <c r="K177" s="45" t="s">
        <v>444</v>
      </c>
      <c r="L177" s="48"/>
      <c r="M177" s="47">
        <v>50</v>
      </c>
      <c r="N177" s="47">
        <v>50</v>
      </c>
      <c r="O177" s="46">
        <v>1</v>
      </c>
      <c r="Q177" s="45" t="s">
        <v>23</v>
      </c>
    </row>
    <row r="178" spans="4:17" hidden="1" x14ac:dyDescent="0.4">
      <c r="D178" s="45" t="s">
        <v>117</v>
      </c>
      <c r="E178" s="45" t="s">
        <v>118</v>
      </c>
      <c r="F178" s="45" t="s">
        <v>119</v>
      </c>
      <c r="G178" s="45" t="s">
        <v>120</v>
      </c>
      <c r="H178" s="50" t="s">
        <v>502</v>
      </c>
      <c r="I178" s="49">
        <v>46107</v>
      </c>
      <c r="J178" s="45" t="s">
        <v>445</v>
      </c>
      <c r="K178" s="45" t="s">
        <v>444</v>
      </c>
      <c r="L178" s="48"/>
      <c r="M178" s="47">
        <v>50</v>
      </c>
      <c r="N178" s="47">
        <v>50</v>
      </c>
      <c r="O178" s="46">
        <v>1</v>
      </c>
      <c r="Q178" s="45" t="s">
        <v>23</v>
      </c>
    </row>
    <row r="179" spans="4:17" hidden="1" x14ac:dyDescent="0.4">
      <c r="D179" s="45" t="s">
        <v>122</v>
      </c>
      <c r="E179" s="45" t="s">
        <v>123</v>
      </c>
      <c r="F179" s="45" t="s">
        <v>124</v>
      </c>
      <c r="G179" s="45" t="s">
        <v>125</v>
      </c>
      <c r="H179" s="50" t="s">
        <v>502</v>
      </c>
      <c r="I179" s="49">
        <v>46107</v>
      </c>
      <c r="J179" s="45" t="s">
        <v>445</v>
      </c>
      <c r="K179" s="45" t="s">
        <v>444</v>
      </c>
      <c r="L179" s="48"/>
      <c r="M179" s="47">
        <v>0</v>
      </c>
      <c r="N179" s="47">
        <v>50</v>
      </c>
      <c r="O179" s="46">
        <v>0</v>
      </c>
      <c r="Q179" s="45" t="s">
        <v>23</v>
      </c>
    </row>
    <row r="180" spans="4:17" hidden="1" x14ac:dyDescent="0.4">
      <c r="D180" s="45" t="s">
        <v>127</v>
      </c>
      <c r="E180" s="45" t="s">
        <v>128</v>
      </c>
      <c r="F180" s="45" t="s">
        <v>129</v>
      </c>
      <c r="G180" s="45" t="s">
        <v>130</v>
      </c>
      <c r="H180" s="50" t="s">
        <v>502</v>
      </c>
      <c r="I180" s="49">
        <v>46107</v>
      </c>
      <c r="J180" s="45" t="s">
        <v>445</v>
      </c>
      <c r="K180" s="45" t="s">
        <v>444</v>
      </c>
      <c r="L180" s="48"/>
      <c r="M180" s="47">
        <v>50</v>
      </c>
      <c r="N180" s="47">
        <v>50</v>
      </c>
      <c r="O180" s="46">
        <v>1</v>
      </c>
      <c r="Q180" s="45" t="s">
        <v>23</v>
      </c>
    </row>
    <row r="181" spans="4:17" hidden="1" x14ac:dyDescent="0.4">
      <c r="D181" s="45" t="s">
        <v>132</v>
      </c>
      <c r="E181" s="45" t="s">
        <v>133</v>
      </c>
      <c r="F181" s="45" t="s">
        <v>134</v>
      </c>
      <c r="G181" s="45" t="s">
        <v>135</v>
      </c>
      <c r="H181" s="50" t="s">
        <v>502</v>
      </c>
      <c r="I181" s="49">
        <v>46107</v>
      </c>
      <c r="J181" s="45" t="s">
        <v>445</v>
      </c>
      <c r="K181" s="45" t="s">
        <v>444</v>
      </c>
      <c r="L181" s="48"/>
      <c r="M181" s="47">
        <v>50</v>
      </c>
      <c r="N181" s="47">
        <v>50</v>
      </c>
      <c r="O181" s="46">
        <v>1</v>
      </c>
      <c r="Q181" s="45" t="s">
        <v>23</v>
      </c>
    </row>
    <row r="182" spans="4:17" hidden="1" x14ac:dyDescent="0.4">
      <c r="D182" s="45" t="s">
        <v>137</v>
      </c>
      <c r="E182" s="45" t="s">
        <v>138</v>
      </c>
      <c r="F182" s="45" t="s">
        <v>139</v>
      </c>
      <c r="G182" s="45" t="s">
        <v>140</v>
      </c>
      <c r="H182" s="50" t="s">
        <v>502</v>
      </c>
      <c r="I182" s="49">
        <v>46107</v>
      </c>
      <c r="J182" s="45" t="s">
        <v>445</v>
      </c>
      <c r="K182" s="45" t="s">
        <v>444</v>
      </c>
      <c r="L182" s="48"/>
      <c r="M182" s="47">
        <v>50</v>
      </c>
      <c r="N182" s="47">
        <v>50</v>
      </c>
      <c r="O182" s="46">
        <v>1</v>
      </c>
      <c r="Q182" s="45" t="s">
        <v>23</v>
      </c>
    </row>
    <row r="183" spans="4:17" hidden="1" x14ac:dyDescent="0.4">
      <c r="D183" s="45" t="s">
        <v>142</v>
      </c>
      <c r="E183" s="45" t="s">
        <v>143</v>
      </c>
      <c r="F183" s="45" t="s">
        <v>144</v>
      </c>
      <c r="G183" s="45" t="s">
        <v>145</v>
      </c>
      <c r="H183" s="50" t="s">
        <v>502</v>
      </c>
      <c r="I183" s="49">
        <v>46107</v>
      </c>
      <c r="J183" s="45" t="s">
        <v>445</v>
      </c>
      <c r="K183" s="45" t="s">
        <v>444</v>
      </c>
      <c r="L183" s="48"/>
      <c r="M183" s="47">
        <v>50</v>
      </c>
      <c r="N183" s="47">
        <v>50</v>
      </c>
      <c r="O183" s="46">
        <v>1</v>
      </c>
      <c r="Q183" s="45" t="s">
        <v>23</v>
      </c>
    </row>
    <row r="184" spans="4:17" hidden="1" x14ac:dyDescent="0.4">
      <c r="D184" s="45" t="s">
        <v>147</v>
      </c>
      <c r="E184" s="45" t="s">
        <v>148</v>
      </c>
      <c r="F184" s="45" t="s">
        <v>149</v>
      </c>
      <c r="G184" s="45" t="s">
        <v>150</v>
      </c>
      <c r="H184" s="50" t="s">
        <v>502</v>
      </c>
      <c r="I184" s="49">
        <v>46107</v>
      </c>
      <c r="J184" s="45" t="s">
        <v>445</v>
      </c>
      <c r="K184" s="45" t="s">
        <v>444</v>
      </c>
      <c r="L184" s="48" t="s">
        <v>634</v>
      </c>
      <c r="M184" s="47">
        <v>50</v>
      </c>
      <c r="N184" s="47">
        <v>50</v>
      </c>
      <c r="O184" s="46">
        <v>1</v>
      </c>
      <c r="Q184" s="45" t="s">
        <v>23</v>
      </c>
    </row>
    <row r="185" spans="4:17" hidden="1" x14ac:dyDescent="0.4">
      <c r="D185" s="45" t="s">
        <v>152</v>
      </c>
      <c r="E185" s="45" t="s">
        <v>66</v>
      </c>
      <c r="F185" s="45" t="s">
        <v>153</v>
      </c>
      <c r="G185" s="45" t="s">
        <v>154</v>
      </c>
      <c r="H185" s="50" t="s">
        <v>502</v>
      </c>
      <c r="I185" s="49">
        <v>46107</v>
      </c>
      <c r="J185" s="45" t="s">
        <v>445</v>
      </c>
      <c r="K185" s="45" t="s">
        <v>444</v>
      </c>
      <c r="L185" s="48"/>
      <c r="M185" s="47">
        <v>0</v>
      </c>
      <c r="N185" s="47">
        <v>50</v>
      </c>
      <c r="O185" s="46">
        <v>0</v>
      </c>
      <c r="Q185" s="45" t="s">
        <v>23</v>
      </c>
    </row>
    <row r="186" spans="4:17" hidden="1" x14ac:dyDescent="0.4">
      <c r="D186" s="45" t="s">
        <v>160</v>
      </c>
      <c r="E186" s="45" t="s">
        <v>81</v>
      </c>
      <c r="F186" s="45" t="s">
        <v>161</v>
      </c>
      <c r="G186" s="45" t="s">
        <v>162</v>
      </c>
      <c r="H186" s="50" t="s">
        <v>502</v>
      </c>
      <c r="I186" s="49">
        <v>46107</v>
      </c>
      <c r="J186" s="45" t="s">
        <v>445</v>
      </c>
      <c r="K186" s="45" t="s">
        <v>444</v>
      </c>
      <c r="L186" s="48"/>
      <c r="M186" s="47">
        <v>0</v>
      </c>
      <c r="N186" s="47">
        <v>50</v>
      </c>
      <c r="O186" s="46">
        <v>0</v>
      </c>
      <c r="Q186" s="45" t="s">
        <v>23</v>
      </c>
    </row>
    <row r="187" spans="4:17" hidden="1" x14ac:dyDescent="0.4">
      <c r="D187" s="45" t="s">
        <v>163</v>
      </c>
      <c r="E187" s="45" t="s">
        <v>164</v>
      </c>
      <c r="F187" s="45" t="s">
        <v>165</v>
      </c>
      <c r="G187" s="45" t="s">
        <v>166</v>
      </c>
      <c r="H187" s="50" t="s">
        <v>502</v>
      </c>
      <c r="I187" s="49">
        <v>46107</v>
      </c>
      <c r="J187" s="45" t="s">
        <v>445</v>
      </c>
      <c r="K187" s="45" t="s">
        <v>444</v>
      </c>
      <c r="L187" s="48"/>
      <c r="M187" s="47">
        <v>0</v>
      </c>
      <c r="N187" s="47">
        <v>50</v>
      </c>
      <c r="O187" s="46">
        <v>0</v>
      </c>
      <c r="Q187" s="45" t="s">
        <v>23</v>
      </c>
    </row>
    <row r="188" spans="4:17" hidden="1" x14ac:dyDescent="0.4">
      <c r="D188" s="45" t="s">
        <v>168</v>
      </c>
      <c r="E188" s="45" t="s">
        <v>169</v>
      </c>
      <c r="F188" s="45" t="s">
        <v>170</v>
      </c>
      <c r="G188" s="45" t="s">
        <v>171</v>
      </c>
      <c r="H188" s="50" t="s">
        <v>502</v>
      </c>
      <c r="I188" s="49">
        <v>46107</v>
      </c>
      <c r="J188" s="45" t="s">
        <v>445</v>
      </c>
      <c r="K188" s="45" t="s">
        <v>444</v>
      </c>
      <c r="L188" s="48"/>
      <c r="M188" s="47">
        <v>50</v>
      </c>
      <c r="N188" s="47">
        <v>50</v>
      </c>
      <c r="O188" s="46">
        <v>1</v>
      </c>
      <c r="Q188" s="45" t="s">
        <v>23</v>
      </c>
    </row>
    <row r="189" spans="4:17" hidden="1" x14ac:dyDescent="0.4">
      <c r="D189" s="45" t="s">
        <v>173</v>
      </c>
      <c r="E189" s="45" t="s">
        <v>174</v>
      </c>
      <c r="F189" s="45" t="s">
        <v>175</v>
      </c>
      <c r="G189" s="45" t="s">
        <v>176</v>
      </c>
      <c r="H189" s="50" t="s">
        <v>502</v>
      </c>
      <c r="I189" s="49">
        <v>46107</v>
      </c>
      <c r="J189" s="45" t="s">
        <v>445</v>
      </c>
      <c r="K189" s="45" t="s">
        <v>444</v>
      </c>
      <c r="L189" s="48"/>
      <c r="M189" s="47">
        <v>50</v>
      </c>
      <c r="N189" s="47">
        <v>50</v>
      </c>
      <c r="O189" s="46">
        <v>1</v>
      </c>
      <c r="Q189" s="45" t="s">
        <v>23</v>
      </c>
    </row>
    <row r="190" spans="4:17" hidden="1" x14ac:dyDescent="0.4">
      <c r="D190" s="45" t="s">
        <v>178</v>
      </c>
      <c r="E190" s="45" t="s">
        <v>179</v>
      </c>
      <c r="F190" s="45" t="s">
        <v>180</v>
      </c>
      <c r="G190" s="45" t="s">
        <v>181</v>
      </c>
      <c r="H190" s="50" t="s">
        <v>502</v>
      </c>
      <c r="I190" s="49">
        <v>46107</v>
      </c>
      <c r="J190" s="45" t="s">
        <v>445</v>
      </c>
      <c r="K190" s="45" t="s">
        <v>444</v>
      </c>
      <c r="L190" s="48"/>
      <c r="M190" s="47">
        <v>50</v>
      </c>
      <c r="N190" s="47">
        <v>50</v>
      </c>
      <c r="O190" s="46">
        <v>1</v>
      </c>
      <c r="Q190" s="45" t="s">
        <v>23</v>
      </c>
    </row>
    <row r="191" spans="4:17" hidden="1" x14ac:dyDescent="0.4">
      <c r="D191" s="45" t="s">
        <v>187</v>
      </c>
      <c r="E191" s="45" t="s">
        <v>188</v>
      </c>
      <c r="F191" s="45" t="s">
        <v>189</v>
      </c>
      <c r="G191" s="45" t="s">
        <v>190</v>
      </c>
      <c r="H191" s="50" t="s">
        <v>502</v>
      </c>
      <c r="I191" s="49">
        <v>46107</v>
      </c>
      <c r="J191" s="45" t="s">
        <v>445</v>
      </c>
      <c r="K191" s="45" t="s">
        <v>444</v>
      </c>
      <c r="L191" s="48"/>
      <c r="M191" s="47">
        <v>50</v>
      </c>
      <c r="N191" s="47">
        <v>50</v>
      </c>
      <c r="O191" s="46">
        <v>1</v>
      </c>
      <c r="Q191" s="45" t="s">
        <v>23</v>
      </c>
    </row>
    <row r="192" spans="4:17" hidden="1" x14ac:dyDescent="0.4">
      <c r="D192" s="45" t="s">
        <v>192</v>
      </c>
      <c r="E192" s="45" t="s">
        <v>193</v>
      </c>
      <c r="F192" s="45" t="s">
        <v>194</v>
      </c>
      <c r="G192" s="45" t="s">
        <v>195</v>
      </c>
      <c r="H192" s="50" t="s">
        <v>502</v>
      </c>
      <c r="I192" s="49">
        <v>46107</v>
      </c>
      <c r="J192" s="45" t="s">
        <v>445</v>
      </c>
      <c r="K192" s="45" t="s">
        <v>444</v>
      </c>
      <c r="L192" s="48"/>
      <c r="M192" s="47">
        <v>0</v>
      </c>
      <c r="N192" s="47">
        <v>50</v>
      </c>
      <c r="O192" s="46">
        <v>0</v>
      </c>
      <c r="Q192" s="45" t="s">
        <v>23</v>
      </c>
    </row>
    <row r="193" spans="4:17" hidden="1" x14ac:dyDescent="0.4">
      <c r="D193" s="45" t="s">
        <v>197</v>
      </c>
      <c r="E193" s="45" t="s">
        <v>198</v>
      </c>
      <c r="F193" s="45" t="s">
        <v>199</v>
      </c>
      <c r="G193" s="45" t="s">
        <v>200</v>
      </c>
      <c r="H193" s="50" t="s">
        <v>502</v>
      </c>
      <c r="I193" s="49">
        <v>46107</v>
      </c>
      <c r="J193" s="45" t="s">
        <v>445</v>
      </c>
      <c r="K193" s="45" t="s">
        <v>444</v>
      </c>
      <c r="L193" s="48"/>
      <c r="M193" s="47">
        <v>0</v>
      </c>
      <c r="N193" s="47">
        <v>50</v>
      </c>
      <c r="O193" s="46">
        <v>0</v>
      </c>
      <c r="Q193" s="45" t="s">
        <v>23</v>
      </c>
    </row>
    <row r="194" spans="4:17" hidden="1" x14ac:dyDescent="0.4">
      <c r="D194" s="45" t="s">
        <v>201</v>
      </c>
      <c r="E194" s="45" t="s">
        <v>143</v>
      </c>
      <c r="F194" s="45" t="s">
        <v>202</v>
      </c>
      <c r="G194" s="45" t="s">
        <v>203</v>
      </c>
      <c r="H194" s="50" t="s">
        <v>502</v>
      </c>
      <c r="I194" s="49">
        <v>46107</v>
      </c>
      <c r="J194" s="45" t="s">
        <v>445</v>
      </c>
      <c r="K194" s="45" t="s">
        <v>444</v>
      </c>
      <c r="L194" s="48"/>
      <c r="M194" s="47">
        <v>0</v>
      </c>
      <c r="N194" s="47">
        <v>50</v>
      </c>
      <c r="O194" s="46">
        <v>0</v>
      </c>
      <c r="Q194" s="45" t="s">
        <v>23</v>
      </c>
    </row>
    <row r="195" spans="4:17" hidden="1" x14ac:dyDescent="0.4">
      <c r="D195" s="45" t="s">
        <v>205</v>
      </c>
      <c r="E195" s="45" t="s">
        <v>206</v>
      </c>
      <c r="F195" s="45" t="s">
        <v>207</v>
      </c>
      <c r="G195" s="45" t="s">
        <v>208</v>
      </c>
      <c r="H195" s="50" t="s">
        <v>502</v>
      </c>
      <c r="I195" s="49">
        <v>46107</v>
      </c>
      <c r="J195" s="45" t="s">
        <v>445</v>
      </c>
      <c r="K195" s="45" t="s">
        <v>444</v>
      </c>
      <c r="L195" s="48"/>
      <c r="M195" s="47">
        <v>50</v>
      </c>
      <c r="N195" s="47">
        <v>50</v>
      </c>
      <c r="O195" s="46">
        <v>1</v>
      </c>
      <c r="Q195" s="45" t="s">
        <v>23</v>
      </c>
    </row>
    <row r="196" spans="4:17" hidden="1" x14ac:dyDescent="0.4">
      <c r="D196" s="45" t="s">
        <v>210</v>
      </c>
      <c r="E196" s="45" t="s">
        <v>211</v>
      </c>
      <c r="F196" s="45" t="s">
        <v>212</v>
      </c>
      <c r="G196" s="45" t="s">
        <v>213</v>
      </c>
      <c r="H196" s="50" t="s">
        <v>502</v>
      </c>
      <c r="I196" s="49">
        <v>46107</v>
      </c>
      <c r="J196" s="45" t="s">
        <v>445</v>
      </c>
      <c r="K196" s="45" t="s">
        <v>444</v>
      </c>
      <c r="L196" s="48"/>
      <c r="M196" s="47">
        <v>50</v>
      </c>
      <c r="N196" s="47">
        <v>50</v>
      </c>
      <c r="O196" s="46">
        <v>1</v>
      </c>
      <c r="Q196" s="45" t="s">
        <v>23</v>
      </c>
    </row>
    <row r="197" spans="4:17" hidden="1" x14ac:dyDescent="0.4">
      <c r="D197" s="45" t="s">
        <v>215</v>
      </c>
      <c r="E197" s="45" t="s">
        <v>216</v>
      </c>
      <c r="F197" s="45" t="s">
        <v>217</v>
      </c>
      <c r="G197" s="45" t="s">
        <v>218</v>
      </c>
      <c r="H197" s="50" t="s">
        <v>502</v>
      </c>
      <c r="I197" s="49">
        <v>46107</v>
      </c>
      <c r="J197" s="45" t="s">
        <v>445</v>
      </c>
      <c r="K197" s="45" t="s">
        <v>444</v>
      </c>
      <c r="L197" s="48"/>
      <c r="M197" s="47">
        <v>50</v>
      </c>
      <c r="N197" s="47">
        <v>50</v>
      </c>
      <c r="O197" s="46">
        <v>1</v>
      </c>
      <c r="Q197" s="45" t="s">
        <v>23</v>
      </c>
    </row>
    <row r="198" spans="4:17" hidden="1" x14ac:dyDescent="0.4">
      <c r="D198" s="45" t="s">
        <v>24</v>
      </c>
      <c r="E198" s="45" t="s">
        <v>25</v>
      </c>
      <c r="F198" s="45" t="s">
        <v>26</v>
      </c>
      <c r="G198" s="45" t="s">
        <v>27</v>
      </c>
      <c r="H198" s="50" t="s">
        <v>600</v>
      </c>
      <c r="I198" s="49">
        <v>46113</v>
      </c>
      <c r="J198" s="45" t="s">
        <v>448</v>
      </c>
      <c r="K198" s="45" t="s">
        <v>444</v>
      </c>
      <c r="L198" s="48" t="s">
        <v>633</v>
      </c>
      <c r="M198" s="47">
        <v>50</v>
      </c>
      <c r="N198" s="47">
        <v>50</v>
      </c>
      <c r="O198" s="46">
        <v>1</v>
      </c>
      <c r="Q198" s="45" t="s">
        <v>23</v>
      </c>
    </row>
    <row r="199" spans="4:17" hidden="1" x14ac:dyDescent="0.4">
      <c r="D199" s="45" t="s">
        <v>31</v>
      </c>
      <c r="E199" s="45" t="s">
        <v>32</v>
      </c>
      <c r="F199" s="45" t="s">
        <v>33</v>
      </c>
      <c r="G199" s="45" t="s">
        <v>34</v>
      </c>
      <c r="H199" s="50" t="s">
        <v>600</v>
      </c>
      <c r="I199" s="49">
        <v>46113</v>
      </c>
      <c r="J199" s="45" t="s">
        <v>448</v>
      </c>
      <c r="K199" s="45" t="s">
        <v>444</v>
      </c>
      <c r="L199" s="48" t="s">
        <v>632</v>
      </c>
      <c r="M199" s="47">
        <v>50</v>
      </c>
      <c r="N199" s="47">
        <v>50</v>
      </c>
      <c r="O199" s="46">
        <v>1</v>
      </c>
      <c r="Q199" s="45" t="s">
        <v>23</v>
      </c>
    </row>
    <row r="200" spans="4:17" hidden="1" x14ac:dyDescent="0.4">
      <c r="D200" s="45" t="s">
        <v>36</v>
      </c>
      <c r="E200" s="45" t="s">
        <v>37</v>
      </c>
      <c r="F200" s="45" t="s">
        <v>38</v>
      </c>
      <c r="G200" s="45" t="s">
        <v>39</v>
      </c>
      <c r="H200" s="50" t="s">
        <v>600</v>
      </c>
      <c r="I200" s="49">
        <v>46113</v>
      </c>
      <c r="J200" s="45" t="s">
        <v>448</v>
      </c>
      <c r="K200" s="45" t="s">
        <v>444</v>
      </c>
      <c r="L200" s="48" t="s">
        <v>631</v>
      </c>
      <c r="M200" s="47">
        <v>50</v>
      </c>
      <c r="N200" s="47">
        <v>50</v>
      </c>
      <c r="O200" s="46">
        <v>1</v>
      </c>
      <c r="Q200" s="45" t="s">
        <v>23</v>
      </c>
    </row>
    <row r="201" spans="4:17" hidden="1" x14ac:dyDescent="0.4">
      <c r="D201" s="45" t="s">
        <v>41</v>
      </c>
      <c r="E201" s="45" t="s">
        <v>42</v>
      </c>
      <c r="F201" s="45" t="s">
        <v>43</v>
      </c>
      <c r="G201" s="45" t="s">
        <v>44</v>
      </c>
      <c r="H201" s="50" t="s">
        <v>600</v>
      </c>
      <c r="I201" s="49">
        <v>46113</v>
      </c>
      <c r="J201" s="45" t="s">
        <v>448</v>
      </c>
      <c r="K201" s="45" t="s">
        <v>444</v>
      </c>
      <c r="L201" s="48" t="s">
        <v>630</v>
      </c>
      <c r="M201" s="47">
        <v>50</v>
      </c>
      <c r="N201" s="47">
        <v>50</v>
      </c>
      <c r="O201" s="46">
        <v>1</v>
      </c>
      <c r="Q201" s="45" t="s">
        <v>23</v>
      </c>
    </row>
    <row r="202" spans="4:17" hidden="1" x14ac:dyDescent="0.4">
      <c r="D202" s="45" t="s">
        <v>46</v>
      </c>
      <c r="E202" s="45" t="s">
        <v>47</v>
      </c>
      <c r="F202" s="45" t="s">
        <v>48</v>
      </c>
      <c r="G202" s="45" t="s">
        <v>49</v>
      </c>
      <c r="H202" s="50" t="s">
        <v>600</v>
      </c>
      <c r="I202" s="49">
        <v>46113</v>
      </c>
      <c r="J202" s="45" t="s">
        <v>448</v>
      </c>
      <c r="K202" s="45" t="s">
        <v>444</v>
      </c>
      <c r="L202" s="48" t="s">
        <v>629</v>
      </c>
      <c r="M202" s="47">
        <v>0</v>
      </c>
      <c r="N202" s="47">
        <v>50</v>
      </c>
      <c r="O202" s="46">
        <v>0</v>
      </c>
      <c r="Q202" s="45" t="s">
        <v>23</v>
      </c>
    </row>
    <row r="203" spans="4:17" hidden="1" x14ac:dyDescent="0.4">
      <c r="D203" s="45" t="s">
        <v>51</v>
      </c>
      <c r="E203" s="45" t="s">
        <v>52</v>
      </c>
      <c r="F203" s="45" t="s">
        <v>53</v>
      </c>
      <c r="G203" s="45" t="s">
        <v>54</v>
      </c>
      <c r="H203" s="50" t="s">
        <v>600</v>
      </c>
      <c r="I203" s="49">
        <v>46113</v>
      </c>
      <c r="J203" s="45" t="s">
        <v>448</v>
      </c>
      <c r="K203" s="45" t="s">
        <v>444</v>
      </c>
      <c r="L203" s="48" t="s">
        <v>628</v>
      </c>
      <c r="M203" s="47">
        <v>0</v>
      </c>
      <c r="N203" s="47">
        <v>50</v>
      </c>
      <c r="O203" s="46">
        <v>0</v>
      </c>
      <c r="Q203" s="45" t="s">
        <v>23</v>
      </c>
    </row>
    <row r="204" spans="4:17" hidden="1" x14ac:dyDescent="0.4">
      <c r="D204" s="45" t="s">
        <v>56</v>
      </c>
      <c r="E204" s="45" t="s">
        <v>52</v>
      </c>
      <c r="F204" s="45" t="s">
        <v>57</v>
      </c>
      <c r="G204" s="45" t="s">
        <v>58</v>
      </c>
      <c r="H204" s="50" t="s">
        <v>600</v>
      </c>
      <c r="I204" s="49">
        <v>46113</v>
      </c>
      <c r="J204" s="45" t="s">
        <v>448</v>
      </c>
      <c r="K204" s="45" t="s">
        <v>444</v>
      </c>
      <c r="L204" s="48" t="s">
        <v>627</v>
      </c>
      <c r="M204" s="47">
        <v>50</v>
      </c>
      <c r="N204" s="47">
        <v>50</v>
      </c>
      <c r="O204" s="46">
        <v>1</v>
      </c>
      <c r="Q204" s="45" t="s">
        <v>23</v>
      </c>
    </row>
    <row r="205" spans="4:17" hidden="1" x14ac:dyDescent="0.4">
      <c r="D205" s="45" t="s">
        <v>60</v>
      </c>
      <c r="E205" s="45" t="s">
        <v>61</v>
      </c>
      <c r="F205" s="45" t="s">
        <v>62</v>
      </c>
      <c r="G205" s="45" t="s">
        <v>63</v>
      </c>
      <c r="H205" s="50" t="s">
        <v>600</v>
      </c>
      <c r="I205" s="49">
        <v>46113</v>
      </c>
      <c r="J205" s="45" t="s">
        <v>448</v>
      </c>
      <c r="K205" s="45" t="s">
        <v>444</v>
      </c>
      <c r="L205" s="48" t="s">
        <v>626</v>
      </c>
      <c r="M205" s="47">
        <v>40</v>
      </c>
      <c r="N205" s="47">
        <v>50</v>
      </c>
      <c r="O205" s="46">
        <v>0.8</v>
      </c>
      <c r="Q205" s="45" t="s">
        <v>23</v>
      </c>
    </row>
    <row r="206" spans="4:17" hidden="1" x14ac:dyDescent="0.4">
      <c r="D206" s="45" t="s">
        <v>65</v>
      </c>
      <c r="E206" s="45" t="s">
        <v>66</v>
      </c>
      <c r="F206" s="45" t="s">
        <v>67</v>
      </c>
      <c r="G206" s="45" t="s">
        <v>68</v>
      </c>
      <c r="H206" s="50" t="s">
        <v>600</v>
      </c>
      <c r="I206" s="49">
        <v>46113</v>
      </c>
      <c r="J206" s="45" t="s">
        <v>448</v>
      </c>
      <c r="K206" s="45" t="s">
        <v>444</v>
      </c>
      <c r="L206" s="48" t="s">
        <v>625</v>
      </c>
      <c r="M206" s="47">
        <v>50</v>
      </c>
      <c r="N206" s="47">
        <v>50</v>
      </c>
      <c r="O206" s="46">
        <v>1</v>
      </c>
      <c r="Q206" s="45" t="s">
        <v>23</v>
      </c>
    </row>
    <row r="207" spans="4:17" hidden="1" x14ac:dyDescent="0.4">
      <c r="D207" s="45" t="s">
        <v>70</v>
      </c>
      <c r="E207" s="45" t="s">
        <v>71</v>
      </c>
      <c r="F207" s="45" t="s">
        <v>72</v>
      </c>
      <c r="G207" s="45" t="s">
        <v>73</v>
      </c>
      <c r="H207" s="50" t="s">
        <v>600</v>
      </c>
      <c r="I207" s="49">
        <v>46113</v>
      </c>
      <c r="J207" s="45" t="s">
        <v>448</v>
      </c>
      <c r="K207" s="45" t="s">
        <v>444</v>
      </c>
      <c r="L207" s="48" t="s">
        <v>625</v>
      </c>
      <c r="M207" s="47">
        <v>50</v>
      </c>
      <c r="N207" s="47">
        <v>50</v>
      </c>
      <c r="O207" s="46">
        <v>1</v>
      </c>
      <c r="Q207" s="45" t="s">
        <v>23</v>
      </c>
    </row>
    <row r="208" spans="4:17" hidden="1" x14ac:dyDescent="0.4">
      <c r="D208" s="45" t="s">
        <v>75</v>
      </c>
      <c r="E208" s="45" t="s">
        <v>76</v>
      </c>
      <c r="F208" s="45" t="s">
        <v>77</v>
      </c>
      <c r="G208" s="45" t="s">
        <v>78</v>
      </c>
      <c r="H208" s="50" t="s">
        <v>600</v>
      </c>
      <c r="I208" s="49">
        <v>46113</v>
      </c>
      <c r="J208" s="45" t="s">
        <v>448</v>
      </c>
      <c r="K208" s="45" t="s">
        <v>444</v>
      </c>
      <c r="L208" s="48" t="s">
        <v>624</v>
      </c>
      <c r="M208" s="47">
        <v>50</v>
      </c>
      <c r="N208" s="47">
        <v>50</v>
      </c>
      <c r="O208" s="46">
        <v>1</v>
      </c>
      <c r="Q208" s="45" t="s">
        <v>23</v>
      </c>
    </row>
    <row r="209" spans="4:17" hidden="1" x14ac:dyDescent="0.4">
      <c r="D209" s="45" t="s">
        <v>80</v>
      </c>
      <c r="E209" s="45" t="s">
        <v>81</v>
      </c>
      <c r="F209" s="45" t="s">
        <v>82</v>
      </c>
      <c r="G209" s="45" t="s">
        <v>83</v>
      </c>
      <c r="H209" s="50" t="s">
        <v>600</v>
      </c>
      <c r="I209" s="49">
        <v>46113</v>
      </c>
      <c r="J209" s="45" t="s">
        <v>448</v>
      </c>
      <c r="K209" s="45" t="s">
        <v>444</v>
      </c>
      <c r="L209" s="48" t="s">
        <v>610</v>
      </c>
      <c r="M209" s="47">
        <v>0</v>
      </c>
      <c r="N209" s="47">
        <v>50</v>
      </c>
      <c r="O209" s="46">
        <v>0</v>
      </c>
      <c r="Q209" s="45" t="s">
        <v>23</v>
      </c>
    </row>
    <row r="210" spans="4:17" hidden="1" x14ac:dyDescent="0.4">
      <c r="D210" s="45" t="s">
        <v>85</v>
      </c>
      <c r="E210" s="45" t="s">
        <v>86</v>
      </c>
      <c r="F210" s="45" t="s">
        <v>87</v>
      </c>
      <c r="G210" s="45" t="s">
        <v>88</v>
      </c>
      <c r="H210" s="50" t="s">
        <v>600</v>
      </c>
      <c r="I210" s="49">
        <v>46113</v>
      </c>
      <c r="J210" s="45" t="s">
        <v>448</v>
      </c>
      <c r="K210" s="45" t="s">
        <v>444</v>
      </c>
      <c r="L210" s="48" t="s">
        <v>623</v>
      </c>
      <c r="M210" s="47">
        <v>0</v>
      </c>
      <c r="N210" s="47">
        <v>50</v>
      </c>
      <c r="O210" s="46">
        <v>0</v>
      </c>
      <c r="Q210" s="45" t="s">
        <v>23</v>
      </c>
    </row>
    <row r="211" spans="4:17" hidden="1" x14ac:dyDescent="0.4">
      <c r="D211" s="45" t="s">
        <v>89</v>
      </c>
      <c r="E211" s="45" t="s">
        <v>90</v>
      </c>
      <c r="F211" s="45" t="s">
        <v>91</v>
      </c>
      <c r="G211" s="45" t="s">
        <v>92</v>
      </c>
      <c r="H211" s="50" t="s">
        <v>600</v>
      </c>
      <c r="I211" s="49">
        <v>46113</v>
      </c>
      <c r="J211" s="45" t="s">
        <v>448</v>
      </c>
      <c r="K211" s="45" t="s">
        <v>444</v>
      </c>
      <c r="L211" s="48" t="s">
        <v>622</v>
      </c>
      <c r="M211" s="47">
        <v>48</v>
      </c>
      <c r="N211" s="47">
        <v>50</v>
      </c>
      <c r="O211" s="46">
        <v>0.96</v>
      </c>
      <c r="Q211" s="45" t="s">
        <v>23</v>
      </c>
    </row>
    <row r="212" spans="4:17" hidden="1" x14ac:dyDescent="0.4">
      <c r="D212" s="45" t="s">
        <v>94</v>
      </c>
      <c r="E212" s="45" t="s">
        <v>95</v>
      </c>
      <c r="F212" s="45" t="s">
        <v>96</v>
      </c>
      <c r="G212" s="45" t="s">
        <v>97</v>
      </c>
      <c r="H212" s="50" t="s">
        <v>600</v>
      </c>
      <c r="I212" s="49">
        <v>46113</v>
      </c>
      <c r="J212" s="45" t="s">
        <v>448</v>
      </c>
      <c r="K212" s="45" t="s">
        <v>444</v>
      </c>
      <c r="L212" s="48" t="s">
        <v>621</v>
      </c>
      <c r="M212" s="47">
        <v>0</v>
      </c>
      <c r="N212" s="47">
        <v>50</v>
      </c>
      <c r="O212" s="46">
        <v>0</v>
      </c>
      <c r="Q212" s="45" t="s">
        <v>23</v>
      </c>
    </row>
    <row r="213" spans="4:17" hidden="1" x14ac:dyDescent="0.4">
      <c r="D213" s="45" t="s">
        <v>99</v>
      </c>
      <c r="E213" s="45" t="s">
        <v>100</v>
      </c>
      <c r="F213" s="45" t="s">
        <v>101</v>
      </c>
      <c r="G213" s="45" t="s">
        <v>102</v>
      </c>
      <c r="H213" s="50" t="s">
        <v>600</v>
      </c>
      <c r="I213" s="49">
        <v>46113</v>
      </c>
      <c r="J213" s="45" t="s">
        <v>448</v>
      </c>
      <c r="K213" s="45" t="s">
        <v>444</v>
      </c>
      <c r="L213" s="48" t="s">
        <v>620</v>
      </c>
      <c r="M213" s="47">
        <v>50</v>
      </c>
      <c r="N213" s="47">
        <v>50</v>
      </c>
      <c r="O213" s="46">
        <v>1</v>
      </c>
      <c r="Q213" s="45" t="s">
        <v>23</v>
      </c>
    </row>
    <row r="214" spans="4:17" hidden="1" x14ac:dyDescent="0.4">
      <c r="D214" s="45" t="s">
        <v>104</v>
      </c>
      <c r="E214" s="45" t="s">
        <v>86</v>
      </c>
      <c r="F214" s="45" t="s">
        <v>105</v>
      </c>
      <c r="G214" s="45" t="s">
        <v>106</v>
      </c>
      <c r="H214" s="50" t="s">
        <v>600</v>
      </c>
      <c r="I214" s="49">
        <v>46113</v>
      </c>
      <c r="J214" s="45" t="s">
        <v>448</v>
      </c>
      <c r="K214" s="45" t="s">
        <v>444</v>
      </c>
      <c r="L214" s="48" t="s">
        <v>619</v>
      </c>
      <c r="M214" s="47">
        <v>50</v>
      </c>
      <c r="N214" s="47">
        <v>50</v>
      </c>
      <c r="O214" s="46">
        <v>1</v>
      </c>
      <c r="Q214" s="45" t="s">
        <v>23</v>
      </c>
    </row>
    <row r="215" spans="4:17" hidden="1" x14ac:dyDescent="0.4">
      <c r="D215" s="45" t="s">
        <v>107</v>
      </c>
      <c r="E215" s="45" t="s">
        <v>108</v>
      </c>
      <c r="F215" s="45" t="s">
        <v>109</v>
      </c>
      <c r="G215" s="45" t="s">
        <v>110</v>
      </c>
      <c r="H215" s="50" t="s">
        <v>600</v>
      </c>
      <c r="I215" s="49">
        <v>46113</v>
      </c>
      <c r="J215" s="45" t="s">
        <v>448</v>
      </c>
      <c r="K215" s="45" t="s">
        <v>444</v>
      </c>
      <c r="L215" s="48" t="s">
        <v>599</v>
      </c>
      <c r="M215" s="47">
        <v>50</v>
      </c>
      <c r="N215" s="47">
        <v>50</v>
      </c>
      <c r="O215" s="46">
        <v>1</v>
      </c>
      <c r="Q215" s="45" t="s">
        <v>23</v>
      </c>
    </row>
    <row r="216" spans="4:17" hidden="1" x14ac:dyDescent="0.4">
      <c r="D216" s="45" t="s">
        <v>112</v>
      </c>
      <c r="E216" s="45" t="s">
        <v>113</v>
      </c>
      <c r="F216" s="45" t="s">
        <v>114</v>
      </c>
      <c r="G216" s="45" t="s">
        <v>115</v>
      </c>
      <c r="H216" s="50" t="s">
        <v>600</v>
      </c>
      <c r="I216" s="49">
        <v>46113</v>
      </c>
      <c r="J216" s="45" t="s">
        <v>448</v>
      </c>
      <c r="K216" s="45" t="s">
        <v>444</v>
      </c>
      <c r="L216" s="48" t="s">
        <v>618</v>
      </c>
      <c r="M216" s="47">
        <v>45</v>
      </c>
      <c r="N216" s="47">
        <v>50</v>
      </c>
      <c r="O216" s="46">
        <v>0.9</v>
      </c>
      <c r="Q216" s="45" t="s">
        <v>23</v>
      </c>
    </row>
    <row r="217" spans="4:17" hidden="1" x14ac:dyDescent="0.4">
      <c r="D217" s="45" t="s">
        <v>117</v>
      </c>
      <c r="E217" s="45" t="s">
        <v>118</v>
      </c>
      <c r="F217" s="45" t="s">
        <v>119</v>
      </c>
      <c r="G217" s="45" t="s">
        <v>120</v>
      </c>
      <c r="H217" s="50" t="s">
        <v>600</v>
      </c>
      <c r="I217" s="49">
        <v>46113</v>
      </c>
      <c r="J217" s="45" t="s">
        <v>448</v>
      </c>
      <c r="K217" s="45" t="s">
        <v>444</v>
      </c>
      <c r="L217" s="48" t="s">
        <v>617</v>
      </c>
      <c r="M217" s="47">
        <v>30</v>
      </c>
      <c r="N217" s="47">
        <v>50</v>
      </c>
      <c r="O217" s="46">
        <v>0.6</v>
      </c>
      <c r="Q217" s="45" t="s">
        <v>23</v>
      </c>
    </row>
    <row r="218" spans="4:17" hidden="1" x14ac:dyDescent="0.4">
      <c r="D218" s="45" t="s">
        <v>122</v>
      </c>
      <c r="E218" s="45" t="s">
        <v>123</v>
      </c>
      <c r="F218" s="45" t="s">
        <v>124</v>
      </c>
      <c r="G218" s="45" t="s">
        <v>125</v>
      </c>
      <c r="H218" s="50" t="s">
        <v>600</v>
      </c>
      <c r="I218" s="49">
        <v>46113</v>
      </c>
      <c r="J218" s="45" t="s">
        <v>448</v>
      </c>
      <c r="K218" s="45" t="s">
        <v>444</v>
      </c>
      <c r="L218" s="48" t="s">
        <v>616</v>
      </c>
      <c r="M218" s="47">
        <v>50</v>
      </c>
      <c r="N218" s="47">
        <v>50</v>
      </c>
      <c r="O218" s="46">
        <v>1</v>
      </c>
      <c r="Q218" s="45" t="s">
        <v>23</v>
      </c>
    </row>
    <row r="219" spans="4:17" hidden="1" x14ac:dyDescent="0.4">
      <c r="D219" s="45" t="s">
        <v>127</v>
      </c>
      <c r="E219" s="45" t="s">
        <v>128</v>
      </c>
      <c r="F219" s="45" t="s">
        <v>129</v>
      </c>
      <c r="G219" s="45" t="s">
        <v>130</v>
      </c>
      <c r="H219" s="50" t="s">
        <v>600</v>
      </c>
      <c r="I219" s="49">
        <v>46113</v>
      </c>
      <c r="J219" s="45" t="s">
        <v>448</v>
      </c>
      <c r="K219" s="45" t="s">
        <v>444</v>
      </c>
      <c r="L219" s="48" t="s">
        <v>615</v>
      </c>
      <c r="M219" s="47">
        <v>50</v>
      </c>
      <c r="N219" s="47">
        <v>50</v>
      </c>
      <c r="O219" s="46">
        <v>1</v>
      </c>
      <c r="Q219" s="45" t="s">
        <v>23</v>
      </c>
    </row>
    <row r="220" spans="4:17" hidden="1" x14ac:dyDescent="0.4">
      <c r="D220" s="45" t="s">
        <v>132</v>
      </c>
      <c r="E220" s="45" t="s">
        <v>133</v>
      </c>
      <c r="F220" s="45" t="s">
        <v>134</v>
      </c>
      <c r="G220" s="45" t="s">
        <v>135</v>
      </c>
      <c r="H220" s="50" t="s">
        <v>600</v>
      </c>
      <c r="I220" s="49">
        <v>46113</v>
      </c>
      <c r="J220" s="45" t="s">
        <v>448</v>
      </c>
      <c r="K220" s="45" t="s">
        <v>444</v>
      </c>
      <c r="L220" s="48" t="s">
        <v>615</v>
      </c>
      <c r="M220" s="47">
        <v>50</v>
      </c>
      <c r="N220" s="47">
        <v>50</v>
      </c>
      <c r="O220" s="46">
        <v>1</v>
      </c>
      <c r="Q220" s="45" t="s">
        <v>23</v>
      </c>
    </row>
    <row r="221" spans="4:17" hidden="1" x14ac:dyDescent="0.4">
      <c r="D221" s="45" t="s">
        <v>137</v>
      </c>
      <c r="E221" s="45" t="s">
        <v>138</v>
      </c>
      <c r="F221" s="45" t="s">
        <v>139</v>
      </c>
      <c r="G221" s="45" t="s">
        <v>140</v>
      </c>
      <c r="H221" s="50" t="s">
        <v>600</v>
      </c>
      <c r="I221" s="49">
        <v>46113</v>
      </c>
      <c r="J221" s="45" t="s">
        <v>448</v>
      </c>
      <c r="K221" s="45" t="s">
        <v>444</v>
      </c>
      <c r="L221" s="48" t="s">
        <v>614</v>
      </c>
      <c r="M221" s="47">
        <v>50</v>
      </c>
      <c r="N221" s="47">
        <v>50</v>
      </c>
      <c r="O221" s="46">
        <v>1</v>
      </c>
      <c r="Q221" s="45" t="s">
        <v>23</v>
      </c>
    </row>
    <row r="222" spans="4:17" hidden="1" x14ac:dyDescent="0.4">
      <c r="D222" s="45" t="s">
        <v>142</v>
      </c>
      <c r="E222" s="45" t="s">
        <v>143</v>
      </c>
      <c r="F222" s="45" t="s">
        <v>144</v>
      </c>
      <c r="G222" s="45" t="s">
        <v>145</v>
      </c>
      <c r="H222" s="50" t="s">
        <v>600</v>
      </c>
      <c r="I222" s="49">
        <v>46113</v>
      </c>
      <c r="J222" s="45" t="s">
        <v>448</v>
      </c>
      <c r="K222" s="45" t="s">
        <v>444</v>
      </c>
      <c r="L222" s="48" t="s">
        <v>613</v>
      </c>
      <c r="M222" s="47">
        <v>50</v>
      </c>
      <c r="N222" s="47">
        <v>50</v>
      </c>
      <c r="O222" s="46">
        <v>1</v>
      </c>
      <c r="Q222" s="45" t="s">
        <v>23</v>
      </c>
    </row>
    <row r="223" spans="4:17" hidden="1" x14ac:dyDescent="0.4">
      <c r="D223" s="45" t="s">
        <v>147</v>
      </c>
      <c r="E223" s="45" t="s">
        <v>148</v>
      </c>
      <c r="F223" s="45" t="s">
        <v>149</v>
      </c>
      <c r="G223" s="45" t="s">
        <v>150</v>
      </c>
      <c r="H223" s="50" t="s">
        <v>600</v>
      </c>
      <c r="I223" s="49">
        <v>46113</v>
      </c>
      <c r="J223" s="45" t="s">
        <v>448</v>
      </c>
      <c r="K223" s="45" t="s">
        <v>444</v>
      </c>
      <c r="L223" s="48" t="s">
        <v>612</v>
      </c>
      <c r="M223" s="47">
        <v>28</v>
      </c>
      <c r="N223" s="47">
        <v>50</v>
      </c>
      <c r="O223" s="46">
        <v>0.56000000000000005</v>
      </c>
      <c r="Q223" s="45" t="s">
        <v>23</v>
      </c>
    </row>
    <row r="224" spans="4:17" hidden="1" x14ac:dyDescent="0.4">
      <c r="D224" s="45" t="s">
        <v>152</v>
      </c>
      <c r="E224" s="45" t="s">
        <v>66</v>
      </c>
      <c r="F224" s="45" t="s">
        <v>153</v>
      </c>
      <c r="G224" s="45" t="s">
        <v>154</v>
      </c>
      <c r="H224" s="50" t="s">
        <v>600</v>
      </c>
      <c r="I224" s="49">
        <v>46113</v>
      </c>
      <c r="J224" s="45" t="s">
        <v>448</v>
      </c>
      <c r="K224" s="45" t="s">
        <v>444</v>
      </c>
      <c r="L224" s="48" t="s">
        <v>611</v>
      </c>
      <c r="M224" s="47">
        <v>0</v>
      </c>
      <c r="N224" s="47">
        <v>50</v>
      </c>
      <c r="O224" s="46">
        <v>0</v>
      </c>
      <c r="Q224" s="45" t="s">
        <v>23</v>
      </c>
    </row>
    <row r="225" spans="4:17" hidden="1" x14ac:dyDescent="0.4">
      <c r="D225" s="45" t="s">
        <v>160</v>
      </c>
      <c r="E225" s="45" t="s">
        <v>81</v>
      </c>
      <c r="F225" s="45" t="s">
        <v>161</v>
      </c>
      <c r="G225" s="45" t="s">
        <v>162</v>
      </c>
      <c r="H225" s="50" t="s">
        <v>600</v>
      </c>
      <c r="I225" s="49">
        <v>46113</v>
      </c>
      <c r="J225" s="45" t="s">
        <v>448</v>
      </c>
      <c r="K225" s="45" t="s">
        <v>444</v>
      </c>
      <c r="L225" s="48" t="s">
        <v>610</v>
      </c>
      <c r="M225" s="47">
        <v>0</v>
      </c>
      <c r="N225" s="47">
        <v>50</v>
      </c>
      <c r="O225" s="46">
        <v>0</v>
      </c>
      <c r="Q225" s="45" t="s">
        <v>23</v>
      </c>
    </row>
    <row r="226" spans="4:17" hidden="1" x14ac:dyDescent="0.4">
      <c r="D226" s="45" t="s">
        <v>163</v>
      </c>
      <c r="E226" s="45" t="s">
        <v>164</v>
      </c>
      <c r="F226" s="45" t="s">
        <v>165</v>
      </c>
      <c r="G226" s="45" t="s">
        <v>166</v>
      </c>
      <c r="H226" s="50" t="s">
        <v>600</v>
      </c>
      <c r="I226" s="49">
        <v>46113</v>
      </c>
      <c r="J226" s="45" t="s">
        <v>448</v>
      </c>
      <c r="K226" s="45" t="s">
        <v>444</v>
      </c>
      <c r="L226" s="48" t="s">
        <v>609</v>
      </c>
      <c r="M226" s="47">
        <v>0</v>
      </c>
      <c r="N226" s="47">
        <v>50</v>
      </c>
      <c r="O226" s="46">
        <v>0</v>
      </c>
      <c r="Q226" s="45" t="s">
        <v>23</v>
      </c>
    </row>
    <row r="227" spans="4:17" hidden="1" x14ac:dyDescent="0.4">
      <c r="D227" s="45" t="s">
        <v>168</v>
      </c>
      <c r="E227" s="45" t="s">
        <v>169</v>
      </c>
      <c r="F227" s="45" t="s">
        <v>170</v>
      </c>
      <c r="G227" s="45" t="s">
        <v>171</v>
      </c>
      <c r="H227" s="50" t="s">
        <v>600</v>
      </c>
      <c r="I227" s="49">
        <v>46113</v>
      </c>
      <c r="J227" s="45" t="s">
        <v>448</v>
      </c>
      <c r="K227" s="45" t="s">
        <v>444</v>
      </c>
      <c r="L227" s="48" t="s">
        <v>608</v>
      </c>
      <c r="M227" s="47">
        <v>50</v>
      </c>
      <c r="N227" s="47">
        <v>50</v>
      </c>
      <c r="O227" s="46">
        <v>1</v>
      </c>
      <c r="Q227" s="45" t="s">
        <v>23</v>
      </c>
    </row>
    <row r="228" spans="4:17" hidden="1" x14ac:dyDescent="0.4">
      <c r="D228" s="45" t="s">
        <v>173</v>
      </c>
      <c r="E228" s="45" t="s">
        <v>174</v>
      </c>
      <c r="F228" s="45" t="s">
        <v>175</v>
      </c>
      <c r="G228" s="45" t="s">
        <v>176</v>
      </c>
      <c r="H228" s="50" t="s">
        <v>600</v>
      </c>
      <c r="I228" s="49">
        <v>46113</v>
      </c>
      <c r="J228" s="45" t="s">
        <v>448</v>
      </c>
      <c r="K228" s="45" t="s">
        <v>444</v>
      </c>
      <c r="L228" s="48" t="s">
        <v>607</v>
      </c>
      <c r="M228" s="47">
        <v>50</v>
      </c>
      <c r="N228" s="47">
        <v>50</v>
      </c>
      <c r="O228" s="46">
        <v>1</v>
      </c>
      <c r="Q228" s="45" t="s">
        <v>23</v>
      </c>
    </row>
    <row r="229" spans="4:17" hidden="1" x14ac:dyDescent="0.4">
      <c r="D229" s="45" t="s">
        <v>178</v>
      </c>
      <c r="E229" s="45" t="s">
        <v>179</v>
      </c>
      <c r="F229" s="45" t="s">
        <v>180</v>
      </c>
      <c r="G229" s="45" t="s">
        <v>181</v>
      </c>
      <c r="H229" s="50" t="s">
        <v>600</v>
      </c>
      <c r="I229" s="49">
        <v>46113</v>
      </c>
      <c r="J229" s="45" t="s">
        <v>448</v>
      </c>
      <c r="K229" s="45" t="s">
        <v>444</v>
      </c>
      <c r="L229" s="48" t="s">
        <v>606</v>
      </c>
      <c r="M229" s="47">
        <v>28</v>
      </c>
      <c r="N229" s="47">
        <v>50</v>
      </c>
      <c r="O229" s="46">
        <v>0.56000000000000005</v>
      </c>
      <c r="Q229" s="45" t="s">
        <v>23</v>
      </c>
    </row>
    <row r="230" spans="4:17" hidden="1" x14ac:dyDescent="0.4">
      <c r="D230" s="45" t="s">
        <v>187</v>
      </c>
      <c r="E230" s="45" t="s">
        <v>188</v>
      </c>
      <c r="F230" s="45" t="s">
        <v>189</v>
      </c>
      <c r="G230" s="45" t="s">
        <v>190</v>
      </c>
      <c r="H230" s="50" t="s">
        <v>600</v>
      </c>
      <c r="I230" s="49">
        <v>46113</v>
      </c>
      <c r="J230" s="45" t="s">
        <v>448</v>
      </c>
      <c r="K230" s="45" t="s">
        <v>444</v>
      </c>
      <c r="L230" s="48" t="s">
        <v>605</v>
      </c>
      <c r="M230" s="47">
        <v>50</v>
      </c>
      <c r="N230" s="47">
        <v>50</v>
      </c>
      <c r="O230" s="46">
        <v>1</v>
      </c>
      <c r="Q230" s="45" t="s">
        <v>23</v>
      </c>
    </row>
    <row r="231" spans="4:17" hidden="1" x14ac:dyDescent="0.4">
      <c r="D231" s="45" t="s">
        <v>192</v>
      </c>
      <c r="E231" s="45" t="s">
        <v>193</v>
      </c>
      <c r="F231" s="45" t="s">
        <v>194</v>
      </c>
      <c r="G231" s="45" t="s">
        <v>195</v>
      </c>
      <c r="H231" s="50" t="s">
        <v>600</v>
      </c>
      <c r="I231" s="49">
        <v>46113</v>
      </c>
      <c r="J231" s="45" t="s">
        <v>448</v>
      </c>
      <c r="K231" s="45" t="s">
        <v>444</v>
      </c>
      <c r="L231" s="48" t="s">
        <v>602</v>
      </c>
      <c r="M231" s="47">
        <v>50</v>
      </c>
      <c r="N231" s="47">
        <v>50</v>
      </c>
      <c r="O231" s="46">
        <v>1</v>
      </c>
      <c r="Q231" s="45" t="s">
        <v>23</v>
      </c>
    </row>
    <row r="232" spans="4:17" hidden="1" x14ac:dyDescent="0.4">
      <c r="D232" s="45" t="s">
        <v>197</v>
      </c>
      <c r="E232" s="45" t="s">
        <v>198</v>
      </c>
      <c r="F232" s="45" t="s">
        <v>199</v>
      </c>
      <c r="G232" s="45" t="s">
        <v>200</v>
      </c>
      <c r="H232" s="50" t="s">
        <v>600</v>
      </c>
      <c r="I232" s="49">
        <v>46113</v>
      </c>
      <c r="J232" s="45" t="s">
        <v>448</v>
      </c>
      <c r="K232" s="45" t="s">
        <v>444</v>
      </c>
      <c r="L232" s="48" t="s">
        <v>604</v>
      </c>
      <c r="M232" s="47">
        <v>50</v>
      </c>
      <c r="N232" s="47">
        <v>50</v>
      </c>
      <c r="O232" s="46">
        <v>1</v>
      </c>
      <c r="Q232" s="45" t="s">
        <v>23</v>
      </c>
    </row>
    <row r="233" spans="4:17" hidden="1" x14ac:dyDescent="0.4">
      <c r="D233" s="45" t="s">
        <v>201</v>
      </c>
      <c r="E233" s="45" t="s">
        <v>143</v>
      </c>
      <c r="F233" s="45" t="s">
        <v>202</v>
      </c>
      <c r="G233" s="45" t="s">
        <v>203</v>
      </c>
      <c r="H233" s="50" t="s">
        <v>600</v>
      </c>
      <c r="I233" s="49">
        <v>46113</v>
      </c>
      <c r="J233" s="45" t="s">
        <v>448</v>
      </c>
      <c r="K233" s="45" t="s">
        <v>444</v>
      </c>
      <c r="L233" s="48" t="s">
        <v>603</v>
      </c>
      <c r="M233" s="47">
        <v>0</v>
      </c>
      <c r="N233" s="47">
        <v>50</v>
      </c>
      <c r="O233" s="46">
        <v>0</v>
      </c>
      <c r="Q233" s="45" t="s">
        <v>23</v>
      </c>
    </row>
    <row r="234" spans="4:17" hidden="1" x14ac:dyDescent="0.4">
      <c r="D234" s="45" t="s">
        <v>205</v>
      </c>
      <c r="E234" s="45" t="s">
        <v>206</v>
      </c>
      <c r="F234" s="45" t="s">
        <v>207</v>
      </c>
      <c r="G234" s="45" t="s">
        <v>208</v>
      </c>
      <c r="H234" s="50" t="s">
        <v>600</v>
      </c>
      <c r="I234" s="49">
        <v>46113</v>
      </c>
      <c r="J234" s="45" t="s">
        <v>448</v>
      </c>
      <c r="K234" s="45" t="s">
        <v>444</v>
      </c>
      <c r="L234" s="48" t="s">
        <v>602</v>
      </c>
      <c r="M234" s="47">
        <v>50</v>
      </c>
      <c r="N234" s="47">
        <v>50</v>
      </c>
      <c r="O234" s="46">
        <v>1</v>
      </c>
      <c r="Q234" s="45" t="s">
        <v>23</v>
      </c>
    </row>
    <row r="235" spans="4:17" hidden="1" x14ac:dyDescent="0.4">
      <c r="D235" s="45" t="s">
        <v>210</v>
      </c>
      <c r="E235" s="45" t="s">
        <v>211</v>
      </c>
      <c r="F235" s="45" t="s">
        <v>212</v>
      </c>
      <c r="G235" s="45" t="s">
        <v>213</v>
      </c>
      <c r="H235" s="50" t="s">
        <v>600</v>
      </c>
      <c r="I235" s="49">
        <v>46113</v>
      </c>
      <c r="J235" s="45" t="s">
        <v>448</v>
      </c>
      <c r="K235" s="45" t="s">
        <v>444</v>
      </c>
      <c r="L235" s="48" t="s">
        <v>601</v>
      </c>
      <c r="M235" s="47">
        <v>0</v>
      </c>
      <c r="N235" s="47">
        <v>50</v>
      </c>
      <c r="O235" s="46">
        <v>0</v>
      </c>
      <c r="Q235" s="45" t="s">
        <v>23</v>
      </c>
    </row>
    <row r="236" spans="4:17" hidden="1" x14ac:dyDescent="0.4">
      <c r="D236" s="45" t="s">
        <v>215</v>
      </c>
      <c r="E236" s="45" t="s">
        <v>216</v>
      </c>
      <c r="F236" s="45" t="s">
        <v>217</v>
      </c>
      <c r="G236" s="45" t="s">
        <v>218</v>
      </c>
      <c r="H236" s="50" t="s">
        <v>600</v>
      </c>
      <c r="I236" s="49">
        <v>46113</v>
      </c>
      <c r="J236" s="45" t="s">
        <v>448</v>
      </c>
      <c r="K236" s="45" t="s">
        <v>444</v>
      </c>
      <c r="L236" s="48" t="s">
        <v>599</v>
      </c>
      <c r="M236" s="47">
        <v>50</v>
      </c>
      <c r="N236" s="47">
        <v>50</v>
      </c>
      <c r="O236" s="46">
        <v>1</v>
      </c>
      <c r="Q236" s="45" t="s">
        <v>23</v>
      </c>
    </row>
    <row r="237" spans="4:17" hidden="1" x14ac:dyDescent="0.4">
      <c r="D237" s="45" t="s">
        <v>24</v>
      </c>
      <c r="E237" s="45" t="s">
        <v>25</v>
      </c>
      <c r="F237" s="45" t="s">
        <v>26</v>
      </c>
      <c r="G237" s="45" t="s">
        <v>27</v>
      </c>
      <c r="H237" s="50" t="s">
        <v>564</v>
      </c>
      <c r="I237" s="49">
        <v>46113</v>
      </c>
      <c r="J237" s="45" t="s">
        <v>448</v>
      </c>
      <c r="K237" s="45" t="s">
        <v>444</v>
      </c>
      <c r="L237" s="48" t="s">
        <v>598</v>
      </c>
      <c r="M237" s="47">
        <v>50</v>
      </c>
      <c r="N237" s="47">
        <v>50</v>
      </c>
      <c r="O237" s="46">
        <v>1</v>
      </c>
      <c r="Q237" s="45" t="s">
        <v>23</v>
      </c>
    </row>
    <row r="238" spans="4:17" hidden="1" x14ac:dyDescent="0.4">
      <c r="D238" s="45" t="s">
        <v>31</v>
      </c>
      <c r="E238" s="45" t="s">
        <v>32</v>
      </c>
      <c r="F238" s="45" t="s">
        <v>33</v>
      </c>
      <c r="G238" s="45" t="s">
        <v>34</v>
      </c>
      <c r="H238" s="50" t="s">
        <v>564</v>
      </c>
      <c r="I238" s="49">
        <v>46113</v>
      </c>
      <c r="J238" s="45" t="s">
        <v>448</v>
      </c>
      <c r="K238" s="45" t="s">
        <v>444</v>
      </c>
      <c r="L238" s="48" t="s">
        <v>597</v>
      </c>
      <c r="M238" s="47">
        <v>50</v>
      </c>
      <c r="N238" s="47">
        <v>50</v>
      </c>
      <c r="O238" s="46">
        <v>1</v>
      </c>
      <c r="Q238" s="45" t="s">
        <v>23</v>
      </c>
    </row>
    <row r="239" spans="4:17" hidden="1" x14ac:dyDescent="0.4">
      <c r="D239" s="45" t="s">
        <v>36</v>
      </c>
      <c r="E239" s="45" t="s">
        <v>37</v>
      </c>
      <c r="F239" s="45" t="s">
        <v>38</v>
      </c>
      <c r="G239" s="45" t="s">
        <v>39</v>
      </c>
      <c r="H239" s="50" t="s">
        <v>564</v>
      </c>
      <c r="I239" s="49">
        <v>46113</v>
      </c>
      <c r="J239" s="45" t="s">
        <v>448</v>
      </c>
      <c r="K239" s="45" t="s">
        <v>444</v>
      </c>
      <c r="L239" s="48" t="s">
        <v>596</v>
      </c>
      <c r="M239" s="47">
        <v>0</v>
      </c>
      <c r="N239" s="47">
        <v>50</v>
      </c>
      <c r="O239" s="46">
        <v>0</v>
      </c>
      <c r="Q239" s="45" t="s">
        <v>23</v>
      </c>
    </row>
    <row r="240" spans="4:17" hidden="1" x14ac:dyDescent="0.4">
      <c r="D240" s="45" t="s">
        <v>41</v>
      </c>
      <c r="E240" s="45" t="s">
        <v>42</v>
      </c>
      <c r="F240" s="45" t="s">
        <v>43</v>
      </c>
      <c r="G240" s="45" t="s">
        <v>44</v>
      </c>
      <c r="H240" s="50" t="s">
        <v>564</v>
      </c>
      <c r="I240" s="49">
        <v>46113</v>
      </c>
      <c r="J240" s="45" t="s">
        <v>448</v>
      </c>
      <c r="K240" s="45" t="s">
        <v>444</v>
      </c>
      <c r="L240" s="48" t="s">
        <v>595</v>
      </c>
      <c r="M240" s="47">
        <v>46</v>
      </c>
      <c r="N240" s="47">
        <v>50</v>
      </c>
      <c r="O240" s="46">
        <v>0.92</v>
      </c>
      <c r="Q240" s="45" t="s">
        <v>23</v>
      </c>
    </row>
    <row r="241" spans="4:17" hidden="1" x14ac:dyDescent="0.4">
      <c r="D241" s="45" t="s">
        <v>46</v>
      </c>
      <c r="E241" s="45" t="s">
        <v>47</v>
      </c>
      <c r="F241" s="45" t="s">
        <v>48</v>
      </c>
      <c r="G241" s="45" t="s">
        <v>49</v>
      </c>
      <c r="H241" s="50" t="s">
        <v>564</v>
      </c>
      <c r="I241" s="49">
        <v>46113</v>
      </c>
      <c r="J241" s="45" t="s">
        <v>448</v>
      </c>
      <c r="K241" s="45" t="s">
        <v>444</v>
      </c>
      <c r="L241" s="48" t="s">
        <v>594</v>
      </c>
      <c r="M241" s="47">
        <v>0</v>
      </c>
      <c r="N241" s="47">
        <v>50</v>
      </c>
      <c r="O241" s="46">
        <v>0</v>
      </c>
      <c r="Q241" s="45" t="s">
        <v>23</v>
      </c>
    </row>
    <row r="242" spans="4:17" hidden="1" x14ac:dyDescent="0.4">
      <c r="D242" s="45" t="s">
        <v>51</v>
      </c>
      <c r="E242" s="45" t="s">
        <v>52</v>
      </c>
      <c r="F242" s="45" t="s">
        <v>53</v>
      </c>
      <c r="G242" s="45" t="s">
        <v>54</v>
      </c>
      <c r="H242" s="50" t="s">
        <v>564</v>
      </c>
      <c r="I242" s="49">
        <v>46113</v>
      </c>
      <c r="J242" s="45" t="s">
        <v>448</v>
      </c>
      <c r="K242" s="45" t="s">
        <v>444</v>
      </c>
      <c r="L242" s="48" t="s">
        <v>593</v>
      </c>
      <c r="M242" s="47">
        <v>0</v>
      </c>
      <c r="N242" s="47">
        <v>50</v>
      </c>
      <c r="O242" s="46">
        <v>0</v>
      </c>
      <c r="Q242" s="45" t="s">
        <v>23</v>
      </c>
    </row>
    <row r="243" spans="4:17" hidden="1" x14ac:dyDescent="0.4">
      <c r="D243" s="45" t="s">
        <v>56</v>
      </c>
      <c r="E243" s="45" t="s">
        <v>52</v>
      </c>
      <c r="F243" s="45" t="s">
        <v>57</v>
      </c>
      <c r="G243" s="45" t="s">
        <v>58</v>
      </c>
      <c r="H243" s="50" t="s">
        <v>564</v>
      </c>
      <c r="I243" s="49">
        <v>46113</v>
      </c>
      <c r="J243" s="45" t="s">
        <v>448</v>
      </c>
      <c r="K243" s="45" t="s">
        <v>444</v>
      </c>
      <c r="L243" s="48" t="s">
        <v>592</v>
      </c>
      <c r="M243" s="47">
        <v>50</v>
      </c>
      <c r="N243" s="47">
        <v>50</v>
      </c>
      <c r="O243" s="46">
        <v>1</v>
      </c>
      <c r="Q243" s="45" t="s">
        <v>23</v>
      </c>
    </row>
    <row r="244" spans="4:17" hidden="1" x14ac:dyDescent="0.4">
      <c r="D244" s="45" t="s">
        <v>60</v>
      </c>
      <c r="E244" s="45" t="s">
        <v>61</v>
      </c>
      <c r="F244" s="45" t="s">
        <v>62</v>
      </c>
      <c r="G244" s="45" t="s">
        <v>63</v>
      </c>
      <c r="H244" s="50" t="s">
        <v>564</v>
      </c>
      <c r="I244" s="49">
        <v>46113</v>
      </c>
      <c r="J244" s="45" t="s">
        <v>448</v>
      </c>
      <c r="K244" s="45" t="s">
        <v>444</v>
      </c>
      <c r="L244" s="48" t="s">
        <v>571</v>
      </c>
      <c r="M244" s="47">
        <v>50</v>
      </c>
      <c r="N244" s="47">
        <v>50</v>
      </c>
      <c r="O244" s="46">
        <v>1</v>
      </c>
      <c r="Q244" s="45" t="s">
        <v>23</v>
      </c>
    </row>
    <row r="245" spans="4:17" hidden="1" x14ac:dyDescent="0.4">
      <c r="D245" s="45" t="s">
        <v>65</v>
      </c>
      <c r="E245" s="45" t="s">
        <v>66</v>
      </c>
      <c r="F245" s="45" t="s">
        <v>67</v>
      </c>
      <c r="G245" s="45" t="s">
        <v>68</v>
      </c>
      <c r="H245" s="50" t="s">
        <v>564</v>
      </c>
      <c r="I245" s="49">
        <v>46113</v>
      </c>
      <c r="J245" s="45" t="s">
        <v>448</v>
      </c>
      <c r="K245" s="45" t="s">
        <v>444</v>
      </c>
      <c r="L245" s="48" t="s">
        <v>591</v>
      </c>
      <c r="M245" s="47">
        <v>50</v>
      </c>
      <c r="N245" s="47">
        <v>50</v>
      </c>
      <c r="O245" s="46">
        <v>1</v>
      </c>
      <c r="Q245" s="45" t="s">
        <v>23</v>
      </c>
    </row>
    <row r="246" spans="4:17" hidden="1" x14ac:dyDescent="0.4">
      <c r="D246" s="45" t="s">
        <v>70</v>
      </c>
      <c r="E246" s="45" t="s">
        <v>71</v>
      </c>
      <c r="F246" s="45" t="s">
        <v>72</v>
      </c>
      <c r="G246" s="45" t="s">
        <v>73</v>
      </c>
      <c r="H246" s="50" t="s">
        <v>564</v>
      </c>
      <c r="I246" s="49">
        <v>46113</v>
      </c>
      <c r="J246" s="45" t="s">
        <v>448</v>
      </c>
      <c r="K246" s="45" t="s">
        <v>444</v>
      </c>
      <c r="L246" s="48" t="s">
        <v>591</v>
      </c>
      <c r="M246" s="47">
        <v>50</v>
      </c>
      <c r="N246" s="47">
        <v>50</v>
      </c>
      <c r="O246" s="46">
        <v>1</v>
      </c>
      <c r="Q246" s="45" t="s">
        <v>23</v>
      </c>
    </row>
    <row r="247" spans="4:17" hidden="1" x14ac:dyDescent="0.4">
      <c r="D247" s="45" t="s">
        <v>75</v>
      </c>
      <c r="E247" s="45" t="s">
        <v>76</v>
      </c>
      <c r="F247" s="45" t="s">
        <v>77</v>
      </c>
      <c r="G247" s="45" t="s">
        <v>78</v>
      </c>
      <c r="H247" s="50" t="s">
        <v>564</v>
      </c>
      <c r="I247" s="49">
        <v>46113</v>
      </c>
      <c r="J247" s="45" t="s">
        <v>448</v>
      </c>
      <c r="K247" s="45" t="s">
        <v>444</v>
      </c>
      <c r="L247" s="48" t="s">
        <v>590</v>
      </c>
      <c r="M247" s="47">
        <v>50</v>
      </c>
      <c r="N247" s="47">
        <v>50</v>
      </c>
      <c r="O247" s="46">
        <v>1</v>
      </c>
      <c r="Q247" s="45" t="s">
        <v>23</v>
      </c>
    </row>
    <row r="248" spans="4:17" hidden="1" x14ac:dyDescent="0.4">
      <c r="D248" s="45" t="s">
        <v>80</v>
      </c>
      <c r="E248" s="45" t="s">
        <v>81</v>
      </c>
      <c r="F248" s="45" t="s">
        <v>82</v>
      </c>
      <c r="G248" s="45" t="s">
        <v>83</v>
      </c>
      <c r="H248" s="50" t="s">
        <v>564</v>
      </c>
      <c r="I248" s="49">
        <v>46113</v>
      </c>
      <c r="J248" s="45" t="s">
        <v>448</v>
      </c>
      <c r="K248" s="45" t="s">
        <v>444</v>
      </c>
      <c r="L248" s="48" t="s">
        <v>589</v>
      </c>
      <c r="M248" s="47">
        <v>48</v>
      </c>
      <c r="N248" s="47">
        <v>50</v>
      </c>
      <c r="O248" s="46">
        <v>0.96</v>
      </c>
      <c r="Q248" s="45" t="s">
        <v>23</v>
      </c>
    </row>
    <row r="249" spans="4:17" hidden="1" x14ac:dyDescent="0.4">
      <c r="D249" s="45" t="s">
        <v>85</v>
      </c>
      <c r="E249" s="45" t="s">
        <v>86</v>
      </c>
      <c r="F249" s="45" t="s">
        <v>87</v>
      </c>
      <c r="G249" s="45" t="s">
        <v>88</v>
      </c>
      <c r="H249" s="50" t="s">
        <v>564</v>
      </c>
      <c r="I249" s="49">
        <v>46113</v>
      </c>
      <c r="J249" s="45" t="s">
        <v>448</v>
      </c>
      <c r="K249" s="45" t="s">
        <v>444</v>
      </c>
      <c r="L249" s="48" t="s">
        <v>588</v>
      </c>
      <c r="M249" s="47">
        <v>48</v>
      </c>
      <c r="N249" s="47">
        <v>50</v>
      </c>
      <c r="O249" s="46">
        <v>0.96</v>
      </c>
      <c r="Q249" s="45" t="s">
        <v>23</v>
      </c>
    </row>
    <row r="250" spans="4:17" hidden="1" x14ac:dyDescent="0.4">
      <c r="D250" s="45" t="s">
        <v>89</v>
      </c>
      <c r="E250" s="45" t="s">
        <v>90</v>
      </c>
      <c r="F250" s="45" t="s">
        <v>91</v>
      </c>
      <c r="G250" s="45" t="s">
        <v>92</v>
      </c>
      <c r="H250" s="50" t="s">
        <v>564</v>
      </c>
      <c r="I250" s="49">
        <v>46113</v>
      </c>
      <c r="J250" s="45" t="s">
        <v>448</v>
      </c>
      <c r="K250" s="45" t="s">
        <v>444</v>
      </c>
      <c r="L250" s="48" t="s">
        <v>587</v>
      </c>
      <c r="M250" s="47">
        <v>0</v>
      </c>
      <c r="N250" s="47">
        <v>50</v>
      </c>
      <c r="O250" s="46">
        <v>0</v>
      </c>
      <c r="Q250" s="45" t="s">
        <v>23</v>
      </c>
    </row>
    <row r="251" spans="4:17" hidden="1" x14ac:dyDescent="0.4">
      <c r="D251" s="45" t="s">
        <v>94</v>
      </c>
      <c r="E251" s="45" t="s">
        <v>95</v>
      </c>
      <c r="F251" s="45" t="s">
        <v>96</v>
      </c>
      <c r="G251" s="45" t="s">
        <v>97</v>
      </c>
      <c r="H251" s="50" t="s">
        <v>564</v>
      </c>
      <c r="I251" s="49">
        <v>46113</v>
      </c>
      <c r="J251" s="45" t="s">
        <v>448</v>
      </c>
      <c r="K251" s="45" t="s">
        <v>444</v>
      </c>
      <c r="L251" s="48" t="s">
        <v>586</v>
      </c>
      <c r="M251" s="47">
        <v>0</v>
      </c>
      <c r="N251" s="47">
        <v>50</v>
      </c>
      <c r="O251" s="46">
        <v>0</v>
      </c>
      <c r="Q251" s="45" t="s">
        <v>23</v>
      </c>
    </row>
    <row r="252" spans="4:17" hidden="1" x14ac:dyDescent="0.4">
      <c r="D252" s="45" t="s">
        <v>99</v>
      </c>
      <c r="E252" s="45" t="s">
        <v>100</v>
      </c>
      <c r="F252" s="45" t="s">
        <v>101</v>
      </c>
      <c r="G252" s="45" t="s">
        <v>102</v>
      </c>
      <c r="H252" s="50" t="s">
        <v>564</v>
      </c>
      <c r="I252" s="49">
        <v>46113</v>
      </c>
      <c r="J252" s="45" t="s">
        <v>448</v>
      </c>
      <c r="K252" s="45" t="s">
        <v>444</v>
      </c>
      <c r="L252" s="48" t="s">
        <v>585</v>
      </c>
      <c r="M252" s="47">
        <v>50</v>
      </c>
      <c r="N252" s="47">
        <v>50</v>
      </c>
      <c r="O252" s="46">
        <v>1</v>
      </c>
      <c r="Q252" s="45" t="s">
        <v>23</v>
      </c>
    </row>
    <row r="253" spans="4:17" hidden="1" x14ac:dyDescent="0.4">
      <c r="D253" s="45" t="s">
        <v>104</v>
      </c>
      <c r="E253" s="45" t="s">
        <v>86</v>
      </c>
      <c r="F253" s="45" t="s">
        <v>105</v>
      </c>
      <c r="G253" s="45" t="s">
        <v>106</v>
      </c>
      <c r="H253" s="50" t="s">
        <v>564</v>
      </c>
      <c r="I253" s="49">
        <v>46113</v>
      </c>
      <c r="J253" s="45" t="s">
        <v>448</v>
      </c>
      <c r="K253" s="45" t="s">
        <v>444</v>
      </c>
      <c r="L253" s="48" t="s">
        <v>584</v>
      </c>
      <c r="M253" s="47">
        <v>48</v>
      </c>
      <c r="N253" s="47">
        <v>50</v>
      </c>
      <c r="O253" s="46">
        <v>0.96</v>
      </c>
      <c r="Q253" s="45" t="s">
        <v>23</v>
      </c>
    </row>
    <row r="254" spans="4:17" hidden="1" x14ac:dyDescent="0.4">
      <c r="D254" s="45" t="s">
        <v>107</v>
      </c>
      <c r="E254" s="45" t="s">
        <v>108</v>
      </c>
      <c r="F254" s="45" t="s">
        <v>109</v>
      </c>
      <c r="G254" s="45" t="s">
        <v>110</v>
      </c>
      <c r="H254" s="50" t="s">
        <v>564</v>
      </c>
      <c r="I254" s="49">
        <v>46113</v>
      </c>
      <c r="J254" s="45" t="s">
        <v>448</v>
      </c>
      <c r="K254" s="45" t="s">
        <v>444</v>
      </c>
      <c r="L254" s="48" t="s">
        <v>583</v>
      </c>
      <c r="M254" s="47">
        <v>50</v>
      </c>
      <c r="N254" s="47">
        <v>50</v>
      </c>
      <c r="O254" s="46">
        <v>1</v>
      </c>
      <c r="Q254" s="45" t="s">
        <v>23</v>
      </c>
    </row>
    <row r="255" spans="4:17" hidden="1" x14ac:dyDescent="0.4">
      <c r="D255" s="45" t="s">
        <v>112</v>
      </c>
      <c r="E255" s="45" t="s">
        <v>113</v>
      </c>
      <c r="F255" s="45" t="s">
        <v>114</v>
      </c>
      <c r="G255" s="45" t="s">
        <v>115</v>
      </c>
      <c r="H255" s="50" t="s">
        <v>564</v>
      </c>
      <c r="I255" s="49">
        <v>46113</v>
      </c>
      <c r="J255" s="45" t="s">
        <v>448</v>
      </c>
      <c r="K255" s="45" t="s">
        <v>444</v>
      </c>
      <c r="L255" s="48" t="s">
        <v>582</v>
      </c>
      <c r="M255" s="47">
        <v>40</v>
      </c>
      <c r="N255" s="47">
        <v>50</v>
      </c>
      <c r="O255" s="46">
        <v>0.8</v>
      </c>
      <c r="Q255" s="45" t="s">
        <v>23</v>
      </c>
    </row>
    <row r="256" spans="4:17" hidden="1" x14ac:dyDescent="0.4">
      <c r="D256" s="45" t="s">
        <v>117</v>
      </c>
      <c r="E256" s="45" t="s">
        <v>118</v>
      </c>
      <c r="F256" s="45" t="s">
        <v>119</v>
      </c>
      <c r="G256" s="45" t="s">
        <v>120</v>
      </c>
      <c r="H256" s="50" t="s">
        <v>564</v>
      </c>
      <c r="I256" s="49">
        <v>46113</v>
      </c>
      <c r="J256" s="45" t="s">
        <v>448</v>
      </c>
      <c r="K256" s="45" t="s">
        <v>444</v>
      </c>
      <c r="L256" s="48" t="s">
        <v>581</v>
      </c>
      <c r="M256" s="47">
        <v>30</v>
      </c>
      <c r="N256" s="47">
        <v>50</v>
      </c>
      <c r="O256" s="46">
        <v>0.6</v>
      </c>
      <c r="Q256" s="45" t="s">
        <v>23</v>
      </c>
    </row>
    <row r="257" spans="4:17" hidden="1" x14ac:dyDescent="0.4">
      <c r="D257" s="45" t="s">
        <v>122</v>
      </c>
      <c r="E257" s="45" t="s">
        <v>123</v>
      </c>
      <c r="F257" s="45" t="s">
        <v>124</v>
      </c>
      <c r="G257" s="45" t="s">
        <v>125</v>
      </c>
      <c r="H257" s="50" t="s">
        <v>564</v>
      </c>
      <c r="I257" s="49">
        <v>46113</v>
      </c>
      <c r="J257" s="45" t="s">
        <v>448</v>
      </c>
      <c r="K257" s="45" t="s">
        <v>444</v>
      </c>
      <c r="L257" s="48" t="s">
        <v>580</v>
      </c>
      <c r="M257" s="47">
        <v>40</v>
      </c>
      <c r="N257" s="47">
        <v>50</v>
      </c>
      <c r="O257" s="46">
        <v>0.8</v>
      </c>
      <c r="Q257" s="45" t="s">
        <v>23</v>
      </c>
    </row>
    <row r="258" spans="4:17" hidden="1" x14ac:dyDescent="0.4">
      <c r="D258" s="45" t="s">
        <v>127</v>
      </c>
      <c r="E258" s="45" t="s">
        <v>128</v>
      </c>
      <c r="F258" s="45" t="s">
        <v>129</v>
      </c>
      <c r="G258" s="45" t="s">
        <v>130</v>
      </c>
      <c r="H258" s="50" t="s">
        <v>564</v>
      </c>
      <c r="I258" s="49">
        <v>46113</v>
      </c>
      <c r="J258" s="45" t="s">
        <v>448</v>
      </c>
      <c r="K258" s="45" t="s">
        <v>444</v>
      </c>
      <c r="L258" s="48" t="s">
        <v>579</v>
      </c>
      <c r="M258" s="47">
        <v>50</v>
      </c>
      <c r="N258" s="47">
        <v>50</v>
      </c>
      <c r="O258" s="46">
        <v>1</v>
      </c>
      <c r="Q258" s="45" t="s">
        <v>23</v>
      </c>
    </row>
    <row r="259" spans="4:17" hidden="1" x14ac:dyDescent="0.4">
      <c r="D259" s="45" t="s">
        <v>132</v>
      </c>
      <c r="E259" s="45" t="s">
        <v>133</v>
      </c>
      <c r="F259" s="45" t="s">
        <v>134</v>
      </c>
      <c r="G259" s="45" t="s">
        <v>135</v>
      </c>
      <c r="H259" s="50" t="s">
        <v>564</v>
      </c>
      <c r="I259" s="49">
        <v>46113</v>
      </c>
      <c r="J259" s="45" t="s">
        <v>448</v>
      </c>
      <c r="K259" s="45" t="s">
        <v>444</v>
      </c>
      <c r="L259" s="48" t="s">
        <v>579</v>
      </c>
      <c r="M259" s="47">
        <v>50</v>
      </c>
      <c r="N259" s="47">
        <v>50</v>
      </c>
      <c r="O259" s="46">
        <v>1</v>
      </c>
      <c r="Q259" s="45" t="s">
        <v>23</v>
      </c>
    </row>
    <row r="260" spans="4:17" hidden="1" x14ac:dyDescent="0.4">
      <c r="D260" s="45" t="s">
        <v>137</v>
      </c>
      <c r="E260" s="45" t="s">
        <v>138</v>
      </c>
      <c r="F260" s="45" t="s">
        <v>139</v>
      </c>
      <c r="G260" s="45" t="s">
        <v>140</v>
      </c>
      <c r="H260" s="50" t="s">
        <v>564</v>
      </c>
      <c r="I260" s="49">
        <v>46113</v>
      </c>
      <c r="J260" s="45" t="s">
        <v>448</v>
      </c>
      <c r="K260" s="45" t="s">
        <v>444</v>
      </c>
      <c r="L260" s="48" t="s">
        <v>578</v>
      </c>
      <c r="M260" s="47">
        <v>50</v>
      </c>
      <c r="N260" s="47">
        <v>50</v>
      </c>
      <c r="O260" s="46">
        <v>1</v>
      </c>
      <c r="Q260" s="45" t="s">
        <v>23</v>
      </c>
    </row>
    <row r="261" spans="4:17" hidden="1" x14ac:dyDescent="0.4">
      <c r="D261" s="45" t="s">
        <v>142</v>
      </c>
      <c r="E261" s="45" t="s">
        <v>143</v>
      </c>
      <c r="F261" s="45" t="s">
        <v>144</v>
      </c>
      <c r="G261" s="45" t="s">
        <v>145</v>
      </c>
      <c r="H261" s="50" t="s">
        <v>564</v>
      </c>
      <c r="I261" s="49">
        <v>46113</v>
      </c>
      <c r="J261" s="45" t="s">
        <v>448</v>
      </c>
      <c r="K261" s="45" t="s">
        <v>444</v>
      </c>
      <c r="L261" s="48" t="s">
        <v>577</v>
      </c>
      <c r="M261" s="47">
        <v>50</v>
      </c>
      <c r="N261" s="47">
        <v>50</v>
      </c>
      <c r="O261" s="46">
        <v>1</v>
      </c>
      <c r="Q261" s="45" t="s">
        <v>23</v>
      </c>
    </row>
    <row r="262" spans="4:17" hidden="1" x14ac:dyDescent="0.4">
      <c r="D262" s="45" t="s">
        <v>147</v>
      </c>
      <c r="E262" s="45" t="s">
        <v>148</v>
      </c>
      <c r="F262" s="45" t="s">
        <v>149</v>
      </c>
      <c r="G262" s="45" t="s">
        <v>150</v>
      </c>
      <c r="H262" s="50" t="s">
        <v>564</v>
      </c>
      <c r="I262" s="49">
        <v>46113</v>
      </c>
      <c r="J262" s="45" t="s">
        <v>448</v>
      </c>
      <c r="K262" s="45" t="s">
        <v>444</v>
      </c>
      <c r="L262" s="48" t="s">
        <v>576</v>
      </c>
      <c r="M262" s="47">
        <v>23</v>
      </c>
      <c r="N262" s="47">
        <v>50</v>
      </c>
      <c r="O262" s="46">
        <v>0.46</v>
      </c>
      <c r="Q262" s="45" t="s">
        <v>23</v>
      </c>
    </row>
    <row r="263" spans="4:17" hidden="1" x14ac:dyDescent="0.4">
      <c r="D263" s="45" t="s">
        <v>152</v>
      </c>
      <c r="E263" s="45" t="s">
        <v>66</v>
      </c>
      <c r="F263" s="45" t="s">
        <v>153</v>
      </c>
      <c r="G263" s="45" t="s">
        <v>154</v>
      </c>
      <c r="H263" s="50" t="s">
        <v>564</v>
      </c>
      <c r="I263" s="49">
        <v>46113</v>
      </c>
      <c r="J263" s="45" t="s">
        <v>448</v>
      </c>
      <c r="K263" s="45" t="s">
        <v>444</v>
      </c>
      <c r="L263" s="48" t="s">
        <v>575</v>
      </c>
      <c r="M263" s="47">
        <v>0</v>
      </c>
      <c r="N263" s="47">
        <v>50</v>
      </c>
      <c r="O263" s="46">
        <v>0</v>
      </c>
      <c r="Q263" s="45" t="s">
        <v>23</v>
      </c>
    </row>
    <row r="264" spans="4:17" hidden="1" x14ac:dyDescent="0.4">
      <c r="D264" s="45" t="s">
        <v>160</v>
      </c>
      <c r="E264" s="45" t="s">
        <v>81</v>
      </c>
      <c r="F264" s="45" t="s">
        <v>161</v>
      </c>
      <c r="G264" s="45" t="s">
        <v>162</v>
      </c>
      <c r="H264" s="50" t="s">
        <v>564</v>
      </c>
      <c r="I264" s="49">
        <v>46113</v>
      </c>
      <c r="J264" s="45" t="s">
        <v>448</v>
      </c>
      <c r="K264" s="45" t="s">
        <v>444</v>
      </c>
      <c r="L264" s="48" t="s">
        <v>574</v>
      </c>
      <c r="M264" s="47">
        <v>0</v>
      </c>
      <c r="N264" s="47">
        <v>50</v>
      </c>
      <c r="O264" s="46">
        <v>0</v>
      </c>
      <c r="Q264" s="45" t="s">
        <v>23</v>
      </c>
    </row>
    <row r="265" spans="4:17" hidden="1" x14ac:dyDescent="0.4">
      <c r="D265" s="45" t="s">
        <v>163</v>
      </c>
      <c r="E265" s="45" t="s">
        <v>164</v>
      </c>
      <c r="F265" s="45" t="s">
        <v>165</v>
      </c>
      <c r="G265" s="45" t="s">
        <v>166</v>
      </c>
      <c r="H265" s="50" t="s">
        <v>564</v>
      </c>
      <c r="I265" s="49">
        <v>46113</v>
      </c>
      <c r="J265" s="45" t="s">
        <v>448</v>
      </c>
      <c r="K265" s="45" t="s">
        <v>444</v>
      </c>
      <c r="L265" s="48" t="s">
        <v>573</v>
      </c>
      <c r="M265" s="47">
        <v>0</v>
      </c>
      <c r="N265" s="47">
        <v>50</v>
      </c>
      <c r="O265" s="46">
        <v>0</v>
      </c>
      <c r="Q265" s="45" t="s">
        <v>23</v>
      </c>
    </row>
    <row r="266" spans="4:17" hidden="1" x14ac:dyDescent="0.4">
      <c r="D266" s="45" t="s">
        <v>168</v>
      </c>
      <c r="E266" s="45" t="s">
        <v>169</v>
      </c>
      <c r="F266" s="45" t="s">
        <v>170</v>
      </c>
      <c r="G266" s="45" t="s">
        <v>171</v>
      </c>
      <c r="H266" s="50" t="s">
        <v>564</v>
      </c>
      <c r="I266" s="49">
        <v>46113</v>
      </c>
      <c r="J266" s="45" t="s">
        <v>448</v>
      </c>
      <c r="K266" s="45" t="s">
        <v>444</v>
      </c>
      <c r="L266" s="48" t="s">
        <v>572</v>
      </c>
      <c r="M266" s="47">
        <v>50</v>
      </c>
      <c r="N266" s="47">
        <v>50</v>
      </c>
      <c r="O266" s="46">
        <v>1</v>
      </c>
      <c r="Q266" s="45" t="s">
        <v>23</v>
      </c>
    </row>
    <row r="267" spans="4:17" hidden="1" x14ac:dyDescent="0.4">
      <c r="D267" s="45" t="s">
        <v>173</v>
      </c>
      <c r="E267" s="45" t="s">
        <v>174</v>
      </c>
      <c r="F267" s="45" t="s">
        <v>175</v>
      </c>
      <c r="G267" s="45" t="s">
        <v>176</v>
      </c>
      <c r="H267" s="50" t="s">
        <v>564</v>
      </c>
      <c r="I267" s="49">
        <v>46113</v>
      </c>
      <c r="J267" s="45" t="s">
        <v>448</v>
      </c>
      <c r="K267" s="45" t="s">
        <v>444</v>
      </c>
      <c r="L267" s="48" t="s">
        <v>571</v>
      </c>
      <c r="M267" s="47">
        <v>50</v>
      </c>
      <c r="N267" s="47">
        <v>50</v>
      </c>
      <c r="O267" s="46">
        <v>1</v>
      </c>
      <c r="Q267" s="45" t="s">
        <v>23</v>
      </c>
    </row>
    <row r="268" spans="4:17" hidden="1" x14ac:dyDescent="0.4">
      <c r="D268" s="45" t="s">
        <v>178</v>
      </c>
      <c r="E268" s="45" t="s">
        <v>179</v>
      </c>
      <c r="F268" s="45" t="s">
        <v>180</v>
      </c>
      <c r="G268" s="45" t="s">
        <v>181</v>
      </c>
      <c r="H268" s="50" t="s">
        <v>564</v>
      </c>
      <c r="I268" s="49">
        <v>46113</v>
      </c>
      <c r="J268" s="45" t="s">
        <v>448</v>
      </c>
      <c r="K268" s="45" t="s">
        <v>444</v>
      </c>
      <c r="L268" s="48" t="s">
        <v>570</v>
      </c>
      <c r="M268" s="47">
        <v>23</v>
      </c>
      <c r="N268" s="47">
        <v>50</v>
      </c>
      <c r="O268" s="46">
        <v>0.46</v>
      </c>
      <c r="Q268" s="45" t="s">
        <v>23</v>
      </c>
    </row>
    <row r="269" spans="4:17" hidden="1" x14ac:dyDescent="0.4">
      <c r="D269" s="45" t="s">
        <v>187</v>
      </c>
      <c r="E269" s="45" t="s">
        <v>188</v>
      </c>
      <c r="F269" s="45" t="s">
        <v>189</v>
      </c>
      <c r="G269" s="45" t="s">
        <v>190</v>
      </c>
      <c r="H269" s="50" t="s">
        <v>564</v>
      </c>
      <c r="I269" s="49">
        <v>46113</v>
      </c>
      <c r="J269" s="45" t="s">
        <v>448</v>
      </c>
      <c r="K269" s="45" t="s">
        <v>444</v>
      </c>
      <c r="L269" s="48" t="s">
        <v>569</v>
      </c>
      <c r="M269" s="47">
        <v>46</v>
      </c>
      <c r="N269" s="47">
        <v>50</v>
      </c>
      <c r="O269" s="46">
        <v>0.92</v>
      </c>
      <c r="Q269" s="45" t="s">
        <v>23</v>
      </c>
    </row>
    <row r="270" spans="4:17" hidden="1" x14ac:dyDescent="0.4">
      <c r="D270" s="45" t="s">
        <v>192</v>
      </c>
      <c r="E270" s="45" t="s">
        <v>193</v>
      </c>
      <c r="F270" s="45" t="s">
        <v>194</v>
      </c>
      <c r="G270" s="45" t="s">
        <v>195</v>
      </c>
      <c r="H270" s="50" t="s">
        <v>564</v>
      </c>
      <c r="I270" s="49">
        <v>46113</v>
      </c>
      <c r="J270" s="45" t="s">
        <v>448</v>
      </c>
      <c r="K270" s="45" t="s">
        <v>444</v>
      </c>
      <c r="L270" s="48" t="s">
        <v>566</v>
      </c>
      <c r="M270" s="47">
        <v>46</v>
      </c>
      <c r="N270" s="47">
        <v>50</v>
      </c>
      <c r="O270" s="46">
        <v>0.92</v>
      </c>
      <c r="Q270" s="45" t="s">
        <v>23</v>
      </c>
    </row>
    <row r="271" spans="4:17" hidden="1" x14ac:dyDescent="0.4">
      <c r="D271" s="45" t="s">
        <v>197</v>
      </c>
      <c r="E271" s="45" t="s">
        <v>198</v>
      </c>
      <c r="F271" s="45" t="s">
        <v>199</v>
      </c>
      <c r="G271" s="45" t="s">
        <v>200</v>
      </c>
      <c r="H271" s="50" t="s">
        <v>564</v>
      </c>
      <c r="I271" s="49">
        <v>46113</v>
      </c>
      <c r="J271" s="45" t="s">
        <v>448</v>
      </c>
      <c r="K271" s="45" t="s">
        <v>444</v>
      </c>
      <c r="L271" s="48" t="s">
        <v>568</v>
      </c>
      <c r="M271" s="47">
        <v>0</v>
      </c>
      <c r="N271" s="47">
        <v>50</v>
      </c>
      <c r="O271" s="46">
        <v>0</v>
      </c>
      <c r="Q271" s="45" t="s">
        <v>23</v>
      </c>
    </row>
    <row r="272" spans="4:17" hidden="1" x14ac:dyDescent="0.4">
      <c r="D272" s="45" t="s">
        <v>201</v>
      </c>
      <c r="E272" s="45" t="s">
        <v>143</v>
      </c>
      <c r="F272" s="45" t="s">
        <v>202</v>
      </c>
      <c r="G272" s="45" t="s">
        <v>203</v>
      </c>
      <c r="H272" s="50" t="s">
        <v>564</v>
      </c>
      <c r="I272" s="49">
        <v>46113</v>
      </c>
      <c r="J272" s="45" t="s">
        <v>448</v>
      </c>
      <c r="K272" s="45" t="s">
        <v>444</v>
      </c>
      <c r="L272" s="48" t="s">
        <v>567</v>
      </c>
      <c r="M272" s="47">
        <v>0</v>
      </c>
      <c r="N272" s="47">
        <v>50</v>
      </c>
      <c r="O272" s="46">
        <v>0</v>
      </c>
      <c r="Q272" s="45" t="s">
        <v>23</v>
      </c>
    </row>
    <row r="273" spans="4:17" hidden="1" x14ac:dyDescent="0.4">
      <c r="D273" s="45" t="s">
        <v>205</v>
      </c>
      <c r="E273" s="45" t="s">
        <v>206</v>
      </c>
      <c r="F273" s="45" t="s">
        <v>207</v>
      </c>
      <c r="G273" s="45" t="s">
        <v>208</v>
      </c>
      <c r="H273" s="50" t="s">
        <v>564</v>
      </c>
      <c r="I273" s="49">
        <v>46113</v>
      </c>
      <c r="J273" s="45" t="s">
        <v>448</v>
      </c>
      <c r="K273" s="45" t="s">
        <v>444</v>
      </c>
      <c r="L273" s="48" t="s">
        <v>566</v>
      </c>
      <c r="M273" s="47">
        <v>46</v>
      </c>
      <c r="N273" s="47">
        <v>50</v>
      </c>
      <c r="O273" s="46">
        <v>0.92</v>
      </c>
      <c r="Q273" s="45" t="s">
        <v>23</v>
      </c>
    </row>
    <row r="274" spans="4:17" hidden="1" x14ac:dyDescent="0.4">
      <c r="D274" s="45" t="s">
        <v>210</v>
      </c>
      <c r="E274" s="45" t="s">
        <v>211</v>
      </c>
      <c r="F274" s="45" t="s">
        <v>212</v>
      </c>
      <c r="G274" s="45" t="s">
        <v>213</v>
      </c>
      <c r="H274" s="50" t="s">
        <v>564</v>
      </c>
      <c r="I274" s="49">
        <v>46113</v>
      </c>
      <c r="J274" s="45" t="s">
        <v>448</v>
      </c>
      <c r="K274" s="45" t="s">
        <v>444</v>
      </c>
      <c r="L274" s="48" t="s">
        <v>565</v>
      </c>
      <c r="M274" s="47">
        <v>0</v>
      </c>
      <c r="N274" s="47">
        <v>50</v>
      </c>
      <c r="O274" s="46">
        <v>0</v>
      </c>
      <c r="Q274" s="45" t="s">
        <v>23</v>
      </c>
    </row>
    <row r="275" spans="4:17" hidden="1" x14ac:dyDescent="0.4">
      <c r="D275" s="45" t="s">
        <v>215</v>
      </c>
      <c r="E275" s="45" t="s">
        <v>216</v>
      </c>
      <c r="F275" s="45" t="s">
        <v>217</v>
      </c>
      <c r="G275" s="45" t="s">
        <v>218</v>
      </c>
      <c r="H275" s="50" t="s">
        <v>564</v>
      </c>
      <c r="I275" s="49">
        <v>46113</v>
      </c>
      <c r="J275" s="45" t="s">
        <v>448</v>
      </c>
      <c r="K275" s="45" t="s">
        <v>444</v>
      </c>
      <c r="L275" s="48" t="s">
        <v>563</v>
      </c>
      <c r="M275" s="47">
        <v>50</v>
      </c>
      <c r="N275" s="47">
        <v>50</v>
      </c>
      <c r="O275" s="46">
        <v>1</v>
      </c>
      <c r="Q275" s="45" t="s">
        <v>23</v>
      </c>
    </row>
    <row r="276" spans="4:17" hidden="1" x14ac:dyDescent="0.4">
      <c r="D276" s="45" t="s">
        <v>24</v>
      </c>
      <c r="E276" s="45" t="s">
        <v>25</v>
      </c>
      <c r="F276" s="45" t="s">
        <v>26</v>
      </c>
      <c r="G276" s="45" t="s">
        <v>27</v>
      </c>
      <c r="H276" s="50" t="s">
        <v>531</v>
      </c>
      <c r="I276" s="49">
        <v>46120</v>
      </c>
      <c r="J276" s="45" t="s">
        <v>530</v>
      </c>
      <c r="K276" s="45" t="s">
        <v>444</v>
      </c>
      <c r="L276" s="48" t="s">
        <v>562</v>
      </c>
      <c r="M276" s="47">
        <v>50</v>
      </c>
      <c r="N276" s="47">
        <v>50</v>
      </c>
      <c r="O276" s="46">
        <v>1</v>
      </c>
      <c r="Q276" s="45" t="s">
        <v>23</v>
      </c>
    </row>
    <row r="277" spans="4:17" x14ac:dyDescent="0.4">
      <c r="D277" s="45" t="s">
        <v>31</v>
      </c>
      <c r="E277" s="45" t="s">
        <v>32</v>
      </c>
      <c r="F277" s="45" t="s">
        <v>33</v>
      </c>
      <c r="G277" s="45" t="s">
        <v>34</v>
      </c>
      <c r="H277" s="50" t="s">
        <v>531</v>
      </c>
      <c r="I277" s="49">
        <v>46120</v>
      </c>
      <c r="J277" s="45" t="s">
        <v>530</v>
      </c>
      <c r="K277" s="45" t="s">
        <v>444</v>
      </c>
      <c r="L277" s="48" t="s">
        <v>561</v>
      </c>
      <c r="M277" s="47">
        <v>35</v>
      </c>
      <c r="N277" s="47">
        <v>50</v>
      </c>
      <c r="O277" s="46">
        <v>0</v>
      </c>
      <c r="Q277" s="45" t="s">
        <v>23</v>
      </c>
    </row>
    <row r="278" spans="4:17" hidden="1" x14ac:dyDescent="0.4">
      <c r="D278" s="45" t="s">
        <v>36</v>
      </c>
      <c r="E278" s="45" t="s">
        <v>37</v>
      </c>
      <c r="F278" s="45" t="s">
        <v>38</v>
      </c>
      <c r="G278" s="45" t="s">
        <v>39</v>
      </c>
      <c r="H278" s="50" t="s">
        <v>531</v>
      </c>
      <c r="I278" s="49">
        <v>46120</v>
      </c>
      <c r="J278" s="45" t="s">
        <v>530</v>
      </c>
      <c r="K278" s="45" t="s">
        <v>444</v>
      </c>
      <c r="L278" s="48" t="s">
        <v>560</v>
      </c>
      <c r="M278" s="47">
        <v>23</v>
      </c>
      <c r="N278" s="47">
        <v>50</v>
      </c>
      <c r="O278" s="46">
        <v>0.46</v>
      </c>
      <c r="Q278" s="45" t="s">
        <v>23</v>
      </c>
    </row>
    <row r="279" spans="4:17" hidden="1" x14ac:dyDescent="0.4">
      <c r="D279" s="45" t="s">
        <v>41</v>
      </c>
      <c r="E279" s="45" t="s">
        <v>42</v>
      </c>
      <c r="F279" s="45" t="s">
        <v>43</v>
      </c>
      <c r="G279" s="45" t="s">
        <v>44</v>
      </c>
      <c r="H279" s="50" t="s">
        <v>531</v>
      </c>
      <c r="I279" s="49">
        <v>46120</v>
      </c>
      <c r="J279" s="45" t="s">
        <v>530</v>
      </c>
      <c r="K279" s="45" t="s">
        <v>444</v>
      </c>
      <c r="L279" s="48" t="s">
        <v>559</v>
      </c>
      <c r="M279" s="47">
        <v>40</v>
      </c>
      <c r="N279" s="47">
        <v>50</v>
      </c>
      <c r="O279" s="46">
        <v>0.8</v>
      </c>
      <c r="Q279" s="45" t="s">
        <v>23</v>
      </c>
    </row>
    <row r="280" spans="4:17" hidden="1" x14ac:dyDescent="0.4">
      <c r="D280" s="45" t="s">
        <v>46</v>
      </c>
      <c r="E280" s="45" t="s">
        <v>47</v>
      </c>
      <c r="F280" s="45" t="s">
        <v>48</v>
      </c>
      <c r="G280" s="45" t="s">
        <v>49</v>
      </c>
      <c r="H280" s="50" t="s">
        <v>531</v>
      </c>
      <c r="I280" s="49">
        <v>46120</v>
      </c>
      <c r="J280" s="45" t="s">
        <v>530</v>
      </c>
      <c r="K280" s="45" t="s">
        <v>444</v>
      </c>
      <c r="L280" s="48" t="s">
        <v>558</v>
      </c>
      <c r="M280" s="47">
        <v>0</v>
      </c>
      <c r="N280" s="47">
        <v>50</v>
      </c>
      <c r="O280" s="46">
        <v>0</v>
      </c>
      <c r="Q280" s="45" t="s">
        <v>23</v>
      </c>
    </row>
    <row r="281" spans="4:17" hidden="1" x14ac:dyDescent="0.4">
      <c r="D281" s="45" t="s">
        <v>51</v>
      </c>
      <c r="E281" s="45" t="s">
        <v>52</v>
      </c>
      <c r="F281" s="45" t="s">
        <v>53</v>
      </c>
      <c r="G281" s="45" t="s">
        <v>54</v>
      </c>
      <c r="H281" s="50" t="s">
        <v>531</v>
      </c>
      <c r="I281" s="49">
        <v>46120</v>
      </c>
      <c r="J281" s="45" t="s">
        <v>530</v>
      </c>
      <c r="K281" s="45" t="s">
        <v>444</v>
      </c>
      <c r="L281" s="48" t="s">
        <v>557</v>
      </c>
      <c r="M281" s="47">
        <v>0</v>
      </c>
      <c r="N281" s="47">
        <v>50</v>
      </c>
      <c r="O281" s="46">
        <v>0</v>
      </c>
      <c r="Q281" s="45" t="s">
        <v>23</v>
      </c>
    </row>
    <row r="282" spans="4:17" hidden="1" x14ac:dyDescent="0.4">
      <c r="D282" s="45" t="s">
        <v>56</v>
      </c>
      <c r="E282" s="45" t="s">
        <v>52</v>
      </c>
      <c r="F282" s="45" t="s">
        <v>57</v>
      </c>
      <c r="G282" s="45" t="s">
        <v>58</v>
      </c>
      <c r="H282" s="50" t="s">
        <v>531</v>
      </c>
      <c r="I282" s="49">
        <v>46120</v>
      </c>
      <c r="J282" s="45" t="s">
        <v>530</v>
      </c>
      <c r="K282" s="45" t="s">
        <v>444</v>
      </c>
      <c r="L282" s="48" t="s">
        <v>556</v>
      </c>
      <c r="M282" s="47">
        <v>50</v>
      </c>
      <c r="N282" s="47">
        <v>50</v>
      </c>
      <c r="O282" s="46">
        <v>1</v>
      </c>
      <c r="Q282" s="45" t="s">
        <v>23</v>
      </c>
    </row>
    <row r="283" spans="4:17" hidden="1" x14ac:dyDescent="0.4">
      <c r="D283" s="45" t="s">
        <v>60</v>
      </c>
      <c r="E283" s="45" t="s">
        <v>61</v>
      </c>
      <c r="F283" s="45" t="s">
        <v>62</v>
      </c>
      <c r="G283" s="45" t="s">
        <v>63</v>
      </c>
      <c r="H283" s="50" t="s">
        <v>531</v>
      </c>
      <c r="I283" s="49">
        <v>46120</v>
      </c>
      <c r="J283" s="45" t="s">
        <v>530</v>
      </c>
      <c r="K283" s="45" t="s">
        <v>444</v>
      </c>
      <c r="L283" s="48" t="s">
        <v>539</v>
      </c>
      <c r="M283" s="47">
        <v>50</v>
      </c>
      <c r="N283" s="47">
        <v>50</v>
      </c>
      <c r="O283" s="46">
        <v>1</v>
      </c>
      <c r="Q283" s="45" t="s">
        <v>23</v>
      </c>
    </row>
    <row r="284" spans="4:17" hidden="1" x14ac:dyDescent="0.4">
      <c r="D284" s="45" t="s">
        <v>65</v>
      </c>
      <c r="E284" s="45" t="s">
        <v>66</v>
      </c>
      <c r="F284" s="45" t="s">
        <v>67</v>
      </c>
      <c r="G284" s="45" t="s">
        <v>68</v>
      </c>
      <c r="H284" s="50" t="s">
        <v>531</v>
      </c>
      <c r="I284" s="49">
        <v>46120</v>
      </c>
      <c r="J284" s="45" t="s">
        <v>530</v>
      </c>
      <c r="K284" s="45" t="s">
        <v>444</v>
      </c>
      <c r="L284" s="48" t="s">
        <v>555</v>
      </c>
      <c r="M284" s="47">
        <v>50</v>
      </c>
      <c r="N284" s="47">
        <v>50</v>
      </c>
      <c r="O284" s="46">
        <v>1</v>
      </c>
      <c r="Q284" s="45" t="s">
        <v>23</v>
      </c>
    </row>
    <row r="285" spans="4:17" hidden="1" x14ac:dyDescent="0.4">
      <c r="D285" s="45" t="s">
        <v>70</v>
      </c>
      <c r="E285" s="45" t="s">
        <v>71</v>
      </c>
      <c r="F285" s="45" t="s">
        <v>72</v>
      </c>
      <c r="G285" s="45" t="s">
        <v>73</v>
      </c>
      <c r="H285" s="50" t="s">
        <v>531</v>
      </c>
      <c r="I285" s="49">
        <v>46120</v>
      </c>
      <c r="J285" s="45" t="s">
        <v>530</v>
      </c>
      <c r="K285" s="45" t="s">
        <v>444</v>
      </c>
      <c r="L285" s="48" t="s">
        <v>555</v>
      </c>
      <c r="M285" s="47">
        <v>50</v>
      </c>
      <c r="N285" s="47">
        <v>50</v>
      </c>
      <c r="O285" s="46">
        <v>1</v>
      </c>
      <c r="Q285" s="45" t="s">
        <v>23</v>
      </c>
    </row>
    <row r="286" spans="4:17" hidden="1" x14ac:dyDescent="0.4">
      <c r="D286" s="45" t="s">
        <v>75</v>
      </c>
      <c r="E286" s="45" t="s">
        <v>76</v>
      </c>
      <c r="F286" s="45" t="s">
        <v>77</v>
      </c>
      <c r="G286" s="45" t="s">
        <v>78</v>
      </c>
      <c r="H286" s="50" t="s">
        <v>531</v>
      </c>
      <c r="I286" s="49">
        <v>46120</v>
      </c>
      <c r="J286" s="45" t="s">
        <v>530</v>
      </c>
      <c r="K286" s="45" t="s">
        <v>444</v>
      </c>
      <c r="L286" s="48" t="s">
        <v>546</v>
      </c>
      <c r="M286" s="47">
        <v>50</v>
      </c>
      <c r="N286" s="47">
        <v>50</v>
      </c>
      <c r="O286" s="46">
        <v>1</v>
      </c>
      <c r="Q286" s="45" t="s">
        <v>23</v>
      </c>
    </row>
    <row r="287" spans="4:17" hidden="1" x14ac:dyDescent="0.4">
      <c r="D287" s="45" t="s">
        <v>80</v>
      </c>
      <c r="E287" s="45" t="s">
        <v>81</v>
      </c>
      <c r="F287" s="45" t="s">
        <v>82</v>
      </c>
      <c r="G287" s="45" t="s">
        <v>83</v>
      </c>
      <c r="H287" s="50" t="s">
        <v>531</v>
      </c>
      <c r="I287" s="49">
        <v>46120</v>
      </c>
      <c r="J287" s="45" t="s">
        <v>530</v>
      </c>
      <c r="K287" s="45" t="s">
        <v>444</v>
      </c>
      <c r="L287" s="48" t="s">
        <v>554</v>
      </c>
      <c r="M287" s="47">
        <v>23</v>
      </c>
      <c r="N287" s="47">
        <v>50</v>
      </c>
      <c r="O287" s="46">
        <v>0.46</v>
      </c>
      <c r="Q287" s="45" t="s">
        <v>23</v>
      </c>
    </row>
    <row r="288" spans="4:17" hidden="1" x14ac:dyDescent="0.4">
      <c r="D288" s="45" t="s">
        <v>85</v>
      </c>
      <c r="E288" s="45" t="s">
        <v>86</v>
      </c>
      <c r="F288" s="45" t="s">
        <v>87</v>
      </c>
      <c r="G288" s="45" t="s">
        <v>88</v>
      </c>
      <c r="H288" s="50" t="s">
        <v>531</v>
      </c>
      <c r="I288" s="49">
        <v>46120</v>
      </c>
      <c r="J288" s="45" t="s">
        <v>530</v>
      </c>
      <c r="K288" s="45" t="s">
        <v>444</v>
      </c>
      <c r="L288" s="48" t="s">
        <v>553</v>
      </c>
      <c r="M288" s="47">
        <v>23</v>
      </c>
      <c r="N288" s="47">
        <v>50</v>
      </c>
      <c r="O288" s="46">
        <v>0.46</v>
      </c>
      <c r="Q288" s="45" t="s">
        <v>23</v>
      </c>
    </row>
    <row r="289" spans="4:17" hidden="1" x14ac:dyDescent="0.4">
      <c r="D289" s="45" t="s">
        <v>89</v>
      </c>
      <c r="E289" s="45" t="s">
        <v>90</v>
      </c>
      <c r="F289" s="45" t="s">
        <v>91</v>
      </c>
      <c r="G289" s="45" t="s">
        <v>92</v>
      </c>
      <c r="H289" s="50" t="s">
        <v>531</v>
      </c>
      <c r="I289" s="49">
        <v>46120</v>
      </c>
      <c r="J289" s="45" t="s">
        <v>530</v>
      </c>
      <c r="K289" s="45" t="s">
        <v>444</v>
      </c>
      <c r="L289" s="48" t="s">
        <v>552</v>
      </c>
      <c r="M289" s="47">
        <v>46</v>
      </c>
      <c r="N289" s="47">
        <v>50</v>
      </c>
      <c r="O289" s="46">
        <v>0.92</v>
      </c>
      <c r="Q289" s="45" t="s">
        <v>23</v>
      </c>
    </row>
    <row r="290" spans="4:17" hidden="1" x14ac:dyDescent="0.4">
      <c r="D290" s="45" t="s">
        <v>94</v>
      </c>
      <c r="E290" s="45" t="s">
        <v>95</v>
      </c>
      <c r="F290" s="45" t="s">
        <v>96</v>
      </c>
      <c r="G290" s="45" t="s">
        <v>97</v>
      </c>
      <c r="H290" s="50" t="s">
        <v>531</v>
      </c>
      <c r="I290" s="49">
        <v>46120</v>
      </c>
      <c r="J290" s="45" t="s">
        <v>530</v>
      </c>
      <c r="K290" s="45" t="s">
        <v>444</v>
      </c>
      <c r="L290" s="48" t="s">
        <v>535</v>
      </c>
      <c r="M290" s="47">
        <v>50</v>
      </c>
      <c r="N290" s="47">
        <v>50</v>
      </c>
      <c r="O290" s="46">
        <v>1</v>
      </c>
      <c r="Q290" s="45" t="s">
        <v>23</v>
      </c>
    </row>
    <row r="291" spans="4:17" hidden="1" x14ac:dyDescent="0.4">
      <c r="D291" s="45" t="s">
        <v>99</v>
      </c>
      <c r="E291" s="45" t="s">
        <v>100</v>
      </c>
      <c r="F291" s="45" t="s">
        <v>101</v>
      </c>
      <c r="G291" s="45" t="s">
        <v>102</v>
      </c>
      <c r="H291" s="50" t="s">
        <v>531</v>
      </c>
      <c r="I291" s="49">
        <v>46120</v>
      </c>
      <c r="J291" s="45" t="s">
        <v>530</v>
      </c>
      <c r="K291" s="45" t="s">
        <v>444</v>
      </c>
      <c r="L291" s="48" t="s">
        <v>551</v>
      </c>
      <c r="M291" s="47">
        <v>50</v>
      </c>
      <c r="N291" s="47">
        <v>50</v>
      </c>
      <c r="O291" s="46">
        <v>1</v>
      </c>
      <c r="Q291" s="45" t="s">
        <v>23</v>
      </c>
    </row>
    <row r="292" spans="4:17" hidden="1" x14ac:dyDescent="0.4">
      <c r="D292" s="45" t="s">
        <v>104</v>
      </c>
      <c r="E292" s="45" t="s">
        <v>86</v>
      </c>
      <c r="F292" s="45" t="s">
        <v>105</v>
      </c>
      <c r="G292" s="45" t="s">
        <v>106</v>
      </c>
      <c r="H292" s="50" t="s">
        <v>531</v>
      </c>
      <c r="I292" s="49">
        <v>46120</v>
      </c>
      <c r="J292" s="45" t="s">
        <v>530</v>
      </c>
      <c r="K292" s="45" t="s">
        <v>444</v>
      </c>
      <c r="L292" s="48" t="s">
        <v>550</v>
      </c>
      <c r="M292" s="47">
        <v>25</v>
      </c>
      <c r="N292" s="47">
        <v>50</v>
      </c>
      <c r="O292" s="46">
        <v>0.5</v>
      </c>
      <c r="Q292" s="45" t="s">
        <v>23</v>
      </c>
    </row>
    <row r="293" spans="4:17" hidden="1" x14ac:dyDescent="0.4">
      <c r="D293" s="45" t="s">
        <v>107</v>
      </c>
      <c r="E293" s="45" t="s">
        <v>108</v>
      </c>
      <c r="F293" s="45" t="s">
        <v>109</v>
      </c>
      <c r="G293" s="45" t="s">
        <v>110</v>
      </c>
      <c r="H293" s="50" t="s">
        <v>531</v>
      </c>
      <c r="I293" s="49">
        <v>46120</v>
      </c>
      <c r="J293" s="45" t="s">
        <v>530</v>
      </c>
      <c r="K293" s="45" t="s">
        <v>444</v>
      </c>
      <c r="L293" s="48" t="s">
        <v>548</v>
      </c>
      <c r="M293" s="47">
        <v>60</v>
      </c>
      <c r="N293" s="47">
        <v>50</v>
      </c>
      <c r="O293" s="46">
        <v>1.2</v>
      </c>
      <c r="Q293" s="45" t="s">
        <v>23</v>
      </c>
    </row>
    <row r="294" spans="4:17" hidden="1" x14ac:dyDescent="0.4">
      <c r="D294" s="45" t="s">
        <v>112</v>
      </c>
      <c r="E294" s="45" t="s">
        <v>113</v>
      </c>
      <c r="F294" s="45" t="s">
        <v>114</v>
      </c>
      <c r="G294" s="45" t="s">
        <v>115</v>
      </c>
      <c r="H294" s="50" t="s">
        <v>531</v>
      </c>
      <c r="I294" s="49">
        <v>46120</v>
      </c>
      <c r="J294" s="45" t="s">
        <v>530</v>
      </c>
      <c r="K294" s="45" t="s">
        <v>444</v>
      </c>
      <c r="L294" s="48" t="s">
        <v>549</v>
      </c>
      <c r="M294" s="47">
        <v>45</v>
      </c>
      <c r="N294" s="47">
        <v>50</v>
      </c>
      <c r="O294" s="46">
        <v>0.9</v>
      </c>
      <c r="Q294" s="45" t="s">
        <v>23</v>
      </c>
    </row>
    <row r="295" spans="4:17" hidden="1" x14ac:dyDescent="0.4">
      <c r="D295" s="45" t="s">
        <v>117</v>
      </c>
      <c r="E295" s="45" t="s">
        <v>118</v>
      </c>
      <c r="F295" s="45" t="s">
        <v>119</v>
      </c>
      <c r="G295" s="45" t="s">
        <v>120</v>
      </c>
      <c r="H295" s="50" t="s">
        <v>531</v>
      </c>
      <c r="I295" s="49">
        <v>46120</v>
      </c>
      <c r="J295" s="45" t="s">
        <v>530</v>
      </c>
      <c r="K295" s="45" t="s">
        <v>444</v>
      </c>
      <c r="L295" s="48" t="s">
        <v>548</v>
      </c>
      <c r="M295" s="47">
        <v>60</v>
      </c>
      <c r="N295" s="47">
        <v>50</v>
      </c>
      <c r="O295" s="46">
        <v>1.2</v>
      </c>
      <c r="Q295" s="45" t="s">
        <v>23</v>
      </c>
    </row>
    <row r="296" spans="4:17" hidden="1" x14ac:dyDescent="0.4">
      <c r="D296" s="45" t="s">
        <v>122</v>
      </c>
      <c r="E296" s="45" t="s">
        <v>123</v>
      </c>
      <c r="F296" s="45" t="s">
        <v>124</v>
      </c>
      <c r="G296" s="45" t="s">
        <v>125</v>
      </c>
      <c r="H296" s="50" t="s">
        <v>531</v>
      </c>
      <c r="I296" s="49">
        <v>46120</v>
      </c>
      <c r="J296" s="45" t="s">
        <v>530</v>
      </c>
      <c r="K296" s="45" t="s">
        <v>444</v>
      </c>
      <c r="L296" s="48" t="s">
        <v>547</v>
      </c>
      <c r="M296" s="47">
        <v>50</v>
      </c>
      <c r="N296" s="47">
        <v>50</v>
      </c>
      <c r="O296" s="46">
        <v>1</v>
      </c>
      <c r="Q296" s="45" t="s">
        <v>23</v>
      </c>
    </row>
    <row r="297" spans="4:17" hidden="1" x14ac:dyDescent="0.4">
      <c r="D297" s="45" t="s">
        <v>127</v>
      </c>
      <c r="E297" s="45" t="s">
        <v>128</v>
      </c>
      <c r="F297" s="45" t="s">
        <v>129</v>
      </c>
      <c r="G297" s="45" t="s">
        <v>130</v>
      </c>
      <c r="H297" s="50" t="s">
        <v>531</v>
      </c>
      <c r="I297" s="49">
        <v>46120</v>
      </c>
      <c r="J297" s="45" t="s">
        <v>530</v>
      </c>
      <c r="K297" s="45" t="s">
        <v>444</v>
      </c>
      <c r="L297" s="48" t="s">
        <v>546</v>
      </c>
      <c r="M297" s="47">
        <v>50</v>
      </c>
      <c r="N297" s="47">
        <v>50</v>
      </c>
      <c r="O297" s="46">
        <v>1</v>
      </c>
      <c r="Q297" s="45" t="s">
        <v>23</v>
      </c>
    </row>
    <row r="298" spans="4:17" hidden="1" x14ac:dyDescent="0.4">
      <c r="D298" s="45" t="s">
        <v>132</v>
      </c>
      <c r="E298" s="45" t="s">
        <v>133</v>
      </c>
      <c r="F298" s="45" t="s">
        <v>134</v>
      </c>
      <c r="G298" s="45" t="s">
        <v>135</v>
      </c>
      <c r="H298" s="50" t="s">
        <v>531</v>
      </c>
      <c r="I298" s="49">
        <v>46120</v>
      </c>
      <c r="J298" s="45" t="s">
        <v>530</v>
      </c>
      <c r="K298" s="45" t="s">
        <v>444</v>
      </c>
      <c r="L298" s="48" t="s">
        <v>545</v>
      </c>
      <c r="M298" s="47">
        <v>50</v>
      </c>
      <c r="N298" s="47">
        <v>50</v>
      </c>
      <c r="O298" s="46">
        <v>1</v>
      </c>
      <c r="Q298" s="45" t="s">
        <v>23</v>
      </c>
    </row>
    <row r="299" spans="4:17" hidden="1" x14ac:dyDescent="0.4">
      <c r="D299" s="45" t="s">
        <v>137</v>
      </c>
      <c r="E299" s="45" t="s">
        <v>138</v>
      </c>
      <c r="F299" s="45" t="s">
        <v>139</v>
      </c>
      <c r="G299" s="45" t="s">
        <v>140</v>
      </c>
      <c r="H299" s="50" t="s">
        <v>531</v>
      </c>
      <c r="I299" s="49">
        <v>46120</v>
      </c>
      <c r="J299" s="45" t="s">
        <v>530</v>
      </c>
      <c r="K299" s="45" t="s">
        <v>444</v>
      </c>
      <c r="L299" s="48" t="s">
        <v>544</v>
      </c>
      <c r="M299" s="47">
        <v>50</v>
      </c>
      <c r="N299" s="47">
        <v>50</v>
      </c>
      <c r="O299" s="46">
        <v>1</v>
      </c>
      <c r="Q299" s="45" t="s">
        <v>23</v>
      </c>
    </row>
    <row r="300" spans="4:17" hidden="1" x14ac:dyDescent="0.4">
      <c r="D300" s="45" t="s">
        <v>142</v>
      </c>
      <c r="E300" s="45" t="s">
        <v>143</v>
      </c>
      <c r="F300" s="45" t="s">
        <v>144</v>
      </c>
      <c r="G300" s="45" t="s">
        <v>145</v>
      </c>
      <c r="H300" s="50" t="s">
        <v>531</v>
      </c>
      <c r="I300" s="49">
        <v>46120</v>
      </c>
      <c r="J300" s="45" t="s">
        <v>530</v>
      </c>
      <c r="K300" s="45" t="s">
        <v>444</v>
      </c>
      <c r="L300" s="48" t="s">
        <v>532</v>
      </c>
      <c r="M300" s="47">
        <v>50</v>
      </c>
      <c r="N300" s="47">
        <v>50</v>
      </c>
      <c r="O300" s="46">
        <v>1</v>
      </c>
      <c r="Q300" s="45" t="s">
        <v>23</v>
      </c>
    </row>
    <row r="301" spans="4:17" hidden="1" x14ac:dyDescent="0.4">
      <c r="D301" s="45" t="s">
        <v>147</v>
      </c>
      <c r="E301" s="45" t="s">
        <v>148</v>
      </c>
      <c r="F301" s="45" t="s">
        <v>149</v>
      </c>
      <c r="G301" s="45" t="s">
        <v>150</v>
      </c>
      <c r="H301" s="50" t="s">
        <v>531</v>
      </c>
      <c r="I301" s="49">
        <v>46120</v>
      </c>
      <c r="J301" s="45" t="s">
        <v>530</v>
      </c>
      <c r="K301" s="45" t="s">
        <v>444</v>
      </c>
      <c r="L301" s="48" t="s">
        <v>543</v>
      </c>
      <c r="M301" s="47">
        <v>35</v>
      </c>
      <c r="N301" s="47">
        <v>50</v>
      </c>
      <c r="O301" s="46">
        <v>0.7</v>
      </c>
      <c r="Q301" s="45" t="s">
        <v>23</v>
      </c>
    </row>
    <row r="302" spans="4:17" hidden="1" x14ac:dyDescent="0.4">
      <c r="D302" s="45" t="s">
        <v>152</v>
      </c>
      <c r="E302" s="45" t="s">
        <v>66</v>
      </c>
      <c r="F302" s="45" t="s">
        <v>153</v>
      </c>
      <c r="G302" s="45" t="s">
        <v>154</v>
      </c>
      <c r="H302" s="50" t="s">
        <v>531</v>
      </c>
      <c r="I302" s="49">
        <v>46120</v>
      </c>
      <c r="J302" s="45" t="s">
        <v>530</v>
      </c>
      <c r="K302" s="45" t="s">
        <v>444</v>
      </c>
      <c r="L302" s="48" t="s">
        <v>542</v>
      </c>
      <c r="M302" s="47">
        <v>0</v>
      </c>
      <c r="N302" s="47">
        <v>50</v>
      </c>
      <c r="O302" s="46">
        <v>0</v>
      </c>
      <c r="Q302" s="45" t="s">
        <v>23</v>
      </c>
    </row>
    <row r="303" spans="4:17" hidden="1" x14ac:dyDescent="0.4">
      <c r="D303" s="45" t="s">
        <v>160</v>
      </c>
      <c r="E303" s="45" t="s">
        <v>81</v>
      </c>
      <c r="F303" s="45" t="s">
        <v>161</v>
      </c>
      <c r="G303" s="45" t="s">
        <v>162</v>
      </c>
      <c r="H303" s="50" t="s">
        <v>531</v>
      </c>
      <c r="I303" s="49">
        <v>46120</v>
      </c>
      <c r="J303" s="45" t="s">
        <v>530</v>
      </c>
      <c r="K303" s="45" t="s">
        <v>444</v>
      </c>
      <c r="L303" s="48" t="s">
        <v>535</v>
      </c>
      <c r="M303" s="47">
        <v>50</v>
      </c>
      <c r="N303" s="47">
        <v>50</v>
      </c>
      <c r="O303" s="46">
        <v>1</v>
      </c>
      <c r="Q303" s="45" t="s">
        <v>23</v>
      </c>
    </row>
    <row r="304" spans="4:17" hidden="1" x14ac:dyDescent="0.4">
      <c r="D304" s="45" t="s">
        <v>163</v>
      </c>
      <c r="E304" s="45" t="s">
        <v>164</v>
      </c>
      <c r="F304" s="45" t="s">
        <v>165</v>
      </c>
      <c r="G304" s="45" t="s">
        <v>166</v>
      </c>
      <c r="H304" s="50" t="s">
        <v>531</v>
      </c>
      <c r="I304" s="49">
        <v>46120</v>
      </c>
      <c r="J304" s="45" t="s">
        <v>530</v>
      </c>
      <c r="K304" s="45" t="s">
        <v>444</v>
      </c>
      <c r="L304" s="48" t="s">
        <v>541</v>
      </c>
      <c r="M304" s="47">
        <v>0</v>
      </c>
      <c r="N304" s="47">
        <v>50</v>
      </c>
      <c r="O304" s="46">
        <v>0</v>
      </c>
      <c r="Q304" s="45" t="s">
        <v>23</v>
      </c>
    </row>
    <row r="305" spans="4:17" hidden="1" x14ac:dyDescent="0.4">
      <c r="D305" s="45" t="s">
        <v>168</v>
      </c>
      <c r="E305" s="45" t="s">
        <v>169</v>
      </c>
      <c r="F305" s="45" t="s">
        <v>170</v>
      </c>
      <c r="G305" s="45" t="s">
        <v>171</v>
      </c>
      <c r="H305" s="50" t="s">
        <v>531</v>
      </c>
      <c r="I305" s="49">
        <v>46120</v>
      </c>
      <c r="J305" s="45" t="s">
        <v>530</v>
      </c>
      <c r="K305" s="45" t="s">
        <v>444</v>
      </c>
      <c r="L305" s="48" t="s">
        <v>540</v>
      </c>
      <c r="M305" s="47">
        <v>50</v>
      </c>
      <c r="N305" s="47">
        <v>50</v>
      </c>
      <c r="O305" s="46">
        <v>1</v>
      </c>
      <c r="Q305" s="45" t="s">
        <v>23</v>
      </c>
    </row>
    <row r="306" spans="4:17" hidden="1" x14ac:dyDescent="0.4">
      <c r="D306" s="45" t="s">
        <v>173</v>
      </c>
      <c r="E306" s="45" t="s">
        <v>174</v>
      </c>
      <c r="F306" s="45" t="s">
        <v>175</v>
      </c>
      <c r="G306" s="45" t="s">
        <v>176</v>
      </c>
      <c r="H306" s="50" t="s">
        <v>531</v>
      </c>
      <c r="I306" s="49">
        <v>46120</v>
      </c>
      <c r="J306" s="45" t="s">
        <v>530</v>
      </c>
      <c r="K306" s="45" t="s">
        <v>444</v>
      </c>
      <c r="L306" s="48" t="s">
        <v>539</v>
      </c>
      <c r="M306" s="47">
        <v>50</v>
      </c>
      <c r="N306" s="47">
        <v>50</v>
      </c>
      <c r="O306" s="46">
        <v>1</v>
      </c>
      <c r="Q306" s="45" t="s">
        <v>23</v>
      </c>
    </row>
    <row r="307" spans="4:17" hidden="1" x14ac:dyDescent="0.4">
      <c r="D307" s="45" t="s">
        <v>178</v>
      </c>
      <c r="E307" s="45" t="s">
        <v>179</v>
      </c>
      <c r="F307" s="45" t="s">
        <v>180</v>
      </c>
      <c r="G307" s="45" t="s">
        <v>181</v>
      </c>
      <c r="H307" s="50" t="s">
        <v>531</v>
      </c>
      <c r="I307" s="49">
        <v>46120</v>
      </c>
      <c r="J307" s="45" t="s">
        <v>530</v>
      </c>
      <c r="K307" s="45" t="s">
        <v>444</v>
      </c>
      <c r="L307" s="48" t="s">
        <v>538</v>
      </c>
      <c r="M307" s="47">
        <v>35</v>
      </c>
      <c r="N307" s="47">
        <v>50</v>
      </c>
      <c r="O307" s="46">
        <v>0.7</v>
      </c>
      <c r="Q307" s="45" t="s">
        <v>23</v>
      </c>
    </row>
    <row r="308" spans="4:17" hidden="1" x14ac:dyDescent="0.4">
      <c r="D308" s="45" t="s">
        <v>187</v>
      </c>
      <c r="E308" s="45" t="s">
        <v>188</v>
      </c>
      <c r="F308" s="45" t="s">
        <v>189</v>
      </c>
      <c r="G308" s="45" t="s">
        <v>190</v>
      </c>
      <c r="H308" s="50" t="s">
        <v>531</v>
      </c>
      <c r="I308" s="49">
        <v>46120</v>
      </c>
      <c r="J308" s="45" t="s">
        <v>530</v>
      </c>
      <c r="K308" s="45" t="s">
        <v>444</v>
      </c>
      <c r="L308" s="48" t="s">
        <v>537</v>
      </c>
      <c r="M308" s="47">
        <v>13</v>
      </c>
      <c r="N308" s="47">
        <v>50</v>
      </c>
      <c r="O308" s="46">
        <v>0.26</v>
      </c>
      <c r="Q308" s="45" t="s">
        <v>23</v>
      </c>
    </row>
    <row r="309" spans="4:17" hidden="1" x14ac:dyDescent="0.4">
      <c r="D309" s="45" t="s">
        <v>192</v>
      </c>
      <c r="E309" s="45" t="s">
        <v>193</v>
      </c>
      <c r="F309" s="45" t="s">
        <v>194</v>
      </c>
      <c r="G309" s="45" t="s">
        <v>195</v>
      </c>
      <c r="H309" s="50" t="s">
        <v>531</v>
      </c>
      <c r="I309" s="49">
        <v>46120</v>
      </c>
      <c r="J309" s="45" t="s">
        <v>530</v>
      </c>
      <c r="K309" s="45" t="s">
        <v>444</v>
      </c>
      <c r="L309" s="48" t="s">
        <v>536</v>
      </c>
      <c r="M309" s="47">
        <v>50</v>
      </c>
      <c r="N309" s="47">
        <v>50</v>
      </c>
      <c r="O309" s="46">
        <v>1</v>
      </c>
      <c r="Q309" s="45" t="s">
        <v>23</v>
      </c>
    </row>
    <row r="310" spans="4:17" hidden="1" x14ac:dyDescent="0.4">
      <c r="D310" s="45" t="s">
        <v>197</v>
      </c>
      <c r="E310" s="45" t="s">
        <v>198</v>
      </c>
      <c r="F310" s="45" t="s">
        <v>199</v>
      </c>
      <c r="G310" s="45" t="s">
        <v>200</v>
      </c>
      <c r="H310" s="50" t="s">
        <v>531</v>
      </c>
      <c r="I310" s="49">
        <v>46120</v>
      </c>
      <c r="J310" s="45" t="s">
        <v>530</v>
      </c>
      <c r="K310" s="45" t="s">
        <v>444</v>
      </c>
      <c r="L310" s="48" t="s">
        <v>535</v>
      </c>
      <c r="M310" s="47">
        <v>50</v>
      </c>
      <c r="N310" s="47">
        <v>50</v>
      </c>
      <c r="O310" s="46">
        <v>1</v>
      </c>
      <c r="Q310" s="45" t="s">
        <v>23</v>
      </c>
    </row>
    <row r="311" spans="4:17" hidden="1" x14ac:dyDescent="0.4">
      <c r="D311" s="45" t="s">
        <v>201</v>
      </c>
      <c r="E311" s="45" t="s">
        <v>143</v>
      </c>
      <c r="F311" s="45" t="s">
        <v>202</v>
      </c>
      <c r="G311" s="45" t="s">
        <v>203</v>
      </c>
      <c r="H311" s="50" t="s">
        <v>531</v>
      </c>
      <c r="I311" s="49">
        <v>46120</v>
      </c>
      <c r="J311" s="45" t="s">
        <v>530</v>
      </c>
      <c r="K311" s="45" t="s">
        <v>444</v>
      </c>
      <c r="L311" s="48" t="s">
        <v>534</v>
      </c>
      <c r="M311" s="47">
        <v>0</v>
      </c>
      <c r="N311" s="47">
        <v>50</v>
      </c>
      <c r="O311" s="46">
        <v>0</v>
      </c>
      <c r="Q311" s="45" t="s">
        <v>23</v>
      </c>
    </row>
    <row r="312" spans="4:17" hidden="1" x14ac:dyDescent="0.4">
      <c r="D312" s="45" t="s">
        <v>205</v>
      </c>
      <c r="E312" s="45" t="s">
        <v>206</v>
      </c>
      <c r="F312" s="45" t="s">
        <v>207</v>
      </c>
      <c r="G312" s="45" t="s">
        <v>208</v>
      </c>
      <c r="H312" s="50" t="s">
        <v>531</v>
      </c>
      <c r="I312" s="49">
        <v>46120</v>
      </c>
      <c r="J312" s="45" t="s">
        <v>530</v>
      </c>
      <c r="K312" s="45" t="s">
        <v>444</v>
      </c>
      <c r="L312" s="48" t="s">
        <v>533</v>
      </c>
      <c r="M312" s="47">
        <v>13</v>
      </c>
      <c r="N312" s="47">
        <v>50</v>
      </c>
      <c r="O312" s="46">
        <v>0.26</v>
      </c>
      <c r="Q312" s="45" t="s">
        <v>23</v>
      </c>
    </row>
    <row r="313" spans="4:17" hidden="1" x14ac:dyDescent="0.4">
      <c r="D313" s="45" t="s">
        <v>210</v>
      </c>
      <c r="E313" s="45" t="s">
        <v>211</v>
      </c>
      <c r="F313" s="45" t="s">
        <v>212</v>
      </c>
      <c r="G313" s="45" t="s">
        <v>213</v>
      </c>
      <c r="H313" s="50" t="s">
        <v>531</v>
      </c>
      <c r="I313" s="49">
        <v>46120</v>
      </c>
      <c r="J313" s="45" t="s">
        <v>530</v>
      </c>
      <c r="K313" s="45" t="s">
        <v>444</v>
      </c>
      <c r="L313" s="48" t="s">
        <v>532</v>
      </c>
      <c r="M313" s="47">
        <v>50</v>
      </c>
      <c r="N313" s="47">
        <v>50</v>
      </c>
      <c r="O313" s="46">
        <v>1</v>
      </c>
      <c r="Q313" s="45" t="s">
        <v>23</v>
      </c>
    </row>
    <row r="314" spans="4:17" hidden="1" x14ac:dyDescent="0.4">
      <c r="D314" s="45" t="s">
        <v>215</v>
      </c>
      <c r="E314" s="45" t="s">
        <v>216</v>
      </c>
      <c r="F314" s="45" t="s">
        <v>217</v>
      </c>
      <c r="G314" s="45" t="s">
        <v>218</v>
      </c>
      <c r="H314" s="50" t="s">
        <v>531</v>
      </c>
      <c r="I314" s="49">
        <v>46120</v>
      </c>
      <c r="J314" s="45" t="s">
        <v>530</v>
      </c>
      <c r="K314" s="45" t="s">
        <v>444</v>
      </c>
      <c r="L314" s="48" t="s">
        <v>529</v>
      </c>
      <c r="M314" s="47">
        <v>60</v>
      </c>
      <c r="N314" s="47">
        <v>50</v>
      </c>
      <c r="O314" s="46">
        <v>1.2</v>
      </c>
      <c r="Q314" s="45" t="s">
        <v>23</v>
      </c>
    </row>
    <row r="315" spans="4:17" hidden="1" x14ac:dyDescent="0.4">
      <c r="D315" s="45" t="s">
        <v>24</v>
      </c>
      <c r="E315" s="45" t="s">
        <v>25</v>
      </c>
      <c r="F315" s="45" t="s">
        <v>26</v>
      </c>
      <c r="G315" s="45" t="s">
        <v>27</v>
      </c>
      <c r="H315" s="50" t="s">
        <v>504</v>
      </c>
      <c r="I315" s="49">
        <v>46106</v>
      </c>
      <c r="J315" s="45" t="s">
        <v>448</v>
      </c>
      <c r="K315" s="45" t="s">
        <v>444</v>
      </c>
      <c r="L315" s="48" t="s">
        <v>511</v>
      </c>
      <c r="M315" s="47">
        <v>50</v>
      </c>
      <c r="N315" s="47">
        <v>50</v>
      </c>
      <c r="O315" s="46">
        <v>1</v>
      </c>
      <c r="Q315" s="45" t="s">
        <v>23</v>
      </c>
    </row>
    <row r="316" spans="4:17" hidden="1" x14ac:dyDescent="0.4">
      <c r="D316" s="45" t="s">
        <v>31</v>
      </c>
      <c r="E316" s="45" t="s">
        <v>32</v>
      </c>
      <c r="F316" s="45" t="s">
        <v>33</v>
      </c>
      <c r="G316" s="45" t="s">
        <v>34</v>
      </c>
      <c r="H316" s="50" t="s">
        <v>504</v>
      </c>
      <c r="I316" s="49">
        <v>46106</v>
      </c>
      <c r="J316" s="45" t="s">
        <v>448</v>
      </c>
      <c r="K316" s="45" t="s">
        <v>444</v>
      </c>
      <c r="L316" s="48" t="s">
        <v>528</v>
      </c>
      <c r="M316" s="47">
        <v>50</v>
      </c>
      <c r="N316" s="47">
        <v>50</v>
      </c>
      <c r="O316" s="46">
        <v>1</v>
      </c>
      <c r="Q316" s="45" t="s">
        <v>23</v>
      </c>
    </row>
    <row r="317" spans="4:17" hidden="1" x14ac:dyDescent="0.4">
      <c r="D317" s="45" t="s">
        <v>36</v>
      </c>
      <c r="E317" s="45" t="s">
        <v>37</v>
      </c>
      <c r="F317" s="45" t="s">
        <v>38</v>
      </c>
      <c r="G317" s="45" t="s">
        <v>39</v>
      </c>
      <c r="H317" s="50" t="s">
        <v>504</v>
      </c>
      <c r="I317" s="49">
        <v>46106</v>
      </c>
      <c r="J317" s="45" t="s">
        <v>448</v>
      </c>
      <c r="K317" s="45" t="s">
        <v>444</v>
      </c>
      <c r="L317" s="48" t="s">
        <v>523</v>
      </c>
      <c r="M317" s="47">
        <v>50</v>
      </c>
      <c r="N317" s="47">
        <v>50</v>
      </c>
      <c r="O317" s="46">
        <v>1</v>
      </c>
      <c r="Q317" s="45" t="s">
        <v>23</v>
      </c>
    </row>
    <row r="318" spans="4:17" hidden="1" x14ac:dyDescent="0.4">
      <c r="D318" s="45" t="s">
        <v>41</v>
      </c>
      <c r="E318" s="45" t="s">
        <v>42</v>
      </c>
      <c r="F318" s="45" t="s">
        <v>43</v>
      </c>
      <c r="G318" s="45" t="s">
        <v>44</v>
      </c>
      <c r="H318" s="50" t="s">
        <v>504</v>
      </c>
      <c r="I318" s="49">
        <v>46106</v>
      </c>
      <c r="J318" s="45" t="s">
        <v>448</v>
      </c>
      <c r="K318" s="45" t="s">
        <v>444</v>
      </c>
      <c r="L318" s="48" t="s">
        <v>527</v>
      </c>
      <c r="M318" s="47">
        <v>50</v>
      </c>
      <c r="N318" s="47">
        <v>50</v>
      </c>
      <c r="O318" s="46">
        <v>1</v>
      </c>
      <c r="Q318" s="45" t="s">
        <v>23</v>
      </c>
    </row>
    <row r="319" spans="4:17" hidden="1" x14ac:dyDescent="0.4">
      <c r="D319" s="45" t="s">
        <v>46</v>
      </c>
      <c r="E319" s="45" t="s">
        <v>47</v>
      </c>
      <c r="F319" s="45" t="s">
        <v>48</v>
      </c>
      <c r="G319" s="45" t="s">
        <v>49</v>
      </c>
      <c r="H319" s="50" t="s">
        <v>504</v>
      </c>
      <c r="I319" s="49">
        <v>46106</v>
      </c>
      <c r="J319" s="45" t="s">
        <v>448</v>
      </c>
      <c r="K319" s="45" t="s">
        <v>444</v>
      </c>
      <c r="L319" s="48" t="s">
        <v>526</v>
      </c>
      <c r="M319" s="47">
        <v>0</v>
      </c>
      <c r="N319" s="47">
        <v>50</v>
      </c>
      <c r="O319" s="46">
        <v>0</v>
      </c>
      <c r="Q319" s="45" t="s">
        <v>23</v>
      </c>
    </row>
    <row r="320" spans="4:17" hidden="1" x14ac:dyDescent="0.4">
      <c r="D320" s="45" t="s">
        <v>51</v>
      </c>
      <c r="E320" s="45" t="s">
        <v>52</v>
      </c>
      <c r="F320" s="45" t="s">
        <v>53</v>
      </c>
      <c r="G320" s="45" t="s">
        <v>54</v>
      </c>
      <c r="H320" s="50" t="s">
        <v>504</v>
      </c>
      <c r="I320" s="49">
        <v>46106</v>
      </c>
      <c r="J320" s="45" t="s">
        <v>448</v>
      </c>
      <c r="K320" s="45" t="s">
        <v>444</v>
      </c>
      <c r="L320" s="48" t="s">
        <v>525</v>
      </c>
      <c r="M320" s="47">
        <v>0</v>
      </c>
      <c r="N320" s="47">
        <v>50</v>
      </c>
      <c r="O320" s="46">
        <v>0</v>
      </c>
      <c r="Q320" s="45" t="s">
        <v>23</v>
      </c>
    </row>
    <row r="321" spans="4:17" hidden="1" x14ac:dyDescent="0.4">
      <c r="D321" s="45" t="s">
        <v>56</v>
      </c>
      <c r="E321" s="45" t="s">
        <v>52</v>
      </c>
      <c r="F321" s="45" t="s">
        <v>57</v>
      </c>
      <c r="G321" s="45" t="s">
        <v>58</v>
      </c>
      <c r="H321" s="50" t="s">
        <v>504</v>
      </c>
      <c r="I321" s="49">
        <v>46106</v>
      </c>
      <c r="J321" s="45" t="s">
        <v>448</v>
      </c>
      <c r="K321" s="45" t="s">
        <v>444</v>
      </c>
      <c r="L321" s="48" t="s">
        <v>516</v>
      </c>
      <c r="M321" s="47">
        <v>50</v>
      </c>
      <c r="N321" s="47">
        <v>50</v>
      </c>
      <c r="O321" s="46">
        <v>1</v>
      </c>
      <c r="Q321" s="45" t="s">
        <v>23</v>
      </c>
    </row>
    <row r="322" spans="4:17" hidden="1" x14ac:dyDescent="0.4">
      <c r="D322" s="45" t="s">
        <v>60</v>
      </c>
      <c r="E322" s="45" t="s">
        <v>61</v>
      </c>
      <c r="F322" s="45" t="s">
        <v>62</v>
      </c>
      <c r="G322" s="45" t="s">
        <v>63</v>
      </c>
      <c r="H322" s="50" t="s">
        <v>504</v>
      </c>
      <c r="I322" s="49">
        <v>46106</v>
      </c>
      <c r="J322" s="45" t="s">
        <v>448</v>
      </c>
      <c r="K322" s="45" t="s">
        <v>444</v>
      </c>
      <c r="L322" s="48" t="s">
        <v>511</v>
      </c>
      <c r="M322" s="47">
        <v>50</v>
      </c>
      <c r="N322" s="47">
        <v>50</v>
      </c>
      <c r="O322" s="46">
        <v>1</v>
      </c>
      <c r="Q322" s="45" t="s">
        <v>23</v>
      </c>
    </row>
    <row r="323" spans="4:17" hidden="1" x14ac:dyDescent="0.4">
      <c r="D323" s="45" t="s">
        <v>65</v>
      </c>
      <c r="E323" s="45" t="s">
        <v>66</v>
      </c>
      <c r="F323" s="45" t="s">
        <v>67</v>
      </c>
      <c r="G323" s="45" t="s">
        <v>68</v>
      </c>
      <c r="H323" s="50" t="s">
        <v>504</v>
      </c>
      <c r="I323" s="49">
        <v>46106</v>
      </c>
      <c r="J323" s="45" t="s">
        <v>448</v>
      </c>
      <c r="K323" s="45" t="s">
        <v>444</v>
      </c>
      <c r="L323" s="48" t="s">
        <v>524</v>
      </c>
      <c r="M323" s="47">
        <v>50</v>
      </c>
      <c r="N323" s="47">
        <v>50</v>
      </c>
      <c r="O323" s="46">
        <v>1</v>
      </c>
      <c r="Q323" s="45" t="s">
        <v>23</v>
      </c>
    </row>
    <row r="324" spans="4:17" hidden="1" x14ac:dyDescent="0.4">
      <c r="D324" s="45" t="s">
        <v>70</v>
      </c>
      <c r="E324" s="45" t="s">
        <v>71</v>
      </c>
      <c r="F324" s="45" t="s">
        <v>72</v>
      </c>
      <c r="G324" s="45" t="s">
        <v>73</v>
      </c>
      <c r="H324" s="50" t="s">
        <v>504</v>
      </c>
      <c r="I324" s="49">
        <v>46106</v>
      </c>
      <c r="J324" s="45" t="s">
        <v>448</v>
      </c>
      <c r="K324" s="45" t="s">
        <v>444</v>
      </c>
      <c r="L324" s="48" t="s">
        <v>524</v>
      </c>
      <c r="M324" s="47">
        <v>50</v>
      </c>
      <c r="N324" s="47">
        <v>50</v>
      </c>
      <c r="O324" s="46">
        <v>1</v>
      </c>
      <c r="Q324" s="45" t="s">
        <v>23</v>
      </c>
    </row>
    <row r="325" spans="4:17" hidden="1" x14ac:dyDescent="0.4">
      <c r="D325" s="45" t="s">
        <v>75</v>
      </c>
      <c r="E325" s="45" t="s">
        <v>76</v>
      </c>
      <c r="F325" s="45" t="s">
        <v>77</v>
      </c>
      <c r="G325" s="45" t="s">
        <v>78</v>
      </c>
      <c r="H325" s="50" t="s">
        <v>504</v>
      </c>
      <c r="I325" s="49">
        <v>46106</v>
      </c>
      <c r="J325" s="45" t="s">
        <v>448</v>
      </c>
      <c r="K325" s="45" t="s">
        <v>444</v>
      </c>
      <c r="L325" s="48" t="s">
        <v>514</v>
      </c>
      <c r="M325" s="47">
        <v>50</v>
      </c>
      <c r="N325" s="47">
        <v>50</v>
      </c>
      <c r="O325" s="46">
        <v>1</v>
      </c>
      <c r="Q325" s="45" t="s">
        <v>23</v>
      </c>
    </row>
    <row r="326" spans="4:17" hidden="1" x14ac:dyDescent="0.4">
      <c r="D326" s="45" t="s">
        <v>80</v>
      </c>
      <c r="E326" s="45" t="s">
        <v>81</v>
      </c>
      <c r="F326" s="45" t="s">
        <v>82</v>
      </c>
      <c r="G326" s="45" t="s">
        <v>83</v>
      </c>
      <c r="H326" s="50" t="s">
        <v>504</v>
      </c>
      <c r="I326" s="49">
        <v>46106</v>
      </c>
      <c r="J326" s="45" t="s">
        <v>448</v>
      </c>
      <c r="K326" s="45" t="s">
        <v>444</v>
      </c>
      <c r="L326" s="48" t="s">
        <v>523</v>
      </c>
      <c r="M326" s="47">
        <v>50</v>
      </c>
      <c r="N326" s="47">
        <v>50</v>
      </c>
      <c r="O326" s="46">
        <v>1</v>
      </c>
      <c r="Q326" s="45" t="s">
        <v>23</v>
      </c>
    </row>
    <row r="327" spans="4:17" hidden="1" x14ac:dyDescent="0.4">
      <c r="D327" s="45" t="s">
        <v>85</v>
      </c>
      <c r="E327" s="45" t="s">
        <v>86</v>
      </c>
      <c r="F327" s="45" t="s">
        <v>87</v>
      </c>
      <c r="G327" s="45" t="s">
        <v>88</v>
      </c>
      <c r="H327" s="50" t="s">
        <v>504</v>
      </c>
      <c r="I327" s="49">
        <v>46106</v>
      </c>
      <c r="J327" s="45" t="s">
        <v>448</v>
      </c>
      <c r="K327" s="45" t="s">
        <v>444</v>
      </c>
      <c r="L327" s="48" t="s">
        <v>523</v>
      </c>
      <c r="M327" s="47">
        <v>50</v>
      </c>
      <c r="N327" s="47">
        <v>50</v>
      </c>
      <c r="O327" s="46">
        <v>1</v>
      </c>
      <c r="Q327" s="45" t="s">
        <v>23</v>
      </c>
    </row>
    <row r="328" spans="4:17" hidden="1" x14ac:dyDescent="0.4">
      <c r="D328" s="45" t="s">
        <v>89</v>
      </c>
      <c r="E328" s="45" t="s">
        <v>90</v>
      </c>
      <c r="F328" s="45" t="s">
        <v>91</v>
      </c>
      <c r="G328" s="45" t="s">
        <v>92</v>
      </c>
      <c r="H328" s="50" t="s">
        <v>504</v>
      </c>
      <c r="I328" s="49">
        <v>46106</v>
      </c>
      <c r="J328" s="45" t="s">
        <v>448</v>
      </c>
      <c r="K328" s="45" t="s">
        <v>444</v>
      </c>
      <c r="L328" s="48" t="s">
        <v>522</v>
      </c>
      <c r="M328" s="47">
        <v>50</v>
      </c>
      <c r="N328" s="47">
        <v>50</v>
      </c>
      <c r="O328" s="46">
        <v>1</v>
      </c>
      <c r="Q328" s="45" t="s">
        <v>23</v>
      </c>
    </row>
    <row r="329" spans="4:17" hidden="1" x14ac:dyDescent="0.4">
      <c r="D329" s="45" t="s">
        <v>94</v>
      </c>
      <c r="E329" s="45" t="s">
        <v>95</v>
      </c>
      <c r="F329" s="45" t="s">
        <v>96</v>
      </c>
      <c r="G329" s="45" t="s">
        <v>97</v>
      </c>
      <c r="H329" s="50" t="s">
        <v>504</v>
      </c>
      <c r="I329" s="49">
        <v>46106</v>
      </c>
      <c r="J329" s="45" t="s">
        <v>448</v>
      </c>
      <c r="K329" s="45" t="s">
        <v>444</v>
      </c>
      <c r="L329" s="48" t="s">
        <v>521</v>
      </c>
      <c r="M329" s="47">
        <v>50</v>
      </c>
      <c r="N329" s="47">
        <v>50</v>
      </c>
      <c r="O329" s="46">
        <v>1</v>
      </c>
      <c r="Q329" s="45" t="s">
        <v>23</v>
      </c>
    </row>
    <row r="330" spans="4:17" hidden="1" x14ac:dyDescent="0.4">
      <c r="D330" s="45" t="s">
        <v>99</v>
      </c>
      <c r="E330" s="45" t="s">
        <v>100</v>
      </c>
      <c r="F330" s="45" t="s">
        <v>101</v>
      </c>
      <c r="G330" s="45" t="s">
        <v>102</v>
      </c>
      <c r="H330" s="50" t="s">
        <v>504</v>
      </c>
      <c r="I330" s="49">
        <v>46106</v>
      </c>
      <c r="J330" s="45" t="s">
        <v>448</v>
      </c>
      <c r="K330" s="45" t="s">
        <v>444</v>
      </c>
      <c r="L330" s="48" t="s">
        <v>516</v>
      </c>
      <c r="M330" s="47">
        <v>50</v>
      </c>
      <c r="N330" s="47">
        <v>50</v>
      </c>
      <c r="O330" s="46">
        <v>1</v>
      </c>
      <c r="Q330" s="45" t="s">
        <v>23</v>
      </c>
    </row>
    <row r="331" spans="4:17" hidden="1" x14ac:dyDescent="0.4">
      <c r="D331" s="45" t="s">
        <v>104</v>
      </c>
      <c r="E331" s="45" t="s">
        <v>86</v>
      </c>
      <c r="F331" s="45" t="s">
        <v>105</v>
      </c>
      <c r="G331" s="45" t="s">
        <v>106</v>
      </c>
      <c r="H331" s="50" t="s">
        <v>504</v>
      </c>
      <c r="I331" s="49">
        <v>46106</v>
      </c>
      <c r="J331" s="45" t="s">
        <v>448</v>
      </c>
      <c r="K331" s="45" t="s">
        <v>444</v>
      </c>
      <c r="L331" s="48" t="s">
        <v>520</v>
      </c>
      <c r="M331" s="47">
        <v>45</v>
      </c>
      <c r="N331" s="47">
        <v>50</v>
      </c>
      <c r="O331" s="46">
        <v>0.9</v>
      </c>
      <c r="Q331" s="45" t="s">
        <v>23</v>
      </c>
    </row>
    <row r="332" spans="4:17" hidden="1" x14ac:dyDescent="0.4">
      <c r="D332" s="45" t="s">
        <v>107</v>
      </c>
      <c r="E332" s="45" t="s">
        <v>108</v>
      </c>
      <c r="F332" s="45" t="s">
        <v>109</v>
      </c>
      <c r="G332" s="45" t="s">
        <v>110</v>
      </c>
      <c r="H332" s="50" t="s">
        <v>504</v>
      </c>
      <c r="I332" s="49">
        <v>46106</v>
      </c>
      <c r="J332" s="45" t="s">
        <v>448</v>
      </c>
      <c r="K332" s="45" t="s">
        <v>444</v>
      </c>
      <c r="L332" s="48" t="s">
        <v>519</v>
      </c>
      <c r="M332" s="47">
        <v>50</v>
      </c>
      <c r="N332" s="47">
        <v>50</v>
      </c>
      <c r="O332" s="46">
        <v>1</v>
      </c>
      <c r="Q332" s="45" t="s">
        <v>23</v>
      </c>
    </row>
    <row r="333" spans="4:17" hidden="1" x14ac:dyDescent="0.4">
      <c r="D333" s="45" t="s">
        <v>112</v>
      </c>
      <c r="E333" s="45" t="s">
        <v>113</v>
      </c>
      <c r="F333" s="45" t="s">
        <v>114</v>
      </c>
      <c r="G333" s="45" t="s">
        <v>115</v>
      </c>
      <c r="H333" s="50" t="s">
        <v>504</v>
      </c>
      <c r="I333" s="49">
        <v>46106</v>
      </c>
      <c r="J333" s="45" t="s">
        <v>448</v>
      </c>
      <c r="K333" s="45" t="s">
        <v>444</v>
      </c>
      <c r="L333" s="48" t="s">
        <v>518</v>
      </c>
      <c r="M333" s="47">
        <v>46</v>
      </c>
      <c r="N333" s="47">
        <v>50</v>
      </c>
      <c r="O333" s="46">
        <v>0.92</v>
      </c>
      <c r="Q333" s="45" t="s">
        <v>23</v>
      </c>
    </row>
    <row r="334" spans="4:17" hidden="1" x14ac:dyDescent="0.4">
      <c r="D334" s="45" t="s">
        <v>117</v>
      </c>
      <c r="E334" s="45" t="s">
        <v>118</v>
      </c>
      <c r="F334" s="45" t="s">
        <v>119</v>
      </c>
      <c r="G334" s="45" t="s">
        <v>120</v>
      </c>
      <c r="H334" s="50" t="s">
        <v>504</v>
      </c>
      <c r="I334" s="49">
        <v>46106</v>
      </c>
      <c r="J334" s="45" t="s">
        <v>448</v>
      </c>
      <c r="K334" s="45" t="s">
        <v>444</v>
      </c>
      <c r="L334" s="48" t="s">
        <v>517</v>
      </c>
      <c r="M334" s="47">
        <v>0</v>
      </c>
      <c r="N334" s="47">
        <v>50</v>
      </c>
      <c r="O334" s="46">
        <v>0</v>
      </c>
      <c r="Q334" s="45" t="s">
        <v>23</v>
      </c>
    </row>
    <row r="335" spans="4:17" hidden="1" x14ac:dyDescent="0.4">
      <c r="D335" s="45" t="s">
        <v>122</v>
      </c>
      <c r="E335" s="45" t="s">
        <v>123</v>
      </c>
      <c r="F335" s="45" t="s">
        <v>124</v>
      </c>
      <c r="G335" s="45" t="s">
        <v>125</v>
      </c>
      <c r="H335" s="50" t="s">
        <v>504</v>
      </c>
      <c r="I335" s="49">
        <v>46106</v>
      </c>
      <c r="J335" s="45" t="s">
        <v>448</v>
      </c>
      <c r="K335" s="45" t="s">
        <v>444</v>
      </c>
      <c r="L335" s="48" t="s">
        <v>516</v>
      </c>
      <c r="M335" s="47">
        <v>50</v>
      </c>
      <c r="N335" s="47">
        <v>50</v>
      </c>
      <c r="O335" s="46">
        <v>1</v>
      </c>
      <c r="Q335" s="45" t="s">
        <v>23</v>
      </c>
    </row>
    <row r="336" spans="4:17" hidden="1" x14ac:dyDescent="0.4">
      <c r="D336" s="45" t="s">
        <v>127</v>
      </c>
      <c r="E336" s="45" t="s">
        <v>128</v>
      </c>
      <c r="F336" s="45" t="s">
        <v>129</v>
      </c>
      <c r="G336" s="45" t="s">
        <v>130</v>
      </c>
      <c r="H336" s="50" t="s">
        <v>504</v>
      </c>
      <c r="I336" s="49">
        <v>46106</v>
      </c>
      <c r="J336" s="45" t="s">
        <v>448</v>
      </c>
      <c r="K336" s="45" t="s">
        <v>444</v>
      </c>
      <c r="L336" s="48" t="s">
        <v>515</v>
      </c>
      <c r="M336" s="47">
        <v>50</v>
      </c>
      <c r="N336" s="47">
        <v>50</v>
      </c>
      <c r="O336" s="46">
        <v>1</v>
      </c>
      <c r="Q336" s="45" t="s">
        <v>23</v>
      </c>
    </row>
    <row r="337" spans="4:17" hidden="1" x14ac:dyDescent="0.4">
      <c r="D337" s="45" t="s">
        <v>132</v>
      </c>
      <c r="E337" s="45" t="s">
        <v>133</v>
      </c>
      <c r="F337" s="45" t="s">
        <v>134</v>
      </c>
      <c r="G337" s="45" t="s">
        <v>135</v>
      </c>
      <c r="H337" s="50" t="s">
        <v>504</v>
      </c>
      <c r="I337" s="49">
        <v>46106</v>
      </c>
      <c r="J337" s="45" t="s">
        <v>448</v>
      </c>
      <c r="K337" s="45" t="s">
        <v>444</v>
      </c>
      <c r="L337" s="48" t="s">
        <v>514</v>
      </c>
      <c r="M337" s="47">
        <v>50</v>
      </c>
      <c r="N337" s="47">
        <v>50</v>
      </c>
      <c r="O337" s="46">
        <v>1</v>
      </c>
      <c r="Q337" s="45" t="s">
        <v>23</v>
      </c>
    </row>
    <row r="338" spans="4:17" hidden="1" x14ac:dyDescent="0.4">
      <c r="D338" s="45" t="s">
        <v>137</v>
      </c>
      <c r="E338" s="45" t="s">
        <v>138</v>
      </c>
      <c r="F338" s="45" t="s">
        <v>139</v>
      </c>
      <c r="G338" s="45" t="s">
        <v>140</v>
      </c>
      <c r="H338" s="50" t="s">
        <v>504</v>
      </c>
      <c r="I338" s="49">
        <v>46106</v>
      </c>
      <c r="J338" s="45" t="s">
        <v>448</v>
      </c>
      <c r="K338" s="45" t="s">
        <v>444</v>
      </c>
      <c r="L338" s="48" t="s">
        <v>505</v>
      </c>
      <c r="M338" s="47">
        <v>50</v>
      </c>
      <c r="N338" s="47">
        <v>50</v>
      </c>
      <c r="O338" s="46">
        <v>1</v>
      </c>
      <c r="Q338" s="45" t="s">
        <v>23</v>
      </c>
    </row>
    <row r="339" spans="4:17" hidden="1" x14ac:dyDescent="0.4">
      <c r="D339" s="45" t="s">
        <v>142</v>
      </c>
      <c r="E339" s="45" t="s">
        <v>143</v>
      </c>
      <c r="F339" s="45" t="s">
        <v>144</v>
      </c>
      <c r="G339" s="45" t="s">
        <v>145</v>
      </c>
      <c r="H339" s="50" t="s">
        <v>504</v>
      </c>
      <c r="I339" s="49">
        <v>46106</v>
      </c>
      <c r="J339" s="45" t="s">
        <v>448</v>
      </c>
      <c r="K339" s="45" t="s">
        <v>444</v>
      </c>
      <c r="L339" s="48" t="s">
        <v>505</v>
      </c>
      <c r="M339" s="47">
        <v>50</v>
      </c>
      <c r="N339" s="47">
        <v>50</v>
      </c>
      <c r="O339" s="46">
        <v>1</v>
      </c>
      <c r="Q339" s="45" t="s">
        <v>23</v>
      </c>
    </row>
    <row r="340" spans="4:17" hidden="1" x14ac:dyDescent="0.4">
      <c r="D340" s="45" t="s">
        <v>147</v>
      </c>
      <c r="E340" s="45" t="s">
        <v>148</v>
      </c>
      <c r="F340" s="45" t="s">
        <v>149</v>
      </c>
      <c r="G340" s="45" t="s">
        <v>150</v>
      </c>
      <c r="H340" s="50" t="s">
        <v>504</v>
      </c>
      <c r="I340" s="49">
        <v>46106</v>
      </c>
      <c r="J340" s="45" t="s">
        <v>448</v>
      </c>
      <c r="K340" s="45" t="s">
        <v>444</v>
      </c>
      <c r="L340" s="48" t="s">
        <v>510</v>
      </c>
      <c r="M340" s="47">
        <v>45</v>
      </c>
      <c r="N340" s="47">
        <v>50</v>
      </c>
      <c r="O340" s="46">
        <v>0.9</v>
      </c>
      <c r="Q340" s="45" t="s">
        <v>23</v>
      </c>
    </row>
    <row r="341" spans="4:17" hidden="1" x14ac:dyDescent="0.4">
      <c r="D341" s="45" t="s">
        <v>152</v>
      </c>
      <c r="E341" s="45" t="s">
        <v>66</v>
      </c>
      <c r="F341" s="45" t="s">
        <v>153</v>
      </c>
      <c r="G341" s="45" t="s">
        <v>154</v>
      </c>
      <c r="H341" s="50" t="s">
        <v>504</v>
      </c>
      <c r="I341" s="49">
        <v>46106</v>
      </c>
      <c r="J341" s="45" t="s">
        <v>448</v>
      </c>
      <c r="K341" s="45" t="s">
        <v>444</v>
      </c>
      <c r="L341" s="48" t="s">
        <v>512</v>
      </c>
      <c r="M341" s="47">
        <v>0</v>
      </c>
      <c r="N341" s="47">
        <v>50</v>
      </c>
      <c r="O341" s="46">
        <v>0</v>
      </c>
      <c r="Q341" s="45" t="s">
        <v>23</v>
      </c>
    </row>
    <row r="342" spans="4:17" hidden="1" x14ac:dyDescent="0.4">
      <c r="D342" s="45" t="s">
        <v>160</v>
      </c>
      <c r="E342" s="45" t="s">
        <v>81</v>
      </c>
      <c r="F342" s="45" t="s">
        <v>161</v>
      </c>
      <c r="G342" s="45" t="s">
        <v>162</v>
      </c>
      <c r="H342" s="50" t="s">
        <v>504</v>
      </c>
      <c r="I342" s="49">
        <v>46106</v>
      </c>
      <c r="J342" s="45" t="s">
        <v>448</v>
      </c>
      <c r="K342" s="45" t="s">
        <v>444</v>
      </c>
      <c r="L342" s="48" t="s">
        <v>508</v>
      </c>
      <c r="M342" s="47">
        <v>50</v>
      </c>
      <c r="N342" s="47">
        <v>50</v>
      </c>
      <c r="O342" s="46">
        <v>1</v>
      </c>
      <c r="Q342" s="45" t="s">
        <v>23</v>
      </c>
    </row>
    <row r="343" spans="4:17" hidden="1" x14ac:dyDescent="0.4">
      <c r="D343" s="45" t="s">
        <v>163</v>
      </c>
      <c r="E343" s="45" t="s">
        <v>164</v>
      </c>
      <c r="F343" s="45" t="s">
        <v>165</v>
      </c>
      <c r="G343" s="45" t="s">
        <v>166</v>
      </c>
      <c r="H343" s="50" t="s">
        <v>504</v>
      </c>
      <c r="I343" s="49">
        <v>46106</v>
      </c>
      <c r="J343" s="45" t="s">
        <v>448</v>
      </c>
      <c r="K343" s="45" t="s">
        <v>444</v>
      </c>
      <c r="L343" s="48" t="s">
        <v>513</v>
      </c>
      <c r="M343" s="47">
        <v>50</v>
      </c>
      <c r="N343" s="47">
        <v>50</v>
      </c>
      <c r="O343" s="46">
        <v>1</v>
      </c>
      <c r="Q343" s="45" t="s">
        <v>23</v>
      </c>
    </row>
    <row r="344" spans="4:17" hidden="1" x14ac:dyDescent="0.4">
      <c r="D344" s="45" t="s">
        <v>168</v>
      </c>
      <c r="E344" s="45" t="s">
        <v>169</v>
      </c>
      <c r="F344" s="45" t="s">
        <v>170</v>
      </c>
      <c r="G344" s="45" t="s">
        <v>171</v>
      </c>
      <c r="H344" s="50" t="s">
        <v>504</v>
      </c>
      <c r="I344" s="49">
        <v>46106</v>
      </c>
      <c r="J344" s="45" t="s">
        <v>448</v>
      </c>
      <c r="K344" s="45" t="s">
        <v>444</v>
      </c>
      <c r="L344" s="48" t="s">
        <v>512</v>
      </c>
      <c r="M344" s="47">
        <v>0</v>
      </c>
      <c r="N344" s="47">
        <v>50</v>
      </c>
      <c r="O344" s="46">
        <v>0</v>
      </c>
      <c r="Q344" s="45" t="s">
        <v>23</v>
      </c>
    </row>
    <row r="345" spans="4:17" hidden="1" x14ac:dyDescent="0.4">
      <c r="D345" s="45" t="s">
        <v>173</v>
      </c>
      <c r="E345" s="45" t="s">
        <v>174</v>
      </c>
      <c r="F345" s="45" t="s">
        <v>175</v>
      </c>
      <c r="G345" s="45" t="s">
        <v>176</v>
      </c>
      <c r="H345" s="50" t="s">
        <v>504</v>
      </c>
      <c r="I345" s="49">
        <v>46106</v>
      </c>
      <c r="J345" s="45" t="s">
        <v>448</v>
      </c>
      <c r="K345" s="45" t="s">
        <v>444</v>
      </c>
      <c r="L345" s="48" t="s">
        <v>511</v>
      </c>
      <c r="M345" s="47">
        <v>50</v>
      </c>
      <c r="N345" s="47">
        <v>50</v>
      </c>
      <c r="O345" s="46">
        <v>1</v>
      </c>
      <c r="Q345" s="45" t="s">
        <v>23</v>
      </c>
    </row>
    <row r="346" spans="4:17" hidden="1" x14ac:dyDescent="0.4">
      <c r="D346" s="45" t="s">
        <v>178</v>
      </c>
      <c r="E346" s="45" t="s">
        <v>179</v>
      </c>
      <c r="F346" s="45" t="s">
        <v>180</v>
      </c>
      <c r="G346" s="45" t="s">
        <v>181</v>
      </c>
      <c r="H346" s="50" t="s">
        <v>504</v>
      </c>
      <c r="I346" s="49">
        <v>46106</v>
      </c>
      <c r="J346" s="45" t="s">
        <v>448</v>
      </c>
      <c r="K346" s="45" t="s">
        <v>444</v>
      </c>
      <c r="L346" s="48" t="s">
        <v>510</v>
      </c>
      <c r="M346" s="47">
        <v>45</v>
      </c>
      <c r="N346" s="47">
        <v>50</v>
      </c>
      <c r="O346" s="46">
        <v>0.9</v>
      </c>
      <c r="Q346" s="45" t="s">
        <v>23</v>
      </c>
    </row>
    <row r="347" spans="4:17" hidden="1" x14ac:dyDescent="0.4">
      <c r="D347" s="45" t="s">
        <v>187</v>
      </c>
      <c r="E347" s="45" t="s">
        <v>188</v>
      </c>
      <c r="F347" s="45" t="s">
        <v>189</v>
      </c>
      <c r="G347" s="45" t="s">
        <v>190</v>
      </c>
      <c r="H347" s="50" t="s">
        <v>504</v>
      </c>
      <c r="I347" s="49">
        <v>46106</v>
      </c>
      <c r="J347" s="45" t="s">
        <v>448</v>
      </c>
      <c r="K347" s="45" t="s">
        <v>444</v>
      </c>
      <c r="L347" s="48" t="s">
        <v>506</v>
      </c>
      <c r="M347" s="47">
        <v>50</v>
      </c>
      <c r="N347" s="47">
        <v>50</v>
      </c>
      <c r="O347" s="46">
        <v>1</v>
      </c>
      <c r="Q347" s="45" t="s">
        <v>23</v>
      </c>
    </row>
    <row r="348" spans="4:17" hidden="1" x14ac:dyDescent="0.4">
      <c r="D348" s="45" t="s">
        <v>192</v>
      </c>
      <c r="E348" s="45" t="s">
        <v>193</v>
      </c>
      <c r="F348" s="45" t="s">
        <v>194</v>
      </c>
      <c r="G348" s="45" t="s">
        <v>195</v>
      </c>
      <c r="H348" s="50" t="s">
        <v>504</v>
      </c>
      <c r="I348" s="49">
        <v>46106</v>
      </c>
      <c r="J348" s="45" t="s">
        <v>448</v>
      </c>
      <c r="K348" s="45" t="s">
        <v>444</v>
      </c>
      <c r="L348" s="48" t="s">
        <v>509</v>
      </c>
      <c r="M348" s="47">
        <v>50</v>
      </c>
      <c r="N348" s="47">
        <v>50</v>
      </c>
      <c r="O348" s="46">
        <v>1</v>
      </c>
      <c r="Q348" s="45" t="s">
        <v>23</v>
      </c>
    </row>
    <row r="349" spans="4:17" hidden="1" x14ac:dyDescent="0.4">
      <c r="D349" s="45" t="s">
        <v>197</v>
      </c>
      <c r="E349" s="45" t="s">
        <v>198</v>
      </c>
      <c r="F349" s="45" t="s">
        <v>199</v>
      </c>
      <c r="G349" s="45" t="s">
        <v>200</v>
      </c>
      <c r="H349" s="50" t="s">
        <v>504</v>
      </c>
      <c r="I349" s="49">
        <v>46106</v>
      </c>
      <c r="J349" s="45" t="s">
        <v>448</v>
      </c>
      <c r="K349" s="45" t="s">
        <v>444</v>
      </c>
      <c r="L349" s="48" t="s">
        <v>508</v>
      </c>
      <c r="M349" s="47">
        <v>50</v>
      </c>
      <c r="N349" s="47">
        <v>50</v>
      </c>
      <c r="O349" s="46">
        <v>1</v>
      </c>
      <c r="Q349" s="45" t="s">
        <v>23</v>
      </c>
    </row>
    <row r="350" spans="4:17" hidden="1" x14ac:dyDescent="0.4">
      <c r="D350" s="45" t="s">
        <v>201</v>
      </c>
      <c r="E350" s="45" t="s">
        <v>143</v>
      </c>
      <c r="F350" s="45" t="s">
        <v>202</v>
      </c>
      <c r="G350" s="45" t="s">
        <v>203</v>
      </c>
      <c r="H350" s="50" t="s">
        <v>504</v>
      </c>
      <c r="I350" s="49">
        <v>46106</v>
      </c>
      <c r="J350" s="45" t="s">
        <v>448</v>
      </c>
      <c r="K350" s="45" t="s">
        <v>444</v>
      </c>
      <c r="L350" s="48" t="s">
        <v>507</v>
      </c>
      <c r="M350" s="47">
        <v>0</v>
      </c>
      <c r="N350" s="47">
        <v>50</v>
      </c>
      <c r="O350" s="46">
        <v>0</v>
      </c>
      <c r="Q350" s="45" t="s">
        <v>23</v>
      </c>
    </row>
    <row r="351" spans="4:17" hidden="1" x14ac:dyDescent="0.4">
      <c r="D351" s="45" t="s">
        <v>205</v>
      </c>
      <c r="E351" s="45" t="s">
        <v>206</v>
      </c>
      <c r="F351" s="45" t="s">
        <v>207</v>
      </c>
      <c r="G351" s="45" t="s">
        <v>208</v>
      </c>
      <c r="H351" s="50" t="s">
        <v>504</v>
      </c>
      <c r="I351" s="49">
        <v>46106</v>
      </c>
      <c r="J351" s="45" t="s">
        <v>448</v>
      </c>
      <c r="K351" s="45" t="s">
        <v>444</v>
      </c>
      <c r="L351" s="48" t="s">
        <v>506</v>
      </c>
      <c r="M351" s="47">
        <v>50</v>
      </c>
      <c r="N351" s="47">
        <v>50</v>
      </c>
      <c r="O351" s="46">
        <v>1</v>
      </c>
      <c r="Q351" s="45" t="s">
        <v>23</v>
      </c>
    </row>
    <row r="352" spans="4:17" hidden="1" x14ac:dyDescent="0.4">
      <c r="D352" s="45" t="s">
        <v>210</v>
      </c>
      <c r="E352" s="45" t="s">
        <v>211</v>
      </c>
      <c r="F352" s="45" t="s">
        <v>212</v>
      </c>
      <c r="G352" s="45" t="s">
        <v>213</v>
      </c>
      <c r="H352" s="50" t="s">
        <v>504</v>
      </c>
      <c r="I352" s="49">
        <v>46106</v>
      </c>
      <c r="J352" s="45" t="s">
        <v>448</v>
      </c>
      <c r="K352" s="45" t="s">
        <v>444</v>
      </c>
      <c r="L352" s="48" t="s">
        <v>505</v>
      </c>
      <c r="M352" s="47">
        <v>50</v>
      </c>
      <c r="N352" s="47">
        <v>50</v>
      </c>
      <c r="O352" s="46">
        <v>1</v>
      </c>
      <c r="Q352" s="45" t="s">
        <v>23</v>
      </c>
    </row>
    <row r="353" spans="4:17" hidden="1" x14ac:dyDescent="0.4">
      <c r="D353" s="45" t="s">
        <v>215</v>
      </c>
      <c r="E353" s="45" t="s">
        <v>216</v>
      </c>
      <c r="F353" s="45" t="s">
        <v>217</v>
      </c>
      <c r="G353" s="45" t="s">
        <v>218</v>
      </c>
      <c r="H353" s="50" t="s">
        <v>504</v>
      </c>
      <c r="I353" s="49">
        <v>46106</v>
      </c>
      <c r="J353" s="45" t="s">
        <v>448</v>
      </c>
      <c r="K353" s="45" t="s">
        <v>444</v>
      </c>
      <c r="L353" s="48" t="s">
        <v>503</v>
      </c>
      <c r="M353" s="47">
        <v>50</v>
      </c>
      <c r="N353" s="47">
        <v>50</v>
      </c>
      <c r="O353" s="46">
        <v>1</v>
      </c>
      <c r="Q353" s="45" t="s">
        <v>23</v>
      </c>
    </row>
    <row r="354" spans="4:17" hidden="1" x14ac:dyDescent="0.4">
      <c r="D354" s="45" t="s">
        <v>24</v>
      </c>
      <c r="E354" s="45" t="s">
        <v>25</v>
      </c>
      <c r="F354" s="45" t="s">
        <v>26</v>
      </c>
      <c r="G354" s="45" t="s">
        <v>27</v>
      </c>
      <c r="H354" s="50" t="s">
        <v>502</v>
      </c>
      <c r="I354" s="49">
        <v>46099</v>
      </c>
      <c r="J354" s="45" t="s">
        <v>445</v>
      </c>
      <c r="K354" s="45" t="s">
        <v>444</v>
      </c>
      <c r="L354" s="48"/>
      <c r="M354" s="47">
        <v>50</v>
      </c>
      <c r="N354" s="47">
        <v>50</v>
      </c>
      <c r="O354" s="46">
        <v>1</v>
      </c>
      <c r="Q354" s="45" t="s">
        <v>23</v>
      </c>
    </row>
    <row r="355" spans="4:17" hidden="1" x14ac:dyDescent="0.4">
      <c r="D355" s="45" t="s">
        <v>31</v>
      </c>
      <c r="E355" s="45" t="s">
        <v>32</v>
      </c>
      <c r="F355" s="45" t="s">
        <v>33</v>
      </c>
      <c r="G355" s="45" t="s">
        <v>34</v>
      </c>
      <c r="H355" s="50" t="s">
        <v>502</v>
      </c>
      <c r="I355" s="49">
        <v>46099</v>
      </c>
      <c r="J355" s="45" t="s">
        <v>445</v>
      </c>
      <c r="K355" s="45" t="s">
        <v>444</v>
      </c>
      <c r="L355" s="48"/>
      <c r="M355" s="47">
        <v>0</v>
      </c>
      <c r="N355" s="47">
        <v>50</v>
      </c>
      <c r="O355" s="46">
        <v>0</v>
      </c>
      <c r="Q355" s="45" t="s">
        <v>23</v>
      </c>
    </row>
    <row r="356" spans="4:17" hidden="1" x14ac:dyDescent="0.4">
      <c r="D356" s="45" t="s">
        <v>36</v>
      </c>
      <c r="E356" s="45" t="s">
        <v>37</v>
      </c>
      <c r="F356" s="45" t="s">
        <v>38</v>
      </c>
      <c r="G356" s="45" t="s">
        <v>39</v>
      </c>
      <c r="H356" s="50" t="s">
        <v>502</v>
      </c>
      <c r="I356" s="49">
        <v>46099</v>
      </c>
      <c r="J356" s="45" t="s">
        <v>445</v>
      </c>
      <c r="K356" s="45" t="s">
        <v>444</v>
      </c>
      <c r="L356" s="48"/>
      <c r="M356" s="47">
        <v>0</v>
      </c>
      <c r="N356" s="47">
        <v>50</v>
      </c>
      <c r="O356" s="46">
        <v>0</v>
      </c>
      <c r="Q356" s="45" t="s">
        <v>23</v>
      </c>
    </row>
    <row r="357" spans="4:17" hidden="1" x14ac:dyDescent="0.4">
      <c r="D357" s="45" t="s">
        <v>41</v>
      </c>
      <c r="E357" s="45" t="s">
        <v>42</v>
      </c>
      <c r="F357" s="45" t="s">
        <v>43</v>
      </c>
      <c r="G357" s="45" t="s">
        <v>44</v>
      </c>
      <c r="H357" s="50" t="s">
        <v>502</v>
      </c>
      <c r="I357" s="49">
        <v>46099</v>
      </c>
      <c r="J357" s="45" t="s">
        <v>445</v>
      </c>
      <c r="K357" s="45" t="s">
        <v>444</v>
      </c>
      <c r="L357" s="48"/>
      <c r="M357" s="47">
        <v>50</v>
      </c>
      <c r="N357" s="47">
        <v>50</v>
      </c>
      <c r="O357" s="46">
        <v>1</v>
      </c>
      <c r="Q357" s="45" t="s">
        <v>23</v>
      </c>
    </row>
    <row r="358" spans="4:17" hidden="1" x14ac:dyDescent="0.4">
      <c r="D358" s="45" t="s">
        <v>46</v>
      </c>
      <c r="E358" s="45" t="s">
        <v>47</v>
      </c>
      <c r="F358" s="45" t="s">
        <v>48</v>
      </c>
      <c r="G358" s="45" t="s">
        <v>49</v>
      </c>
      <c r="H358" s="50" t="s">
        <v>502</v>
      </c>
      <c r="I358" s="49">
        <v>46099</v>
      </c>
      <c r="J358" s="45" t="s">
        <v>445</v>
      </c>
      <c r="K358" s="45" t="s">
        <v>444</v>
      </c>
      <c r="L358" s="48"/>
      <c r="M358" s="47">
        <v>50</v>
      </c>
      <c r="N358" s="47">
        <v>50</v>
      </c>
      <c r="O358" s="46">
        <v>1</v>
      </c>
      <c r="Q358" s="45" t="s">
        <v>23</v>
      </c>
    </row>
    <row r="359" spans="4:17" hidden="1" x14ac:dyDescent="0.4">
      <c r="D359" s="45" t="s">
        <v>51</v>
      </c>
      <c r="E359" s="45" t="s">
        <v>52</v>
      </c>
      <c r="F359" s="45" t="s">
        <v>53</v>
      </c>
      <c r="G359" s="45" t="s">
        <v>54</v>
      </c>
      <c r="H359" s="50" t="s">
        <v>502</v>
      </c>
      <c r="I359" s="49">
        <v>46099</v>
      </c>
      <c r="J359" s="45" t="s">
        <v>445</v>
      </c>
      <c r="K359" s="45" t="s">
        <v>444</v>
      </c>
      <c r="L359" s="48"/>
      <c r="M359" s="47">
        <v>50</v>
      </c>
      <c r="N359" s="47">
        <v>50</v>
      </c>
      <c r="O359" s="46">
        <v>1</v>
      </c>
      <c r="Q359" s="45" t="s">
        <v>23</v>
      </c>
    </row>
    <row r="360" spans="4:17" hidden="1" x14ac:dyDescent="0.4">
      <c r="D360" s="45" t="s">
        <v>56</v>
      </c>
      <c r="E360" s="45" t="s">
        <v>52</v>
      </c>
      <c r="F360" s="45" t="s">
        <v>57</v>
      </c>
      <c r="G360" s="45" t="s">
        <v>58</v>
      </c>
      <c r="H360" s="50" t="s">
        <v>502</v>
      </c>
      <c r="I360" s="49">
        <v>46099</v>
      </c>
      <c r="J360" s="45" t="s">
        <v>445</v>
      </c>
      <c r="K360" s="45" t="s">
        <v>444</v>
      </c>
      <c r="L360" s="48"/>
      <c r="M360" s="47">
        <v>50</v>
      </c>
      <c r="N360" s="47">
        <v>50</v>
      </c>
      <c r="O360" s="46">
        <v>1</v>
      </c>
      <c r="Q360" s="45" t="s">
        <v>23</v>
      </c>
    </row>
    <row r="361" spans="4:17" hidden="1" x14ac:dyDescent="0.4">
      <c r="D361" s="45" t="s">
        <v>60</v>
      </c>
      <c r="E361" s="45" t="s">
        <v>61</v>
      </c>
      <c r="F361" s="45" t="s">
        <v>62</v>
      </c>
      <c r="G361" s="45" t="s">
        <v>63</v>
      </c>
      <c r="H361" s="50" t="s">
        <v>502</v>
      </c>
      <c r="I361" s="49">
        <v>46099</v>
      </c>
      <c r="J361" s="45" t="s">
        <v>445</v>
      </c>
      <c r="K361" s="45" t="s">
        <v>444</v>
      </c>
      <c r="L361" s="48"/>
      <c r="M361" s="47">
        <v>50</v>
      </c>
      <c r="N361" s="47">
        <v>50</v>
      </c>
      <c r="O361" s="46">
        <v>1</v>
      </c>
      <c r="Q361" s="45" t="s">
        <v>23</v>
      </c>
    </row>
    <row r="362" spans="4:17" hidden="1" x14ac:dyDescent="0.4">
      <c r="D362" s="45" t="s">
        <v>65</v>
      </c>
      <c r="E362" s="45" t="s">
        <v>66</v>
      </c>
      <c r="F362" s="45" t="s">
        <v>67</v>
      </c>
      <c r="G362" s="45" t="s">
        <v>68</v>
      </c>
      <c r="H362" s="50" t="s">
        <v>502</v>
      </c>
      <c r="I362" s="49">
        <v>46099</v>
      </c>
      <c r="J362" s="45" t="s">
        <v>445</v>
      </c>
      <c r="K362" s="45" t="s">
        <v>444</v>
      </c>
      <c r="L362" s="48"/>
      <c r="M362" s="47">
        <v>50</v>
      </c>
      <c r="N362" s="47">
        <v>50</v>
      </c>
      <c r="O362" s="46">
        <v>1</v>
      </c>
      <c r="Q362" s="45" t="s">
        <v>23</v>
      </c>
    </row>
    <row r="363" spans="4:17" hidden="1" x14ac:dyDescent="0.4">
      <c r="D363" s="45" t="s">
        <v>70</v>
      </c>
      <c r="E363" s="45" t="s">
        <v>71</v>
      </c>
      <c r="F363" s="45" t="s">
        <v>72</v>
      </c>
      <c r="G363" s="45" t="s">
        <v>73</v>
      </c>
      <c r="H363" s="50" t="s">
        <v>502</v>
      </c>
      <c r="I363" s="49">
        <v>46099</v>
      </c>
      <c r="J363" s="45" t="s">
        <v>445</v>
      </c>
      <c r="K363" s="45" t="s">
        <v>444</v>
      </c>
      <c r="L363" s="48"/>
      <c r="M363" s="47">
        <v>50</v>
      </c>
      <c r="N363" s="47">
        <v>50</v>
      </c>
      <c r="O363" s="46">
        <v>1</v>
      </c>
      <c r="Q363" s="45" t="s">
        <v>23</v>
      </c>
    </row>
    <row r="364" spans="4:17" hidden="1" x14ac:dyDescent="0.4">
      <c r="D364" s="45" t="s">
        <v>75</v>
      </c>
      <c r="E364" s="45" t="s">
        <v>76</v>
      </c>
      <c r="F364" s="45" t="s">
        <v>77</v>
      </c>
      <c r="G364" s="45" t="s">
        <v>78</v>
      </c>
      <c r="H364" s="50" t="s">
        <v>502</v>
      </c>
      <c r="I364" s="49">
        <v>46099</v>
      </c>
      <c r="J364" s="45" t="s">
        <v>445</v>
      </c>
      <c r="K364" s="45" t="s">
        <v>444</v>
      </c>
      <c r="L364" s="48"/>
      <c r="M364" s="47">
        <v>50</v>
      </c>
      <c r="N364" s="47">
        <v>50</v>
      </c>
      <c r="O364" s="46">
        <v>1</v>
      </c>
      <c r="Q364" s="45" t="s">
        <v>23</v>
      </c>
    </row>
    <row r="365" spans="4:17" hidden="1" x14ac:dyDescent="0.4">
      <c r="D365" s="45" t="s">
        <v>80</v>
      </c>
      <c r="E365" s="45" t="s">
        <v>81</v>
      </c>
      <c r="F365" s="45" t="s">
        <v>82</v>
      </c>
      <c r="G365" s="45" t="s">
        <v>83</v>
      </c>
      <c r="H365" s="50" t="s">
        <v>502</v>
      </c>
      <c r="I365" s="49">
        <v>46099</v>
      </c>
      <c r="J365" s="45" t="s">
        <v>445</v>
      </c>
      <c r="K365" s="45" t="s">
        <v>444</v>
      </c>
      <c r="L365" s="48"/>
      <c r="M365" s="47">
        <v>50</v>
      </c>
      <c r="N365" s="47">
        <v>50</v>
      </c>
      <c r="O365" s="46">
        <v>1</v>
      </c>
      <c r="Q365" s="45" t="s">
        <v>23</v>
      </c>
    </row>
    <row r="366" spans="4:17" hidden="1" x14ac:dyDescent="0.4">
      <c r="D366" s="45" t="s">
        <v>85</v>
      </c>
      <c r="E366" s="45" t="s">
        <v>86</v>
      </c>
      <c r="F366" s="45" t="s">
        <v>87</v>
      </c>
      <c r="G366" s="45" t="s">
        <v>88</v>
      </c>
      <c r="H366" s="50" t="s">
        <v>502</v>
      </c>
      <c r="I366" s="49">
        <v>46099</v>
      </c>
      <c r="J366" s="45" t="s">
        <v>445</v>
      </c>
      <c r="K366" s="45" t="s">
        <v>444</v>
      </c>
      <c r="L366" s="48"/>
      <c r="M366" s="47">
        <v>50</v>
      </c>
      <c r="N366" s="47">
        <v>50</v>
      </c>
      <c r="O366" s="46">
        <v>1</v>
      </c>
      <c r="Q366" s="45" t="s">
        <v>23</v>
      </c>
    </row>
    <row r="367" spans="4:17" hidden="1" x14ac:dyDescent="0.4">
      <c r="D367" s="45" t="s">
        <v>89</v>
      </c>
      <c r="E367" s="45" t="s">
        <v>90</v>
      </c>
      <c r="F367" s="45" t="s">
        <v>91</v>
      </c>
      <c r="G367" s="45" t="s">
        <v>92</v>
      </c>
      <c r="H367" s="50" t="s">
        <v>502</v>
      </c>
      <c r="I367" s="49">
        <v>46099</v>
      </c>
      <c r="J367" s="45" t="s">
        <v>445</v>
      </c>
      <c r="K367" s="45" t="s">
        <v>444</v>
      </c>
      <c r="L367" s="48"/>
      <c r="M367" s="47">
        <v>50</v>
      </c>
      <c r="N367" s="47">
        <v>50</v>
      </c>
      <c r="O367" s="46">
        <v>1</v>
      </c>
      <c r="Q367" s="45" t="s">
        <v>23</v>
      </c>
    </row>
    <row r="368" spans="4:17" hidden="1" x14ac:dyDescent="0.4">
      <c r="D368" s="45" t="s">
        <v>94</v>
      </c>
      <c r="E368" s="45" t="s">
        <v>95</v>
      </c>
      <c r="F368" s="45" t="s">
        <v>96</v>
      </c>
      <c r="G368" s="45" t="s">
        <v>97</v>
      </c>
      <c r="H368" s="50" t="s">
        <v>502</v>
      </c>
      <c r="I368" s="49">
        <v>46099</v>
      </c>
      <c r="J368" s="45" t="s">
        <v>445</v>
      </c>
      <c r="K368" s="45" t="s">
        <v>444</v>
      </c>
      <c r="L368" s="48"/>
      <c r="M368" s="47">
        <v>0</v>
      </c>
      <c r="N368" s="47">
        <v>50</v>
      </c>
      <c r="O368" s="46">
        <v>0</v>
      </c>
      <c r="Q368" s="45" t="s">
        <v>23</v>
      </c>
    </row>
    <row r="369" spans="4:17" hidden="1" x14ac:dyDescent="0.4">
      <c r="D369" s="45" t="s">
        <v>99</v>
      </c>
      <c r="E369" s="45" t="s">
        <v>100</v>
      </c>
      <c r="F369" s="45" t="s">
        <v>101</v>
      </c>
      <c r="G369" s="45" t="s">
        <v>102</v>
      </c>
      <c r="H369" s="50" t="s">
        <v>502</v>
      </c>
      <c r="I369" s="49">
        <v>46099</v>
      </c>
      <c r="J369" s="45" t="s">
        <v>445</v>
      </c>
      <c r="K369" s="45" t="s">
        <v>444</v>
      </c>
      <c r="L369" s="48"/>
      <c r="M369" s="47">
        <v>50</v>
      </c>
      <c r="N369" s="47">
        <v>50</v>
      </c>
      <c r="O369" s="46">
        <v>1</v>
      </c>
      <c r="Q369" s="45" t="s">
        <v>23</v>
      </c>
    </row>
    <row r="370" spans="4:17" hidden="1" x14ac:dyDescent="0.4">
      <c r="D370" s="45" t="s">
        <v>104</v>
      </c>
      <c r="E370" s="45" t="s">
        <v>86</v>
      </c>
      <c r="F370" s="45" t="s">
        <v>105</v>
      </c>
      <c r="G370" s="45" t="s">
        <v>106</v>
      </c>
      <c r="H370" s="50" t="s">
        <v>502</v>
      </c>
      <c r="I370" s="49">
        <v>46099</v>
      </c>
      <c r="J370" s="45" t="s">
        <v>445</v>
      </c>
      <c r="K370" s="45" t="s">
        <v>444</v>
      </c>
      <c r="L370" s="48"/>
      <c r="M370" s="47">
        <v>50</v>
      </c>
      <c r="N370" s="47">
        <v>50</v>
      </c>
      <c r="O370" s="46">
        <v>1</v>
      </c>
      <c r="Q370" s="45" t="s">
        <v>23</v>
      </c>
    </row>
    <row r="371" spans="4:17" hidden="1" x14ac:dyDescent="0.4">
      <c r="D371" s="45" t="s">
        <v>107</v>
      </c>
      <c r="E371" s="45" t="s">
        <v>108</v>
      </c>
      <c r="F371" s="45" t="s">
        <v>109</v>
      </c>
      <c r="G371" s="45" t="s">
        <v>110</v>
      </c>
      <c r="H371" s="50" t="s">
        <v>502</v>
      </c>
      <c r="I371" s="49">
        <v>46099</v>
      </c>
      <c r="J371" s="45" t="s">
        <v>445</v>
      </c>
      <c r="K371" s="45" t="s">
        <v>444</v>
      </c>
      <c r="L371" s="48"/>
      <c r="M371" s="47">
        <v>50</v>
      </c>
      <c r="N371" s="47">
        <v>50</v>
      </c>
      <c r="O371" s="46">
        <v>1</v>
      </c>
      <c r="Q371" s="45" t="s">
        <v>23</v>
      </c>
    </row>
    <row r="372" spans="4:17" hidden="1" x14ac:dyDescent="0.4">
      <c r="D372" s="45" t="s">
        <v>112</v>
      </c>
      <c r="E372" s="45" t="s">
        <v>113</v>
      </c>
      <c r="F372" s="45" t="s">
        <v>114</v>
      </c>
      <c r="G372" s="45" t="s">
        <v>115</v>
      </c>
      <c r="H372" s="50" t="s">
        <v>502</v>
      </c>
      <c r="I372" s="49">
        <v>46099</v>
      </c>
      <c r="J372" s="45" t="s">
        <v>445</v>
      </c>
      <c r="K372" s="45" t="s">
        <v>444</v>
      </c>
      <c r="L372" s="48"/>
      <c r="M372" s="47">
        <v>50</v>
      </c>
      <c r="N372" s="47">
        <v>50</v>
      </c>
      <c r="O372" s="46">
        <v>1</v>
      </c>
      <c r="Q372" s="45" t="s">
        <v>23</v>
      </c>
    </row>
    <row r="373" spans="4:17" hidden="1" x14ac:dyDescent="0.4">
      <c r="D373" s="45" t="s">
        <v>117</v>
      </c>
      <c r="E373" s="45" t="s">
        <v>118</v>
      </c>
      <c r="F373" s="45" t="s">
        <v>119</v>
      </c>
      <c r="G373" s="45" t="s">
        <v>120</v>
      </c>
      <c r="H373" s="50" t="s">
        <v>502</v>
      </c>
      <c r="I373" s="49">
        <v>46099</v>
      </c>
      <c r="J373" s="45" t="s">
        <v>445</v>
      </c>
      <c r="K373" s="45" t="s">
        <v>444</v>
      </c>
      <c r="L373" s="48"/>
      <c r="M373" s="47">
        <v>50</v>
      </c>
      <c r="N373" s="47">
        <v>50</v>
      </c>
      <c r="O373" s="46">
        <v>1</v>
      </c>
      <c r="Q373" s="45" t="s">
        <v>23</v>
      </c>
    </row>
    <row r="374" spans="4:17" hidden="1" x14ac:dyDescent="0.4">
      <c r="D374" s="45" t="s">
        <v>122</v>
      </c>
      <c r="E374" s="45" t="s">
        <v>123</v>
      </c>
      <c r="F374" s="45" t="s">
        <v>124</v>
      </c>
      <c r="G374" s="45" t="s">
        <v>125</v>
      </c>
      <c r="H374" s="50" t="s">
        <v>502</v>
      </c>
      <c r="I374" s="49">
        <v>46099</v>
      </c>
      <c r="J374" s="45" t="s">
        <v>445</v>
      </c>
      <c r="K374" s="45" t="s">
        <v>444</v>
      </c>
      <c r="L374" s="48"/>
      <c r="M374" s="47">
        <v>50</v>
      </c>
      <c r="N374" s="47">
        <v>50</v>
      </c>
      <c r="O374" s="46">
        <v>1</v>
      </c>
      <c r="Q374" s="45" t="s">
        <v>23</v>
      </c>
    </row>
    <row r="375" spans="4:17" hidden="1" x14ac:dyDescent="0.4">
      <c r="D375" s="45" t="s">
        <v>127</v>
      </c>
      <c r="E375" s="45" t="s">
        <v>128</v>
      </c>
      <c r="F375" s="45" t="s">
        <v>129</v>
      </c>
      <c r="G375" s="45" t="s">
        <v>130</v>
      </c>
      <c r="H375" s="50" t="s">
        <v>502</v>
      </c>
      <c r="I375" s="49">
        <v>46099</v>
      </c>
      <c r="J375" s="45" t="s">
        <v>445</v>
      </c>
      <c r="K375" s="45" t="s">
        <v>444</v>
      </c>
      <c r="L375" s="48"/>
      <c r="M375" s="47">
        <v>50</v>
      </c>
      <c r="N375" s="47">
        <v>50</v>
      </c>
      <c r="O375" s="46">
        <v>1</v>
      </c>
      <c r="Q375" s="45" t="s">
        <v>23</v>
      </c>
    </row>
    <row r="376" spans="4:17" hidden="1" x14ac:dyDescent="0.4">
      <c r="D376" s="45" t="s">
        <v>132</v>
      </c>
      <c r="E376" s="45" t="s">
        <v>133</v>
      </c>
      <c r="F376" s="45" t="s">
        <v>134</v>
      </c>
      <c r="G376" s="45" t="s">
        <v>135</v>
      </c>
      <c r="H376" s="50" t="s">
        <v>502</v>
      </c>
      <c r="I376" s="49">
        <v>46099</v>
      </c>
      <c r="J376" s="45" t="s">
        <v>445</v>
      </c>
      <c r="K376" s="45" t="s">
        <v>444</v>
      </c>
      <c r="L376" s="48"/>
      <c r="M376" s="47">
        <v>50</v>
      </c>
      <c r="N376" s="47">
        <v>50</v>
      </c>
      <c r="O376" s="46">
        <v>1</v>
      </c>
      <c r="Q376" s="45" t="s">
        <v>23</v>
      </c>
    </row>
    <row r="377" spans="4:17" hidden="1" x14ac:dyDescent="0.4">
      <c r="D377" s="45" t="s">
        <v>137</v>
      </c>
      <c r="E377" s="45" t="s">
        <v>138</v>
      </c>
      <c r="F377" s="45" t="s">
        <v>139</v>
      </c>
      <c r="G377" s="45" t="s">
        <v>140</v>
      </c>
      <c r="H377" s="50" t="s">
        <v>502</v>
      </c>
      <c r="I377" s="49">
        <v>46099</v>
      </c>
      <c r="J377" s="45" t="s">
        <v>445</v>
      </c>
      <c r="K377" s="45" t="s">
        <v>444</v>
      </c>
      <c r="L377" s="48"/>
      <c r="M377" s="47">
        <v>50</v>
      </c>
      <c r="N377" s="47">
        <v>50</v>
      </c>
      <c r="O377" s="46">
        <v>1</v>
      </c>
      <c r="Q377" s="45" t="s">
        <v>23</v>
      </c>
    </row>
    <row r="378" spans="4:17" hidden="1" x14ac:dyDescent="0.4">
      <c r="D378" s="45" t="s">
        <v>142</v>
      </c>
      <c r="E378" s="45" t="s">
        <v>143</v>
      </c>
      <c r="F378" s="45" t="s">
        <v>144</v>
      </c>
      <c r="G378" s="45" t="s">
        <v>145</v>
      </c>
      <c r="H378" s="50" t="s">
        <v>502</v>
      </c>
      <c r="I378" s="49">
        <v>46099</v>
      </c>
      <c r="J378" s="45" t="s">
        <v>445</v>
      </c>
      <c r="K378" s="45" t="s">
        <v>444</v>
      </c>
      <c r="L378" s="48"/>
      <c r="M378" s="47">
        <v>50</v>
      </c>
      <c r="N378" s="47">
        <v>50</v>
      </c>
      <c r="O378" s="46">
        <v>1</v>
      </c>
      <c r="Q378" s="45" t="s">
        <v>23</v>
      </c>
    </row>
    <row r="379" spans="4:17" hidden="1" x14ac:dyDescent="0.4">
      <c r="D379" s="45" t="s">
        <v>147</v>
      </c>
      <c r="E379" s="45" t="s">
        <v>148</v>
      </c>
      <c r="F379" s="45" t="s">
        <v>149</v>
      </c>
      <c r="G379" s="45" t="s">
        <v>150</v>
      </c>
      <c r="H379" s="50" t="s">
        <v>502</v>
      </c>
      <c r="I379" s="49">
        <v>46099</v>
      </c>
      <c r="J379" s="45" t="s">
        <v>445</v>
      </c>
      <c r="K379" s="45" t="s">
        <v>444</v>
      </c>
      <c r="L379" s="48"/>
      <c r="M379" s="47">
        <v>50</v>
      </c>
      <c r="N379" s="47">
        <v>50</v>
      </c>
      <c r="O379" s="46">
        <v>1</v>
      </c>
      <c r="Q379" s="45" t="s">
        <v>23</v>
      </c>
    </row>
    <row r="380" spans="4:17" hidden="1" x14ac:dyDescent="0.4">
      <c r="D380" s="45" t="s">
        <v>152</v>
      </c>
      <c r="E380" s="45" t="s">
        <v>66</v>
      </c>
      <c r="F380" s="45" t="s">
        <v>153</v>
      </c>
      <c r="G380" s="45" t="s">
        <v>154</v>
      </c>
      <c r="H380" s="50" t="s">
        <v>502</v>
      </c>
      <c r="I380" s="49">
        <v>46099</v>
      </c>
      <c r="J380" s="45" t="s">
        <v>445</v>
      </c>
      <c r="K380" s="45" t="s">
        <v>444</v>
      </c>
      <c r="L380" s="48"/>
      <c r="M380" s="47">
        <v>0</v>
      </c>
      <c r="N380" s="47">
        <v>50</v>
      </c>
      <c r="O380" s="46">
        <v>0</v>
      </c>
      <c r="Q380" s="45" t="s">
        <v>23</v>
      </c>
    </row>
    <row r="381" spans="4:17" hidden="1" x14ac:dyDescent="0.4">
      <c r="D381" s="45" t="s">
        <v>160</v>
      </c>
      <c r="E381" s="45" t="s">
        <v>81</v>
      </c>
      <c r="F381" s="45" t="s">
        <v>161</v>
      </c>
      <c r="G381" s="45" t="s">
        <v>162</v>
      </c>
      <c r="H381" s="50" t="s">
        <v>502</v>
      </c>
      <c r="I381" s="49">
        <v>46099</v>
      </c>
      <c r="J381" s="45" t="s">
        <v>445</v>
      </c>
      <c r="K381" s="45" t="s">
        <v>444</v>
      </c>
      <c r="L381" s="48"/>
      <c r="M381" s="47">
        <v>50</v>
      </c>
      <c r="N381" s="47">
        <v>50</v>
      </c>
      <c r="O381" s="46">
        <v>1</v>
      </c>
      <c r="Q381" s="45" t="s">
        <v>23</v>
      </c>
    </row>
    <row r="382" spans="4:17" hidden="1" x14ac:dyDescent="0.4">
      <c r="D382" s="45" t="s">
        <v>163</v>
      </c>
      <c r="E382" s="45" t="s">
        <v>164</v>
      </c>
      <c r="F382" s="45" t="s">
        <v>165</v>
      </c>
      <c r="G382" s="45" t="s">
        <v>166</v>
      </c>
      <c r="H382" s="50" t="s">
        <v>502</v>
      </c>
      <c r="I382" s="49">
        <v>46099</v>
      </c>
      <c r="J382" s="45" t="s">
        <v>445</v>
      </c>
      <c r="K382" s="45" t="s">
        <v>444</v>
      </c>
      <c r="L382" s="48"/>
      <c r="M382" s="47">
        <v>50</v>
      </c>
      <c r="N382" s="47">
        <v>50</v>
      </c>
      <c r="O382" s="46">
        <v>1</v>
      </c>
      <c r="Q382" s="45" t="s">
        <v>23</v>
      </c>
    </row>
    <row r="383" spans="4:17" hidden="1" x14ac:dyDescent="0.4">
      <c r="D383" s="45" t="s">
        <v>168</v>
      </c>
      <c r="E383" s="45" t="s">
        <v>169</v>
      </c>
      <c r="F383" s="45" t="s">
        <v>170</v>
      </c>
      <c r="G383" s="45" t="s">
        <v>171</v>
      </c>
      <c r="H383" s="50" t="s">
        <v>502</v>
      </c>
      <c r="I383" s="49">
        <v>46099</v>
      </c>
      <c r="J383" s="45" t="s">
        <v>445</v>
      </c>
      <c r="K383" s="45" t="s">
        <v>444</v>
      </c>
      <c r="L383" s="48"/>
      <c r="M383" s="47">
        <v>50</v>
      </c>
      <c r="N383" s="47">
        <v>50</v>
      </c>
      <c r="O383" s="46">
        <v>1</v>
      </c>
      <c r="Q383" s="45" t="s">
        <v>23</v>
      </c>
    </row>
    <row r="384" spans="4:17" hidden="1" x14ac:dyDescent="0.4">
      <c r="D384" s="45" t="s">
        <v>173</v>
      </c>
      <c r="E384" s="45" t="s">
        <v>174</v>
      </c>
      <c r="F384" s="45" t="s">
        <v>175</v>
      </c>
      <c r="G384" s="45" t="s">
        <v>176</v>
      </c>
      <c r="H384" s="50" t="s">
        <v>502</v>
      </c>
      <c r="I384" s="49">
        <v>46099</v>
      </c>
      <c r="J384" s="45" t="s">
        <v>445</v>
      </c>
      <c r="K384" s="45" t="s">
        <v>444</v>
      </c>
      <c r="L384" s="48"/>
      <c r="M384" s="47">
        <v>50</v>
      </c>
      <c r="N384" s="47">
        <v>50</v>
      </c>
      <c r="O384" s="46">
        <v>1</v>
      </c>
      <c r="Q384" s="45" t="s">
        <v>23</v>
      </c>
    </row>
    <row r="385" spans="4:17" hidden="1" x14ac:dyDescent="0.4">
      <c r="D385" s="45" t="s">
        <v>178</v>
      </c>
      <c r="E385" s="45" t="s">
        <v>179</v>
      </c>
      <c r="F385" s="45" t="s">
        <v>180</v>
      </c>
      <c r="G385" s="45" t="s">
        <v>181</v>
      </c>
      <c r="H385" s="50" t="s">
        <v>502</v>
      </c>
      <c r="I385" s="49">
        <v>46099</v>
      </c>
      <c r="J385" s="45" t="s">
        <v>445</v>
      </c>
      <c r="K385" s="45" t="s">
        <v>444</v>
      </c>
      <c r="L385" s="48"/>
      <c r="M385" s="47">
        <v>50</v>
      </c>
      <c r="N385" s="47">
        <v>50</v>
      </c>
      <c r="O385" s="46">
        <v>1</v>
      </c>
      <c r="Q385" s="45" t="s">
        <v>23</v>
      </c>
    </row>
    <row r="386" spans="4:17" hidden="1" x14ac:dyDescent="0.4">
      <c r="D386" s="45" t="s">
        <v>187</v>
      </c>
      <c r="E386" s="45" t="s">
        <v>188</v>
      </c>
      <c r="F386" s="45" t="s">
        <v>189</v>
      </c>
      <c r="G386" s="45" t="s">
        <v>190</v>
      </c>
      <c r="H386" s="50" t="s">
        <v>502</v>
      </c>
      <c r="I386" s="49">
        <v>46099</v>
      </c>
      <c r="J386" s="45" t="s">
        <v>445</v>
      </c>
      <c r="K386" s="45" t="s">
        <v>444</v>
      </c>
      <c r="L386" s="48"/>
      <c r="M386" s="47">
        <v>50</v>
      </c>
      <c r="N386" s="47">
        <v>50</v>
      </c>
      <c r="O386" s="46">
        <v>1</v>
      </c>
      <c r="Q386" s="45" t="s">
        <v>23</v>
      </c>
    </row>
    <row r="387" spans="4:17" hidden="1" x14ac:dyDescent="0.4">
      <c r="D387" s="45" t="s">
        <v>192</v>
      </c>
      <c r="E387" s="45" t="s">
        <v>193</v>
      </c>
      <c r="F387" s="45" t="s">
        <v>194</v>
      </c>
      <c r="G387" s="45" t="s">
        <v>195</v>
      </c>
      <c r="H387" s="50" t="s">
        <v>502</v>
      </c>
      <c r="I387" s="49">
        <v>46099</v>
      </c>
      <c r="J387" s="45" t="s">
        <v>445</v>
      </c>
      <c r="K387" s="45" t="s">
        <v>444</v>
      </c>
      <c r="L387" s="48"/>
      <c r="M387" s="47">
        <v>50</v>
      </c>
      <c r="N387" s="47">
        <v>50</v>
      </c>
      <c r="O387" s="46">
        <v>1</v>
      </c>
      <c r="Q387" s="45" t="s">
        <v>23</v>
      </c>
    </row>
    <row r="388" spans="4:17" hidden="1" x14ac:dyDescent="0.4">
      <c r="D388" s="45" t="s">
        <v>197</v>
      </c>
      <c r="E388" s="45" t="s">
        <v>198</v>
      </c>
      <c r="F388" s="45" t="s">
        <v>199</v>
      </c>
      <c r="G388" s="45" t="s">
        <v>200</v>
      </c>
      <c r="H388" s="50" t="s">
        <v>502</v>
      </c>
      <c r="I388" s="49">
        <v>46099</v>
      </c>
      <c r="J388" s="45" t="s">
        <v>445</v>
      </c>
      <c r="K388" s="45" t="s">
        <v>444</v>
      </c>
      <c r="L388" s="48"/>
      <c r="M388" s="47">
        <v>50</v>
      </c>
      <c r="N388" s="47">
        <v>50</v>
      </c>
      <c r="O388" s="46">
        <v>1</v>
      </c>
      <c r="Q388" s="45" t="s">
        <v>23</v>
      </c>
    </row>
    <row r="389" spans="4:17" hidden="1" x14ac:dyDescent="0.4">
      <c r="D389" s="45" t="s">
        <v>201</v>
      </c>
      <c r="E389" s="45" t="s">
        <v>143</v>
      </c>
      <c r="F389" s="45" t="s">
        <v>202</v>
      </c>
      <c r="G389" s="45" t="s">
        <v>203</v>
      </c>
      <c r="H389" s="50" t="s">
        <v>502</v>
      </c>
      <c r="I389" s="49">
        <v>46099</v>
      </c>
      <c r="J389" s="45" t="s">
        <v>445</v>
      </c>
      <c r="K389" s="45" t="s">
        <v>444</v>
      </c>
      <c r="L389" s="48"/>
      <c r="M389" s="47">
        <v>0</v>
      </c>
      <c r="N389" s="47">
        <v>50</v>
      </c>
      <c r="O389" s="46">
        <v>0</v>
      </c>
      <c r="Q389" s="45" t="s">
        <v>23</v>
      </c>
    </row>
    <row r="390" spans="4:17" hidden="1" x14ac:dyDescent="0.4">
      <c r="D390" s="45" t="s">
        <v>205</v>
      </c>
      <c r="E390" s="45" t="s">
        <v>206</v>
      </c>
      <c r="F390" s="45" t="s">
        <v>207</v>
      </c>
      <c r="G390" s="45" t="s">
        <v>208</v>
      </c>
      <c r="H390" s="50" t="s">
        <v>502</v>
      </c>
      <c r="I390" s="49">
        <v>46099</v>
      </c>
      <c r="J390" s="45" t="s">
        <v>445</v>
      </c>
      <c r="K390" s="45" t="s">
        <v>444</v>
      </c>
      <c r="L390" s="48"/>
      <c r="M390" s="47">
        <v>50</v>
      </c>
      <c r="N390" s="47">
        <v>50</v>
      </c>
      <c r="O390" s="46">
        <v>1</v>
      </c>
      <c r="Q390" s="45" t="s">
        <v>23</v>
      </c>
    </row>
    <row r="391" spans="4:17" hidden="1" x14ac:dyDescent="0.4">
      <c r="D391" s="45" t="s">
        <v>210</v>
      </c>
      <c r="E391" s="45" t="s">
        <v>211</v>
      </c>
      <c r="F391" s="45" t="s">
        <v>212</v>
      </c>
      <c r="G391" s="45" t="s">
        <v>213</v>
      </c>
      <c r="H391" s="50" t="s">
        <v>502</v>
      </c>
      <c r="I391" s="49">
        <v>46099</v>
      </c>
      <c r="J391" s="45" t="s">
        <v>445</v>
      </c>
      <c r="K391" s="45" t="s">
        <v>444</v>
      </c>
      <c r="L391" s="48"/>
      <c r="M391" s="47">
        <v>50</v>
      </c>
      <c r="N391" s="47">
        <v>50</v>
      </c>
      <c r="O391" s="46">
        <v>1</v>
      </c>
      <c r="Q391" s="45" t="s">
        <v>23</v>
      </c>
    </row>
    <row r="392" spans="4:17" hidden="1" x14ac:dyDescent="0.4">
      <c r="D392" s="45" t="s">
        <v>215</v>
      </c>
      <c r="E392" s="45" t="s">
        <v>216</v>
      </c>
      <c r="F392" s="45" t="s">
        <v>217</v>
      </c>
      <c r="G392" s="45" t="s">
        <v>218</v>
      </c>
      <c r="H392" s="50" t="s">
        <v>502</v>
      </c>
      <c r="I392" s="49">
        <v>46099</v>
      </c>
      <c r="J392" s="45" t="s">
        <v>445</v>
      </c>
      <c r="K392" s="45" t="s">
        <v>444</v>
      </c>
      <c r="L392" s="48"/>
      <c r="M392" s="47">
        <v>50</v>
      </c>
      <c r="N392" s="47">
        <v>50</v>
      </c>
      <c r="O392" s="46">
        <v>1</v>
      </c>
      <c r="Q392" s="45" t="s">
        <v>23</v>
      </c>
    </row>
    <row r="393" spans="4:17" hidden="1" x14ac:dyDescent="0.4">
      <c r="D393" s="45" t="s">
        <v>24</v>
      </c>
      <c r="E393" s="45" t="s">
        <v>25</v>
      </c>
      <c r="F393" s="45" t="s">
        <v>26</v>
      </c>
      <c r="G393" s="45" t="s">
        <v>27</v>
      </c>
      <c r="H393" s="50" t="s">
        <v>501</v>
      </c>
      <c r="I393" s="49">
        <v>46093</v>
      </c>
      <c r="J393" s="45" t="s">
        <v>445</v>
      </c>
      <c r="K393" s="45" t="s">
        <v>444</v>
      </c>
      <c r="L393" s="48"/>
      <c r="M393" s="47">
        <v>50</v>
      </c>
      <c r="N393" s="47">
        <v>50</v>
      </c>
      <c r="O393" s="46">
        <v>1</v>
      </c>
      <c r="Q393" s="45" t="s">
        <v>23</v>
      </c>
    </row>
    <row r="394" spans="4:17" hidden="1" x14ac:dyDescent="0.4">
      <c r="D394" s="45" t="s">
        <v>31</v>
      </c>
      <c r="E394" s="45" t="s">
        <v>32</v>
      </c>
      <c r="F394" s="45" t="s">
        <v>33</v>
      </c>
      <c r="G394" s="45" t="s">
        <v>34</v>
      </c>
      <c r="H394" s="50" t="s">
        <v>501</v>
      </c>
      <c r="I394" s="49">
        <v>46093</v>
      </c>
      <c r="J394" s="45" t="s">
        <v>445</v>
      </c>
      <c r="K394" s="45" t="s">
        <v>444</v>
      </c>
      <c r="L394" s="48"/>
      <c r="M394" s="47">
        <v>50</v>
      </c>
      <c r="N394" s="47">
        <v>50</v>
      </c>
      <c r="O394" s="46">
        <v>1</v>
      </c>
      <c r="Q394" s="45" t="s">
        <v>23</v>
      </c>
    </row>
    <row r="395" spans="4:17" hidden="1" x14ac:dyDescent="0.4">
      <c r="D395" s="45" t="s">
        <v>36</v>
      </c>
      <c r="E395" s="45" t="s">
        <v>37</v>
      </c>
      <c r="F395" s="45" t="s">
        <v>38</v>
      </c>
      <c r="G395" s="45" t="s">
        <v>39</v>
      </c>
      <c r="H395" s="50" t="s">
        <v>501</v>
      </c>
      <c r="I395" s="49">
        <v>46093</v>
      </c>
      <c r="J395" s="45" t="s">
        <v>445</v>
      </c>
      <c r="K395" s="45" t="s">
        <v>444</v>
      </c>
      <c r="L395" s="48"/>
      <c r="M395" s="47">
        <v>50</v>
      </c>
      <c r="N395" s="47">
        <v>50</v>
      </c>
      <c r="O395" s="46">
        <v>1</v>
      </c>
      <c r="Q395" s="45" t="s">
        <v>23</v>
      </c>
    </row>
    <row r="396" spans="4:17" hidden="1" x14ac:dyDescent="0.4">
      <c r="D396" s="45" t="s">
        <v>41</v>
      </c>
      <c r="E396" s="45" t="s">
        <v>42</v>
      </c>
      <c r="F396" s="45" t="s">
        <v>43</v>
      </c>
      <c r="G396" s="45" t="s">
        <v>44</v>
      </c>
      <c r="H396" s="50" t="s">
        <v>501</v>
      </c>
      <c r="I396" s="49">
        <v>46093</v>
      </c>
      <c r="J396" s="45" t="s">
        <v>445</v>
      </c>
      <c r="K396" s="45" t="s">
        <v>444</v>
      </c>
      <c r="L396" s="48"/>
      <c r="M396" s="47">
        <v>0</v>
      </c>
      <c r="N396" s="47">
        <v>50</v>
      </c>
      <c r="O396" s="46">
        <v>0</v>
      </c>
      <c r="Q396" s="45" t="s">
        <v>23</v>
      </c>
    </row>
    <row r="397" spans="4:17" hidden="1" x14ac:dyDescent="0.4">
      <c r="D397" s="45" t="s">
        <v>46</v>
      </c>
      <c r="E397" s="45" t="s">
        <v>47</v>
      </c>
      <c r="F397" s="45" t="s">
        <v>48</v>
      </c>
      <c r="G397" s="45" t="s">
        <v>49</v>
      </c>
      <c r="H397" s="50" t="s">
        <v>501</v>
      </c>
      <c r="I397" s="49">
        <v>46093</v>
      </c>
      <c r="J397" s="45" t="s">
        <v>445</v>
      </c>
      <c r="K397" s="45" t="s">
        <v>444</v>
      </c>
      <c r="L397" s="48"/>
      <c r="M397" s="47">
        <v>0</v>
      </c>
      <c r="N397" s="47">
        <v>50</v>
      </c>
      <c r="O397" s="46">
        <v>0</v>
      </c>
      <c r="Q397" s="45" t="s">
        <v>23</v>
      </c>
    </row>
    <row r="398" spans="4:17" hidden="1" x14ac:dyDescent="0.4">
      <c r="D398" s="45" t="s">
        <v>51</v>
      </c>
      <c r="E398" s="45" t="s">
        <v>52</v>
      </c>
      <c r="F398" s="45" t="s">
        <v>53</v>
      </c>
      <c r="G398" s="45" t="s">
        <v>54</v>
      </c>
      <c r="H398" s="50" t="s">
        <v>501</v>
      </c>
      <c r="I398" s="49">
        <v>46093</v>
      </c>
      <c r="J398" s="45" t="s">
        <v>445</v>
      </c>
      <c r="K398" s="45" t="s">
        <v>444</v>
      </c>
      <c r="L398" s="48"/>
      <c r="M398" s="47">
        <v>0</v>
      </c>
      <c r="N398" s="47">
        <v>50</v>
      </c>
      <c r="O398" s="46">
        <v>0</v>
      </c>
      <c r="Q398" s="45" t="s">
        <v>23</v>
      </c>
    </row>
    <row r="399" spans="4:17" hidden="1" x14ac:dyDescent="0.4">
      <c r="D399" s="45" t="s">
        <v>56</v>
      </c>
      <c r="E399" s="45" t="s">
        <v>52</v>
      </c>
      <c r="F399" s="45" t="s">
        <v>57</v>
      </c>
      <c r="G399" s="45" t="s">
        <v>58</v>
      </c>
      <c r="H399" s="50" t="s">
        <v>501</v>
      </c>
      <c r="I399" s="49">
        <v>46093</v>
      </c>
      <c r="J399" s="45" t="s">
        <v>445</v>
      </c>
      <c r="K399" s="45" t="s">
        <v>444</v>
      </c>
      <c r="L399" s="48"/>
      <c r="M399" s="47">
        <v>50</v>
      </c>
      <c r="N399" s="47">
        <v>50</v>
      </c>
      <c r="O399" s="46">
        <v>1</v>
      </c>
      <c r="Q399" s="45" t="s">
        <v>23</v>
      </c>
    </row>
    <row r="400" spans="4:17" hidden="1" x14ac:dyDescent="0.4">
      <c r="D400" s="45" t="s">
        <v>60</v>
      </c>
      <c r="E400" s="45" t="s">
        <v>61</v>
      </c>
      <c r="F400" s="45" t="s">
        <v>62</v>
      </c>
      <c r="G400" s="45" t="s">
        <v>63</v>
      </c>
      <c r="H400" s="50" t="s">
        <v>501</v>
      </c>
      <c r="I400" s="49">
        <v>46093</v>
      </c>
      <c r="J400" s="45" t="s">
        <v>445</v>
      </c>
      <c r="K400" s="45" t="s">
        <v>444</v>
      </c>
      <c r="L400" s="48"/>
      <c r="M400" s="47">
        <v>50</v>
      </c>
      <c r="N400" s="47">
        <v>50</v>
      </c>
      <c r="O400" s="46">
        <v>1</v>
      </c>
      <c r="Q400" s="45" t="s">
        <v>23</v>
      </c>
    </row>
    <row r="401" spans="4:17" hidden="1" x14ac:dyDescent="0.4">
      <c r="D401" s="45" t="s">
        <v>65</v>
      </c>
      <c r="E401" s="45" t="s">
        <v>66</v>
      </c>
      <c r="F401" s="45" t="s">
        <v>67</v>
      </c>
      <c r="G401" s="45" t="s">
        <v>68</v>
      </c>
      <c r="H401" s="50" t="s">
        <v>501</v>
      </c>
      <c r="I401" s="49">
        <v>46093</v>
      </c>
      <c r="J401" s="45" t="s">
        <v>445</v>
      </c>
      <c r="K401" s="45" t="s">
        <v>444</v>
      </c>
      <c r="L401" s="48"/>
      <c r="M401" s="47">
        <v>50</v>
      </c>
      <c r="N401" s="47">
        <v>50</v>
      </c>
      <c r="O401" s="46">
        <v>1</v>
      </c>
      <c r="Q401" s="45" t="s">
        <v>23</v>
      </c>
    </row>
    <row r="402" spans="4:17" hidden="1" x14ac:dyDescent="0.4">
      <c r="D402" s="45" t="s">
        <v>70</v>
      </c>
      <c r="E402" s="45" t="s">
        <v>71</v>
      </c>
      <c r="F402" s="45" t="s">
        <v>72</v>
      </c>
      <c r="G402" s="45" t="s">
        <v>73</v>
      </c>
      <c r="H402" s="50" t="s">
        <v>501</v>
      </c>
      <c r="I402" s="49">
        <v>46093</v>
      </c>
      <c r="J402" s="45" t="s">
        <v>445</v>
      </c>
      <c r="K402" s="45" t="s">
        <v>444</v>
      </c>
      <c r="L402" s="48"/>
      <c r="M402" s="47">
        <v>50</v>
      </c>
      <c r="N402" s="47">
        <v>50</v>
      </c>
      <c r="O402" s="46">
        <v>1</v>
      </c>
      <c r="Q402" s="45" t="s">
        <v>23</v>
      </c>
    </row>
    <row r="403" spans="4:17" hidden="1" x14ac:dyDescent="0.4">
      <c r="D403" s="45" t="s">
        <v>75</v>
      </c>
      <c r="E403" s="45" t="s">
        <v>76</v>
      </c>
      <c r="F403" s="45" t="s">
        <v>77</v>
      </c>
      <c r="G403" s="45" t="s">
        <v>78</v>
      </c>
      <c r="H403" s="50" t="s">
        <v>501</v>
      </c>
      <c r="I403" s="49">
        <v>46093</v>
      </c>
      <c r="J403" s="45" t="s">
        <v>445</v>
      </c>
      <c r="K403" s="45" t="s">
        <v>444</v>
      </c>
      <c r="L403" s="48"/>
      <c r="M403" s="47">
        <v>50</v>
      </c>
      <c r="N403" s="47">
        <v>50</v>
      </c>
      <c r="O403" s="46">
        <v>1</v>
      </c>
      <c r="Q403" s="45" t="s">
        <v>23</v>
      </c>
    </row>
    <row r="404" spans="4:17" hidden="1" x14ac:dyDescent="0.4">
      <c r="D404" s="45" t="s">
        <v>80</v>
      </c>
      <c r="E404" s="45" t="s">
        <v>81</v>
      </c>
      <c r="F404" s="45" t="s">
        <v>82</v>
      </c>
      <c r="G404" s="45" t="s">
        <v>83</v>
      </c>
      <c r="H404" s="50" t="s">
        <v>501</v>
      </c>
      <c r="I404" s="49">
        <v>46093</v>
      </c>
      <c r="J404" s="45" t="s">
        <v>445</v>
      </c>
      <c r="K404" s="45" t="s">
        <v>444</v>
      </c>
      <c r="L404" s="48"/>
      <c r="M404" s="47">
        <v>50</v>
      </c>
      <c r="N404" s="47">
        <v>50</v>
      </c>
      <c r="O404" s="46">
        <v>1</v>
      </c>
      <c r="Q404" s="45" t="s">
        <v>23</v>
      </c>
    </row>
    <row r="405" spans="4:17" hidden="1" x14ac:dyDescent="0.4">
      <c r="D405" s="45" t="s">
        <v>85</v>
      </c>
      <c r="E405" s="45" t="s">
        <v>86</v>
      </c>
      <c r="F405" s="45" t="s">
        <v>87</v>
      </c>
      <c r="G405" s="45" t="s">
        <v>88</v>
      </c>
      <c r="H405" s="50" t="s">
        <v>501</v>
      </c>
      <c r="I405" s="49">
        <v>46093</v>
      </c>
      <c r="J405" s="45" t="s">
        <v>445</v>
      </c>
      <c r="K405" s="45" t="s">
        <v>444</v>
      </c>
      <c r="L405" s="48"/>
      <c r="M405" s="47">
        <v>50</v>
      </c>
      <c r="N405" s="47">
        <v>50</v>
      </c>
      <c r="O405" s="46">
        <v>1</v>
      </c>
      <c r="Q405" s="45" t="s">
        <v>23</v>
      </c>
    </row>
    <row r="406" spans="4:17" hidden="1" x14ac:dyDescent="0.4">
      <c r="D406" s="45" t="s">
        <v>89</v>
      </c>
      <c r="E406" s="45" t="s">
        <v>90</v>
      </c>
      <c r="F406" s="45" t="s">
        <v>91</v>
      </c>
      <c r="G406" s="45" t="s">
        <v>92</v>
      </c>
      <c r="H406" s="50" t="s">
        <v>501</v>
      </c>
      <c r="I406" s="49">
        <v>46093</v>
      </c>
      <c r="J406" s="45" t="s">
        <v>445</v>
      </c>
      <c r="K406" s="45" t="s">
        <v>444</v>
      </c>
      <c r="L406" s="48"/>
      <c r="M406" s="47">
        <v>50</v>
      </c>
      <c r="N406" s="47">
        <v>50</v>
      </c>
      <c r="O406" s="46">
        <v>1</v>
      </c>
      <c r="Q406" s="45" t="s">
        <v>23</v>
      </c>
    </row>
    <row r="407" spans="4:17" hidden="1" x14ac:dyDescent="0.4">
      <c r="D407" s="45" t="s">
        <v>94</v>
      </c>
      <c r="E407" s="45" t="s">
        <v>95</v>
      </c>
      <c r="F407" s="45" t="s">
        <v>96</v>
      </c>
      <c r="G407" s="45" t="s">
        <v>97</v>
      </c>
      <c r="H407" s="50" t="s">
        <v>501</v>
      </c>
      <c r="I407" s="49">
        <v>46093</v>
      </c>
      <c r="J407" s="45" t="s">
        <v>445</v>
      </c>
      <c r="K407" s="45" t="s">
        <v>444</v>
      </c>
      <c r="L407" s="48"/>
      <c r="M407" s="47">
        <v>0</v>
      </c>
      <c r="N407" s="47">
        <v>50</v>
      </c>
      <c r="O407" s="46">
        <v>0</v>
      </c>
      <c r="Q407" s="45" t="s">
        <v>23</v>
      </c>
    </row>
    <row r="408" spans="4:17" hidden="1" x14ac:dyDescent="0.4">
      <c r="D408" s="45" t="s">
        <v>99</v>
      </c>
      <c r="E408" s="45" t="s">
        <v>100</v>
      </c>
      <c r="F408" s="45" t="s">
        <v>101</v>
      </c>
      <c r="G408" s="45" t="s">
        <v>102</v>
      </c>
      <c r="H408" s="50" t="s">
        <v>501</v>
      </c>
      <c r="I408" s="49">
        <v>46093</v>
      </c>
      <c r="J408" s="45" t="s">
        <v>445</v>
      </c>
      <c r="K408" s="45" t="s">
        <v>444</v>
      </c>
      <c r="L408" s="48"/>
      <c r="M408" s="47">
        <v>50</v>
      </c>
      <c r="N408" s="47">
        <v>50</v>
      </c>
      <c r="O408" s="46">
        <v>1</v>
      </c>
      <c r="Q408" s="45" t="s">
        <v>23</v>
      </c>
    </row>
    <row r="409" spans="4:17" hidden="1" x14ac:dyDescent="0.4">
      <c r="D409" s="45" t="s">
        <v>104</v>
      </c>
      <c r="E409" s="45" t="s">
        <v>86</v>
      </c>
      <c r="F409" s="45" t="s">
        <v>105</v>
      </c>
      <c r="G409" s="45" t="s">
        <v>106</v>
      </c>
      <c r="H409" s="50" t="s">
        <v>501</v>
      </c>
      <c r="I409" s="49">
        <v>46093</v>
      </c>
      <c r="J409" s="45" t="s">
        <v>445</v>
      </c>
      <c r="K409" s="45" t="s">
        <v>444</v>
      </c>
      <c r="L409" s="48"/>
      <c r="M409" s="47">
        <v>50</v>
      </c>
      <c r="N409" s="47">
        <v>50</v>
      </c>
      <c r="O409" s="46">
        <v>1</v>
      </c>
      <c r="Q409" s="45" t="s">
        <v>23</v>
      </c>
    </row>
    <row r="410" spans="4:17" hidden="1" x14ac:dyDescent="0.4">
      <c r="D410" s="45" t="s">
        <v>107</v>
      </c>
      <c r="E410" s="45" t="s">
        <v>108</v>
      </c>
      <c r="F410" s="45" t="s">
        <v>109</v>
      </c>
      <c r="G410" s="45" t="s">
        <v>110</v>
      </c>
      <c r="H410" s="50" t="s">
        <v>501</v>
      </c>
      <c r="I410" s="49">
        <v>46093</v>
      </c>
      <c r="J410" s="45" t="s">
        <v>445</v>
      </c>
      <c r="K410" s="45" t="s">
        <v>444</v>
      </c>
      <c r="L410" s="48"/>
      <c r="M410" s="47">
        <v>50</v>
      </c>
      <c r="N410" s="47">
        <v>50</v>
      </c>
      <c r="O410" s="46">
        <v>1</v>
      </c>
      <c r="Q410" s="45" t="s">
        <v>23</v>
      </c>
    </row>
    <row r="411" spans="4:17" hidden="1" x14ac:dyDescent="0.4">
      <c r="D411" s="45" t="s">
        <v>112</v>
      </c>
      <c r="E411" s="45" t="s">
        <v>113</v>
      </c>
      <c r="F411" s="45" t="s">
        <v>114</v>
      </c>
      <c r="G411" s="45" t="s">
        <v>115</v>
      </c>
      <c r="H411" s="50" t="s">
        <v>501</v>
      </c>
      <c r="I411" s="49">
        <v>46093</v>
      </c>
      <c r="J411" s="45" t="s">
        <v>445</v>
      </c>
      <c r="K411" s="45" t="s">
        <v>444</v>
      </c>
      <c r="L411" s="48"/>
      <c r="M411" s="47">
        <v>50</v>
      </c>
      <c r="N411" s="47">
        <v>50</v>
      </c>
      <c r="O411" s="46">
        <v>1</v>
      </c>
      <c r="Q411" s="45" t="s">
        <v>23</v>
      </c>
    </row>
    <row r="412" spans="4:17" hidden="1" x14ac:dyDescent="0.4">
      <c r="D412" s="45" t="s">
        <v>117</v>
      </c>
      <c r="E412" s="45" t="s">
        <v>118</v>
      </c>
      <c r="F412" s="45" t="s">
        <v>119</v>
      </c>
      <c r="G412" s="45" t="s">
        <v>120</v>
      </c>
      <c r="H412" s="50" t="s">
        <v>501</v>
      </c>
      <c r="I412" s="49">
        <v>46093</v>
      </c>
      <c r="J412" s="45" t="s">
        <v>445</v>
      </c>
      <c r="K412" s="45" t="s">
        <v>444</v>
      </c>
      <c r="L412" s="48"/>
      <c r="M412" s="47">
        <v>50</v>
      </c>
      <c r="N412" s="47">
        <v>50</v>
      </c>
      <c r="O412" s="46">
        <v>1</v>
      </c>
      <c r="Q412" s="45" t="s">
        <v>23</v>
      </c>
    </row>
    <row r="413" spans="4:17" hidden="1" x14ac:dyDescent="0.4">
      <c r="D413" s="45" t="s">
        <v>122</v>
      </c>
      <c r="E413" s="45" t="s">
        <v>123</v>
      </c>
      <c r="F413" s="45" t="s">
        <v>124</v>
      </c>
      <c r="G413" s="45" t="s">
        <v>125</v>
      </c>
      <c r="H413" s="50" t="s">
        <v>501</v>
      </c>
      <c r="I413" s="49">
        <v>46093</v>
      </c>
      <c r="J413" s="45" t="s">
        <v>445</v>
      </c>
      <c r="K413" s="45" t="s">
        <v>444</v>
      </c>
      <c r="L413" s="48"/>
      <c r="M413" s="47">
        <v>50</v>
      </c>
      <c r="N413" s="47">
        <v>50</v>
      </c>
      <c r="O413" s="46">
        <v>1</v>
      </c>
      <c r="Q413" s="45" t="s">
        <v>23</v>
      </c>
    </row>
    <row r="414" spans="4:17" hidden="1" x14ac:dyDescent="0.4">
      <c r="D414" s="45" t="s">
        <v>127</v>
      </c>
      <c r="E414" s="45" t="s">
        <v>128</v>
      </c>
      <c r="F414" s="45" t="s">
        <v>129</v>
      </c>
      <c r="G414" s="45" t="s">
        <v>130</v>
      </c>
      <c r="H414" s="50" t="s">
        <v>501</v>
      </c>
      <c r="I414" s="49">
        <v>46093</v>
      </c>
      <c r="J414" s="45" t="s">
        <v>445</v>
      </c>
      <c r="K414" s="45" t="s">
        <v>444</v>
      </c>
      <c r="L414" s="48"/>
      <c r="M414" s="47">
        <v>50</v>
      </c>
      <c r="N414" s="47">
        <v>50</v>
      </c>
      <c r="O414" s="46">
        <v>1</v>
      </c>
      <c r="Q414" s="45" t="s">
        <v>23</v>
      </c>
    </row>
    <row r="415" spans="4:17" hidden="1" x14ac:dyDescent="0.4">
      <c r="D415" s="45" t="s">
        <v>132</v>
      </c>
      <c r="E415" s="45" t="s">
        <v>133</v>
      </c>
      <c r="F415" s="45" t="s">
        <v>134</v>
      </c>
      <c r="G415" s="45" t="s">
        <v>135</v>
      </c>
      <c r="H415" s="50" t="s">
        <v>501</v>
      </c>
      <c r="I415" s="49">
        <v>46093</v>
      </c>
      <c r="J415" s="45" t="s">
        <v>445</v>
      </c>
      <c r="K415" s="45" t="s">
        <v>444</v>
      </c>
      <c r="L415" s="48"/>
      <c r="M415" s="47">
        <v>0</v>
      </c>
      <c r="N415" s="47">
        <v>50</v>
      </c>
      <c r="O415" s="46">
        <v>0</v>
      </c>
      <c r="Q415" s="45" t="s">
        <v>23</v>
      </c>
    </row>
    <row r="416" spans="4:17" hidden="1" x14ac:dyDescent="0.4">
      <c r="D416" s="45" t="s">
        <v>137</v>
      </c>
      <c r="E416" s="45" t="s">
        <v>138</v>
      </c>
      <c r="F416" s="45" t="s">
        <v>139</v>
      </c>
      <c r="G416" s="45" t="s">
        <v>140</v>
      </c>
      <c r="H416" s="50" t="s">
        <v>501</v>
      </c>
      <c r="I416" s="49">
        <v>46093</v>
      </c>
      <c r="J416" s="45" t="s">
        <v>445</v>
      </c>
      <c r="K416" s="45" t="s">
        <v>444</v>
      </c>
      <c r="L416" s="48"/>
      <c r="M416" s="47">
        <v>50</v>
      </c>
      <c r="N416" s="47">
        <v>50</v>
      </c>
      <c r="O416" s="46">
        <v>1</v>
      </c>
      <c r="Q416" s="45" t="s">
        <v>23</v>
      </c>
    </row>
    <row r="417" spans="4:17" hidden="1" x14ac:dyDescent="0.4">
      <c r="D417" s="45" t="s">
        <v>142</v>
      </c>
      <c r="E417" s="45" t="s">
        <v>143</v>
      </c>
      <c r="F417" s="45" t="s">
        <v>144</v>
      </c>
      <c r="G417" s="45" t="s">
        <v>145</v>
      </c>
      <c r="H417" s="50" t="s">
        <v>501</v>
      </c>
      <c r="I417" s="49">
        <v>46093</v>
      </c>
      <c r="J417" s="45" t="s">
        <v>445</v>
      </c>
      <c r="K417" s="45" t="s">
        <v>444</v>
      </c>
      <c r="L417" s="48"/>
      <c r="M417" s="47">
        <v>50</v>
      </c>
      <c r="N417" s="47">
        <v>50</v>
      </c>
      <c r="O417" s="46">
        <v>1</v>
      </c>
      <c r="Q417" s="45" t="s">
        <v>23</v>
      </c>
    </row>
    <row r="418" spans="4:17" hidden="1" x14ac:dyDescent="0.4">
      <c r="D418" s="45" t="s">
        <v>147</v>
      </c>
      <c r="E418" s="45" t="s">
        <v>148</v>
      </c>
      <c r="F418" s="45" t="s">
        <v>149</v>
      </c>
      <c r="G418" s="45" t="s">
        <v>150</v>
      </c>
      <c r="H418" s="50" t="s">
        <v>501</v>
      </c>
      <c r="I418" s="49">
        <v>46093</v>
      </c>
      <c r="J418" s="45" t="s">
        <v>445</v>
      </c>
      <c r="K418" s="45" t="s">
        <v>444</v>
      </c>
      <c r="L418" s="48"/>
      <c r="M418" s="47">
        <v>50</v>
      </c>
      <c r="N418" s="47">
        <v>50</v>
      </c>
      <c r="O418" s="46">
        <v>1</v>
      </c>
      <c r="Q418" s="45" t="s">
        <v>23</v>
      </c>
    </row>
    <row r="419" spans="4:17" hidden="1" x14ac:dyDescent="0.4">
      <c r="D419" s="45" t="s">
        <v>152</v>
      </c>
      <c r="E419" s="45" t="s">
        <v>66</v>
      </c>
      <c r="F419" s="45" t="s">
        <v>153</v>
      </c>
      <c r="G419" s="45" t="s">
        <v>154</v>
      </c>
      <c r="H419" s="50" t="s">
        <v>501</v>
      </c>
      <c r="I419" s="49">
        <v>46093</v>
      </c>
      <c r="J419" s="45" t="s">
        <v>445</v>
      </c>
      <c r="K419" s="45" t="s">
        <v>444</v>
      </c>
      <c r="L419" s="48"/>
      <c r="M419" s="47">
        <v>0</v>
      </c>
      <c r="N419" s="47">
        <v>50</v>
      </c>
      <c r="O419" s="46">
        <v>0</v>
      </c>
      <c r="Q419" s="45" t="s">
        <v>23</v>
      </c>
    </row>
    <row r="420" spans="4:17" hidden="1" x14ac:dyDescent="0.4">
      <c r="D420" s="45" t="s">
        <v>160</v>
      </c>
      <c r="E420" s="45" t="s">
        <v>81</v>
      </c>
      <c r="F420" s="45" t="s">
        <v>161</v>
      </c>
      <c r="G420" s="45" t="s">
        <v>162</v>
      </c>
      <c r="H420" s="50" t="s">
        <v>501</v>
      </c>
      <c r="I420" s="49">
        <v>46093</v>
      </c>
      <c r="J420" s="45" t="s">
        <v>445</v>
      </c>
      <c r="K420" s="45" t="s">
        <v>444</v>
      </c>
      <c r="L420" s="48"/>
      <c r="M420" s="47">
        <v>0</v>
      </c>
      <c r="N420" s="47">
        <v>50</v>
      </c>
      <c r="O420" s="46">
        <v>0</v>
      </c>
      <c r="Q420" s="45" t="s">
        <v>23</v>
      </c>
    </row>
    <row r="421" spans="4:17" hidden="1" x14ac:dyDescent="0.4">
      <c r="D421" s="45" t="s">
        <v>163</v>
      </c>
      <c r="E421" s="45" t="s">
        <v>164</v>
      </c>
      <c r="F421" s="45" t="s">
        <v>165</v>
      </c>
      <c r="G421" s="45" t="s">
        <v>166</v>
      </c>
      <c r="H421" s="50" t="s">
        <v>501</v>
      </c>
      <c r="I421" s="49">
        <v>46093</v>
      </c>
      <c r="J421" s="45" t="s">
        <v>445</v>
      </c>
      <c r="K421" s="45" t="s">
        <v>444</v>
      </c>
      <c r="L421" s="48"/>
      <c r="M421" s="47">
        <v>0</v>
      </c>
      <c r="N421" s="47">
        <v>50</v>
      </c>
      <c r="O421" s="46">
        <v>0</v>
      </c>
      <c r="Q421" s="45" t="s">
        <v>23</v>
      </c>
    </row>
    <row r="422" spans="4:17" hidden="1" x14ac:dyDescent="0.4">
      <c r="D422" s="45" t="s">
        <v>168</v>
      </c>
      <c r="E422" s="45" t="s">
        <v>169</v>
      </c>
      <c r="F422" s="45" t="s">
        <v>170</v>
      </c>
      <c r="G422" s="45" t="s">
        <v>171</v>
      </c>
      <c r="H422" s="50" t="s">
        <v>501</v>
      </c>
      <c r="I422" s="49">
        <v>46093</v>
      </c>
      <c r="J422" s="45" t="s">
        <v>445</v>
      </c>
      <c r="K422" s="45" t="s">
        <v>444</v>
      </c>
      <c r="L422" s="48"/>
      <c r="M422" s="47">
        <v>50</v>
      </c>
      <c r="N422" s="47">
        <v>50</v>
      </c>
      <c r="O422" s="46">
        <v>1</v>
      </c>
      <c r="Q422" s="45" t="s">
        <v>23</v>
      </c>
    </row>
    <row r="423" spans="4:17" hidden="1" x14ac:dyDescent="0.4">
      <c r="D423" s="45" t="s">
        <v>173</v>
      </c>
      <c r="E423" s="45" t="s">
        <v>174</v>
      </c>
      <c r="F423" s="45" t="s">
        <v>175</v>
      </c>
      <c r="G423" s="45" t="s">
        <v>176</v>
      </c>
      <c r="H423" s="50" t="s">
        <v>501</v>
      </c>
      <c r="I423" s="49">
        <v>46093</v>
      </c>
      <c r="J423" s="45" t="s">
        <v>445</v>
      </c>
      <c r="K423" s="45" t="s">
        <v>444</v>
      </c>
      <c r="L423" s="48"/>
      <c r="M423" s="47">
        <v>50</v>
      </c>
      <c r="N423" s="47">
        <v>50</v>
      </c>
      <c r="O423" s="46">
        <v>1</v>
      </c>
      <c r="Q423" s="45" t="s">
        <v>23</v>
      </c>
    </row>
    <row r="424" spans="4:17" hidden="1" x14ac:dyDescent="0.4">
      <c r="D424" s="45" t="s">
        <v>178</v>
      </c>
      <c r="E424" s="45" t="s">
        <v>179</v>
      </c>
      <c r="F424" s="45" t="s">
        <v>180</v>
      </c>
      <c r="G424" s="45" t="s">
        <v>181</v>
      </c>
      <c r="H424" s="50" t="s">
        <v>501</v>
      </c>
      <c r="I424" s="49">
        <v>46093</v>
      </c>
      <c r="J424" s="45" t="s">
        <v>445</v>
      </c>
      <c r="K424" s="45" t="s">
        <v>444</v>
      </c>
      <c r="L424" s="48"/>
      <c r="M424" s="47">
        <v>50</v>
      </c>
      <c r="N424" s="47">
        <v>50</v>
      </c>
      <c r="O424" s="46">
        <v>1</v>
      </c>
      <c r="Q424" s="45" t="s">
        <v>23</v>
      </c>
    </row>
    <row r="425" spans="4:17" hidden="1" x14ac:dyDescent="0.4">
      <c r="D425" s="45" t="s">
        <v>187</v>
      </c>
      <c r="E425" s="45" t="s">
        <v>188</v>
      </c>
      <c r="F425" s="45" t="s">
        <v>189</v>
      </c>
      <c r="G425" s="45" t="s">
        <v>190</v>
      </c>
      <c r="H425" s="50" t="s">
        <v>501</v>
      </c>
      <c r="I425" s="49">
        <v>46093</v>
      </c>
      <c r="J425" s="45" t="s">
        <v>445</v>
      </c>
      <c r="K425" s="45" t="s">
        <v>444</v>
      </c>
      <c r="L425" s="48"/>
      <c r="M425" s="47">
        <v>50</v>
      </c>
      <c r="N425" s="47">
        <v>50</v>
      </c>
      <c r="O425" s="46">
        <v>1</v>
      </c>
      <c r="Q425" s="45" t="s">
        <v>23</v>
      </c>
    </row>
    <row r="426" spans="4:17" hidden="1" x14ac:dyDescent="0.4">
      <c r="D426" s="45" t="s">
        <v>192</v>
      </c>
      <c r="E426" s="45" t="s">
        <v>193</v>
      </c>
      <c r="F426" s="45" t="s">
        <v>194</v>
      </c>
      <c r="G426" s="45" t="s">
        <v>195</v>
      </c>
      <c r="H426" s="50" t="s">
        <v>501</v>
      </c>
      <c r="I426" s="49">
        <v>46093</v>
      </c>
      <c r="J426" s="45" t="s">
        <v>445</v>
      </c>
      <c r="K426" s="45" t="s">
        <v>444</v>
      </c>
      <c r="L426" s="48"/>
      <c r="M426" s="47">
        <v>0</v>
      </c>
      <c r="N426" s="47">
        <v>50</v>
      </c>
      <c r="O426" s="46">
        <v>0</v>
      </c>
      <c r="Q426" s="45" t="s">
        <v>23</v>
      </c>
    </row>
    <row r="427" spans="4:17" hidden="1" x14ac:dyDescent="0.4">
      <c r="D427" s="45" t="s">
        <v>197</v>
      </c>
      <c r="E427" s="45" t="s">
        <v>198</v>
      </c>
      <c r="F427" s="45" t="s">
        <v>199</v>
      </c>
      <c r="G427" s="45" t="s">
        <v>200</v>
      </c>
      <c r="H427" s="50" t="s">
        <v>501</v>
      </c>
      <c r="I427" s="49">
        <v>46093</v>
      </c>
      <c r="J427" s="45" t="s">
        <v>445</v>
      </c>
      <c r="K427" s="45" t="s">
        <v>444</v>
      </c>
      <c r="L427" s="48"/>
      <c r="M427" s="47">
        <v>0</v>
      </c>
      <c r="N427" s="47">
        <v>50</v>
      </c>
      <c r="O427" s="46">
        <v>0</v>
      </c>
      <c r="Q427" s="45" t="s">
        <v>23</v>
      </c>
    </row>
    <row r="428" spans="4:17" hidden="1" x14ac:dyDescent="0.4">
      <c r="D428" s="45" t="s">
        <v>201</v>
      </c>
      <c r="E428" s="45" t="s">
        <v>143</v>
      </c>
      <c r="F428" s="45" t="s">
        <v>202</v>
      </c>
      <c r="G428" s="45" t="s">
        <v>203</v>
      </c>
      <c r="H428" s="50" t="s">
        <v>501</v>
      </c>
      <c r="I428" s="49">
        <v>46093</v>
      </c>
      <c r="J428" s="45" t="s">
        <v>445</v>
      </c>
      <c r="K428" s="45" t="s">
        <v>444</v>
      </c>
      <c r="L428" s="48"/>
      <c r="M428" s="47">
        <v>0</v>
      </c>
      <c r="N428" s="47">
        <v>50</v>
      </c>
      <c r="O428" s="46">
        <v>0</v>
      </c>
      <c r="Q428" s="45" t="s">
        <v>23</v>
      </c>
    </row>
    <row r="429" spans="4:17" hidden="1" x14ac:dyDescent="0.4">
      <c r="D429" s="45" t="s">
        <v>205</v>
      </c>
      <c r="E429" s="45" t="s">
        <v>206</v>
      </c>
      <c r="F429" s="45" t="s">
        <v>207</v>
      </c>
      <c r="G429" s="45" t="s">
        <v>208</v>
      </c>
      <c r="H429" s="50" t="s">
        <v>501</v>
      </c>
      <c r="I429" s="49">
        <v>46093</v>
      </c>
      <c r="J429" s="45" t="s">
        <v>445</v>
      </c>
      <c r="K429" s="45" t="s">
        <v>444</v>
      </c>
      <c r="L429" s="48"/>
      <c r="M429" s="47">
        <v>50</v>
      </c>
      <c r="N429" s="47">
        <v>50</v>
      </c>
      <c r="O429" s="46">
        <v>1</v>
      </c>
      <c r="Q429" s="45" t="s">
        <v>23</v>
      </c>
    </row>
    <row r="430" spans="4:17" hidden="1" x14ac:dyDescent="0.4">
      <c r="D430" s="45" t="s">
        <v>210</v>
      </c>
      <c r="E430" s="45" t="s">
        <v>211</v>
      </c>
      <c r="F430" s="45" t="s">
        <v>212</v>
      </c>
      <c r="G430" s="45" t="s">
        <v>213</v>
      </c>
      <c r="H430" s="50" t="s">
        <v>501</v>
      </c>
      <c r="I430" s="49">
        <v>46093</v>
      </c>
      <c r="J430" s="45" t="s">
        <v>445</v>
      </c>
      <c r="K430" s="45" t="s">
        <v>444</v>
      </c>
      <c r="L430" s="48"/>
      <c r="M430" s="47">
        <v>50</v>
      </c>
      <c r="N430" s="47">
        <v>50</v>
      </c>
      <c r="O430" s="46">
        <v>1</v>
      </c>
      <c r="Q430" s="45" t="s">
        <v>23</v>
      </c>
    </row>
    <row r="431" spans="4:17" hidden="1" x14ac:dyDescent="0.4">
      <c r="D431" s="45" t="s">
        <v>215</v>
      </c>
      <c r="E431" s="45" t="s">
        <v>216</v>
      </c>
      <c r="F431" s="45" t="s">
        <v>217</v>
      </c>
      <c r="G431" s="45" t="s">
        <v>218</v>
      </c>
      <c r="H431" s="50" t="s">
        <v>501</v>
      </c>
      <c r="I431" s="49">
        <v>46093</v>
      </c>
      <c r="J431" s="45" t="s">
        <v>445</v>
      </c>
      <c r="K431" s="45" t="s">
        <v>444</v>
      </c>
      <c r="L431" s="48"/>
      <c r="M431" s="47">
        <v>50</v>
      </c>
      <c r="N431" s="47">
        <v>50</v>
      </c>
      <c r="O431" s="46">
        <v>1</v>
      </c>
      <c r="Q431" s="45" t="s">
        <v>23</v>
      </c>
    </row>
    <row r="432" spans="4:17" hidden="1" x14ac:dyDescent="0.4">
      <c r="D432" s="45" t="s">
        <v>24</v>
      </c>
      <c r="E432" s="45" t="s">
        <v>25</v>
      </c>
      <c r="F432" s="45" t="s">
        <v>26</v>
      </c>
      <c r="G432" s="45" t="s">
        <v>27</v>
      </c>
      <c r="H432" s="50" t="s">
        <v>483</v>
      </c>
      <c r="I432" s="49">
        <v>46092</v>
      </c>
      <c r="J432" s="45" t="s">
        <v>448</v>
      </c>
      <c r="K432" s="45" t="s">
        <v>444</v>
      </c>
      <c r="L432" s="48" t="s">
        <v>500</v>
      </c>
      <c r="M432" s="47">
        <v>50</v>
      </c>
      <c r="N432" s="47">
        <v>50</v>
      </c>
      <c r="O432" s="46">
        <v>1</v>
      </c>
      <c r="Q432" s="45" t="s">
        <v>23</v>
      </c>
    </row>
    <row r="433" spans="4:17" hidden="1" x14ac:dyDescent="0.4">
      <c r="D433" s="45" t="s">
        <v>31</v>
      </c>
      <c r="E433" s="45" t="s">
        <v>32</v>
      </c>
      <c r="F433" s="45" t="s">
        <v>33</v>
      </c>
      <c r="G433" s="45" t="s">
        <v>34</v>
      </c>
      <c r="H433" s="50" t="s">
        <v>483</v>
      </c>
      <c r="I433" s="49">
        <v>46092</v>
      </c>
      <c r="J433" s="45" t="s">
        <v>448</v>
      </c>
      <c r="K433" s="45" t="s">
        <v>444</v>
      </c>
      <c r="L433" s="48" t="s">
        <v>497</v>
      </c>
      <c r="M433" s="47">
        <v>50</v>
      </c>
      <c r="N433" s="47">
        <v>50</v>
      </c>
      <c r="O433" s="46">
        <v>1</v>
      </c>
      <c r="Q433" s="45" t="s">
        <v>23</v>
      </c>
    </row>
    <row r="434" spans="4:17" hidden="1" x14ac:dyDescent="0.4">
      <c r="D434" s="45" t="s">
        <v>36</v>
      </c>
      <c r="E434" s="45" t="s">
        <v>37</v>
      </c>
      <c r="F434" s="45" t="s">
        <v>38</v>
      </c>
      <c r="G434" s="45" t="s">
        <v>39</v>
      </c>
      <c r="H434" s="50" t="s">
        <v>483</v>
      </c>
      <c r="I434" s="49">
        <v>46092</v>
      </c>
      <c r="J434" s="45" t="s">
        <v>448</v>
      </c>
      <c r="K434" s="45" t="s">
        <v>444</v>
      </c>
      <c r="L434" s="48" t="s">
        <v>498</v>
      </c>
      <c r="M434" s="47">
        <v>50</v>
      </c>
      <c r="N434" s="47">
        <v>50</v>
      </c>
      <c r="O434" s="46">
        <v>1</v>
      </c>
      <c r="Q434" s="45" t="s">
        <v>23</v>
      </c>
    </row>
    <row r="435" spans="4:17" hidden="1" x14ac:dyDescent="0.4">
      <c r="D435" s="45" t="s">
        <v>41</v>
      </c>
      <c r="E435" s="45" t="s">
        <v>42</v>
      </c>
      <c r="F435" s="45" t="s">
        <v>43</v>
      </c>
      <c r="G435" s="45" t="s">
        <v>44</v>
      </c>
      <c r="H435" s="50" t="s">
        <v>483</v>
      </c>
      <c r="I435" s="49">
        <v>46092</v>
      </c>
      <c r="J435" s="45" t="s">
        <v>448</v>
      </c>
      <c r="K435" s="45" t="s">
        <v>444</v>
      </c>
      <c r="L435" s="48" t="s">
        <v>491</v>
      </c>
      <c r="M435" s="47">
        <v>40</v>
      </c>
      <c r="N435" s="47">
        <v>50</v>
      </c>
      <c r="O435" s="46">
        <v>0.8</v>
      </c>
      <c r="Q435" s="45" t="s">
        <v>23</v>
      </c>
    </row>
    <row r="436" spans="4:17" hidden="1" x14ac:dyDescent="0.4">
      <c r="D436" s="45" t="s">
        <v>46</v>
      </c>
      <c r="E436" s="45" t="s">
        <v>47</v>
      </c>
      <c r="F436" s="45" t="s">
        <v>48</v>
      </c>
      <c r="G436" s="45" t="s">
        <v>49</v>
      </c>
      <c r="H436" s="50" t="s">
        <v>483</v>
      </c>
      <c r="I436" s="49">
        <v>46092</v>
      </c>
      <c r="J436" s="45" t="s">
        <v>448</v>
      </c>
      <c r="K436" s="45" t="s">
        <v>444</v>
      </c>
      <c r="L436" s="48" t="s">
        <v>491</v>
      </c>
      <c r="M436" s="47">
        <v>40</v>
      </c>
      <c r="N436" s="47">
        <v>50</v>
      </c>
      <c r="O436" s="46">
        <v>0.8</v>
      </c>
      <c r="Q436" s="45" t="s">
        <v>23</v>
      </c>
    </row>
    <row r="437" spans="4:17" hidden="1" x14ac:dyDescent="0.4">
      <c r="D437" s="45" t="s">
        <v>51</v>
      </c>
      <c r="E437" s="45" t="s">
        <v>52</v>
      </c>
      <c r="F437" s="45" t="s">
        <v>53</v>
      </c>
      <c r="G437" s="45" t="s">
        <v>54</v>
      </c>
      <c r="H437" s="50" t="s">
        <v>483</v>
      </c>
      <c r="I437" s="49">
        <v>46092</v>
      </c>
      <c r="J437" s="45" t="s">
        <v>448</v>
      </c>
      <c r="K437" s="45" t="s">
        <v>444</v>
      </c>
      <c r="L437" s="48" t="s">
        <v>499</v>
      </c>
      <c r="M437" s="47">
        <v>0</v>
      </c>
      <c r="N437" s="47">
        <v>50</v>
      </c>
      <c r="O437" s="46">
        <v>0</v>
      </c>
      <c r="Q437" s="45" t="s">
        <v>23</v>
      </c>
    </row>
    <row r="438" spans="4:17" hidden="1" x14ac:dyDescent="0.4">
      <c r="D438" s="45" t="s">
        <v>56</v>
      </c>
      <c r="E438" s="45" t="s">
        <v>52</v>
      </c>
      <c r="F438" s="45" t="s">
        <v>57</v>
      </c>
      <c r="G438" s="45" t="s">
        <v>58</v>
      </c>
      <c r="H438" s="50" t="s">
        <v>483</v>
      </c>
      <c r="I438" s="49">
        <v>46092</v>
      </c>
      <c r="J438" s="45" t="s">
        <v>448</v>
      </c>
      <c r="K438" s="45" t="s">
        <v>444</v>
      </c>
      <c r="L438" s="48" t="s">
        <v>493</v>
      </c>
      <c r="M438" s="47">
        <v>50</v>
      </c>
      <c r="N438" s="47">
        <v>50</v>
      </c>
      <c r="O438" s="46">
        <v>1</v>
      </c>
      <c r="Q438" s="45" t="s">
        <v>23</v>
      </c>
    </row>
    <row r="439" spans="4:17" hidden="1" x14ac:dyDescent="0.4">
      <c r="D439" s="45" t="s">
        <v>60</v>
      </c>
      <c r="E439" s="45" t="s">
        <v>61</v>
      </c>
      <c r="F439" s="45" t="s">
        <v>62</v>
      </c>
      <c r="G439" s="45" t="s">
        <v>63</v>
      </c>
      <c r="H439" s="50" t="s">
        <v>483</v>
      </c>
      <c r="I439" s="49">
        <v>46092</v>
      </c>
      <c r="J439" s="45" t="s">
        <v>448</v>
      </c>
      <c r="K439" s="45" t="s">
        <v>444</v>
      </c>
      <c r="L439" s="48" t="s">
        <v>489</v>
      </c>
      <c r="M439" s="47">
        <v>50</v>
      </c>
      <c r="N439" s="47">
        <v>50</v>
      </c>
      <c r="O439" s="46">
        <v>1</v>
      </c>
      <c r="Q439" s="45" t="s">
        <v>23</v>
      </c>
    </row>
    <row r="440" spans="4:17" hidden="1" x14ac:dyDescent="0.4">
      <c r="D440" s="45" t="s">
        <v>65</v>
      </c>
      <c r="E440" s="45" t="s">
        <v>66</v>
      </c>
      <c r="F440" s="45" t="s">
        <v>67</v>
      </c>
      <c r="G440" s="45" t="s">
        <v>68</v>
      </c>
      <c r="H440" s="50" t="s">
        <v>483</v>
      </c>
      <c r="I440" s="49">
        <v>46092</v>
      </c>
      <c r="J440" s="45" t="s">
        <v>448</v>
      </c>
      <c r="K440" s="45" t="s">
        <v>444</v>
      </c>
      <c r="L440" s="48" t="s">
        <v>490</v>
      </c>
      <c r="M440" s="47">
        <v>16</v>
      </c>
      <c r="N440" s="47">
        <v>50</v>
      </c>
      <c r="O440" s="46">
        <v>0.32</v>
      </c>
      <c r="Q440" s="45" t="s">
        <v>23</v>
      </c>
    </row>
    <row r="441" spans="4:17" hidden="1" x14ac:dyDescent="0.4">
      <c r="D441" s="45" t="s">
        <v>70</v>
      </c>
      <c r="E441" s="45" t="s">
        <v>71</v>
      </c>
      <c r="F441" s="45" t="s">
        <v>72</v>
      </c>
      <c r="G441" s="45" t="s">
        <v>73</v>
      </c>
      <c r="H441" s="50" t="s">
        <v>483</v>
      </c>
      <c r="I441" s="49">
        <v>46092</v>
      </c>
      <c r="J441" s="45" t="s">
        <v>448</v>
      </c>
      <c r="K441" s="45" t="s">
        <v>444</v>
      </c>
      <c r="L441" s="48" t="s">
        <v>490</v>
      </c>
      <c r="M441" s="47">
        <v>16</v>
      </c>
      <c r="N441" s="47">
        <v>50</v>
      </c>
      <c r="O441" s="46">
        <v>0.32</v>
      </c>
      <c r="Q441" s="45" t="s">
        <v>23</v>
      </c>
    </row>
    <row r="442" spans="4:17" hidden="1" x14ac:dyDescent="0.4">
      <c r="D442" s="45" t="s">
        <v>75</v>
      </c>
      <c r="E442" s="45" t="s">
        <v>76</v>
      </c>
      <c r="F442" s="45" t="s">
        <v>77</v>
      </c>
      <c r="G442" s="45" t="s">
        <v>78</v>
      </c>
      <c r="H442" s="50" t="s">
        <v>483</v>
      </c>
      <c r="I442" s="49">
        <v>46092</v>
      </c>
      <c r="J442" s="45" t="s">
        <v>448</v>
      </c>
      <c r="K442" s="45" t="s">
        <v>444</v>
      </c>
      <c r="L442" s="48" t="s">
        <v>492</v>
      </c>
      <c r="M442" s="47">
        <v>50</v>
      </c>
      <c r="N442" s="47">
        <v>50</v>
      </c>
      <c r="O442" s="46">
        <v>1</v>
      </c>
      <c r="Q442" s="45" t="s">
        <v>23</v>
      </c>
    </row>
    <row r="443" spans="4:17" hidden="1" x14ac:dyDescent="0.4">
      <c r="D443" s="45" t="s">
        <v>80</v>
      </c>
      <c r="E443" s="45" t="s">
        <v>81</v>
      </c>
      <c r="F443" s="45" t="s">
        <v>82</v>
      </c>
      <c r="G443" s="45" t="s">
        <v>83</v>
      </c>
      <c r="H443" s="50" t="s">
        <v>483</v>
      </c>
      <c r="I443" s="49">
        <v>46092</v>
      </c>
      <c r="J443" s="45" t="s">
        <v>448</v>
      </c>
      <c r="K443" s="45" t="s">
        <v>444</v>
      </c>
      <c r="L443" s="48" t="s">
        <v>498</v>
      </c>
      <c r="M443" s="47">
        <v>50</v>
      </c>
      <c r="N443" s="47">
        <v>50</v>
      </c>
      <c r="O443" s="46">
        <v>1</v>
      </c>
      <c r="Q443" s="45" t="s">
        <v>23</v>
      </c>
    </row>
    <row r="444" spans="4:17" hidden="1" x14ac:dyDescent="0.4">
      <c r="D444" s="45" t="s">
        <v>85</v>
      </c>
      <c r="E444" s="45" t="s">
        <v>86</v>
      </c>
      <c r="F444" s="45" t="s">
        <v>87</v>
      </c>
      <c r="G444" s="45" t="s">
        <v>88</v>
      </c>
      <c r="H444" s="50" t="s">
        <v>483</v>
      </c>
      <c r="I444" s="49">
        <v>46092</v>
      </c>
      <c r="J444" s="45" t="s">
        <v>448</v>
      </c>
      <c r="K444" s="45" t="s">
        <v>444</v>
      </c>
      <c r="L444" s="48" t="s">
        <v>495</v>
      </c>
      <c r="M444" s="47">
        <v>45</v>
      </c>
      <c r="N444" s="47">
        <v>50</v>
      </c>
      <c r="O444" s="46">
        <v>0.9</v>
      </c>
      <c r="Q444" s="45" t="s">
        <v>23</v>
      </c>
    </row>
    <row r="445" spans="4:17" hidden="1" x14ac:dyDescent="0.4">
      <c r="D445" s="45" t="s">
        <v>89</v>
      </c>
      <c r="E445" s="45" t="s">
        <v>90</v>
      </c>
      <c r="F445" s="45" t="s">
        <v>91</v>
      </c>
      <c r="G445" s="45" t="s">
        <v>92</v>
      </c>
      <c r="H445" s="50" t="s">
        <v>483</v>
      </c>
      <c r="I445" s="49">
        <v>46092</v>
      </c>
      <c r="J445" s="45" t="s">
        <v>448</v>
      </c>
      <c r="K445" s="45" t="s">
        <v>444</v>
      </c>
      <c r="L445" s="48" t="s">
        <v>497</v>
      </c>
      <c r="M445" s="47">
        <v>50</v>
      </c>
      <c r="N445" s="47">
        <v>50</v>
      </c>
      <c r="O445" s="46">
        <v>1</v>
      </c>
      <c r="Q445" s="45" t="s">
        <v>23</v>
      </c>
    </row>
    <row r="446" spans="4:17" hidden="1" x14ac:dyDescent="0.4">
      <c r="D446" s="45" t="s">
        <v>94</v>
      </c>
      <c r="E446" s="45" t="s">
        <v>95</v>
      </c>
      <c r="F446" s="45" t="s">
        <v>96</v>
      </c>
      <c r="G446" s="45" t="s">
        <v>97</v>
      </c>
      <c r="H446" s="50" t="s">
        <v>483</v>
      </c>
      <c r="I446" s="49">
        <v>46092</v>
      </c>
      <c r="J446" s="45" t="s">
        <v>448</v>
      </c>
      <c r="K446" s="45" t="s">
        <v>444</v>
      </c>
      <c r="L446" s="48" t="s">
        <v>487</v>
      </c>
      <c r="M446" s="47">
        <v>40</v>
      </c>
      <c r="N446" s="47">
        <v>50</v>
      </c>
      <c r="O446" s="46">
        <v>0.8</v>
      </c>
      <c r="Q446" s="45" t="s">
        <v>23</v>
      </c>
    </row>
    <row r="447" spans="4:17" hidden="1" x14ac:dyDescent="0.4">
      <c r="D447" s="45" t="s">
        <v>99</v>
      </c>
      <c r="E447" s="45" t="s">
        <v>100</v>
      </c>
      <c r="F447" s="45" t="s">
        <v>101</v>
      </c>
      <c r="G447" s="45" t="s">
        <v>102</v>
      </c>
      <c r="H447" s="50" t="s">
        <v>483</v>
      </c>
      <c r="I447" s="49">
        <v>46092</v>
      </c>
      <c r="J447" s="45" t="s">
        <v>448</v>
      </c>
      <c r="K447" s="45" t="s">
        <v>444</v>
      </c>
      <c r="L447" s="48" t="s">
        <v>496</v>
      </c>
      <c r="M447" s="47">
        <v>0</v>
      </c>
      <c r="N447" s="47">
        <v>50</v>
      </c>
      <c r="O447" s="46">
        <v>0</v>
      </c>
      <c r="Q447" s="45" t="s">
        <v>23</v>
      </c>
    </row>
    <row r="448" spans="4:17" hidden="1" x14ac:dyDescent="0.4">
      <c r="D448" s="45" t="s">
        <v>104</v>
      </c>
      <c r="E448" s="45" t="s">
        <v>86</v>
      </c>
      <c r="F448" s="45" t="s">
        <v>105</v>
      </c>
      <c r="G448" s="45" t="s">
        <v>106</v>
      </c>
      <c r="H448" s="50" t="s">
        <v>483</v>
      </c>
      <c r="I448" s="49">
        <v>46092</v>
      </c>
      <c r="J448" s="45" t="s">
        <v>448</v>
      </c>
      <c r="K448" s="45" t="s">
        <v>444</v>
      </c>
      <c r="L448" s="48" t="s">
        <v>495</v>
      </c>
      <c r="M448" s="47">
        <v>45</v>
      </c>
      <c r="N448" s="47">
        <v>50</v>
      </c>
      <c r="O448" s="46">
        <v>0.9</v>
      </c>
      <c r="Q448" s="45" t="s">
        <v>23</v>
      </c>
    </row>
    <row r="449" spans="4:17" hidden="1" x14ac:dyDescent="0.4">
      <c r="D449" s="45" t="s">
        <v>107</v>
      </c>
      <c r="E449" s="45" t="s">
        <v>108</v>
      </c>
      <c r="F449" s="45" t="s">
        <v>109</v>
      </c>
      <c r="G449" s="45" t="s">
        <v>110</v>
      </c>
      <c r="H449" s="50" t="s">
        <v>483</v>
      </c>
      <c r="I449" s="49">
        <v>46092</v>
      </c>
      <c r="J449" s="45" t="s">
        <v>448</v>
      </c>
      <c r="K449" s="45" t="s">
        <v>444</v>
      </c>
      <c r="L449" s="48" t="s">
        <v>482</v>
      </c>
      <c r="M449" s="47">
        <v>50</v>
      </c>
      <c r="N449" s="47">
        <v>50</v>
      </c>
      <c r="O449" s="46">
        <v>1</v>
      </c>
      <c r="Q449" s="45" t="s">
        <v>23</v>
      </c>
    </row>
    <row r="450" spans="4:17" hidden="1" x14ac:dyDescent="0.4">
      <c r="D450" s="45" t="s">
        <v>112</v>
      </c>
      <c r="E450" s="45" t="s">
        <v>113</v>
      </c>
      <c r="F450" s="45" t="s">
        <v>114</v>
      </c>
      <c r="G450" s="45" t="s">
        <v>115</v>
      </c>
      <c r="H450" s="50" t="s">
        <v>483</v>
      </c>
      <c r="I450" s="49">
        <v>46092</v>
      </c>
      <c r="J450" s="45" t="s">
        <v>448</v>
      </c>
      <c r="K450" s="45" t="s">
        <v>444</v>
      </c>
      <c r="L450" s="48" t="s">
        <v>494</v>
      </c>
      <c r="M450" s="47">
        <v>0</v>
      </c>
      <c r="N450" s="47">
        <v>50</v>
      </c>
      <c r="O450" s="46">
        <v>0</v>
      </c>
      <c r="Q450" s="45" t="s">
        <v>23</v>
      </c>
    </row>
    <row r="451" spans="4:17" hidden="1" x14ac:dyDescent="0.4">
      <c r="D451" s="45" t="s">
        <v>117</v>
      </c>
      <c r="E451" s="45" t="s">
        <v>118</v>
      </c>
      <c r="F451" s="45" t="s">
        <v>119</v>
      </c>
      <c r="G451" s="45" t="s">
        <v>120</v>
      </c>
      <c r="H451" s="50" t="s">
        <v>483</v>
      </c>
      <c r="I451" s="49">
        <v>46092</v>
      </c>
      <c r="J451" s="45" t="s">
        <v>448</v>
      </c>
      <c r="K451" s="45" t="s">
        <v>444</v>
      </c>
      <c r="L451" s="48" t="s">
        <v>482</v>
      </c>
      <c r="M451" s="47">
        <v>50</v>
      </c>
      <c r="N451" s="47">
        <v>50</v>
      </c>
      <c r="O451" s="46">
        <v>1</v>
      </c>
      <c r="Q451" s="45" t="s">
        <v>23</v>
      </c>
    </row>
    <row r="452" spans="4:17" hidden="1" x14ac:dyDescent="0.4">
      <c r="D452" s="45" t="s">
        <v>122</v>
      </c>
      <c r="E452" s="45" t="s">
        <v>123</v>
      </c>
      <c r="F452" s="45" t="s">
        <v>124</v>
      </c>
      <c r="G452" s="45" t="s">
        <v>125</v>
      </c>
      <c r="H452" s="50" t="s">
        <v>483</v>
      </c>
      <c r="I452" s="49">
        <v>46092</v>
      </c>
      <c r="J452" s="45" t="s">
        <v>448</v>
      </c>
      <c r="K452" s="45" t="s">
        <v>444</v>
      </c>
      <c r="L452" s="48" t="s">
        <v>493</v>
      </c>
      <c r="M452" s="47">
        <v>50</v>
      </c>
      <c r="N452" s="47">
        <v>50</v>
      </c>
      <c r="O452" s="46">
        <v>1</v>
      </c>
      <c r="Q452" s="45" t="s">
        <v>23</v>
      </c>
    </row>
    <row r="453" spans="4:17" hidden="1" x14ac:dyDescent="0.4">
      <c r="D453" s="45" t="s">
        <v>127</v>
      </c>
      <c r="E453" s="45" t="s">
        <v>128</v>
      </c>
      <c r="F453" s="45" t="s">
        <v>129</v>
      </c>
      <c r="G453" s="45" t="s">
        <v>130</v>
      </c>
      <c r="H453" s="50" t="s">
        <v>483</v>
      </c>
      <c r="I453" s="49">
        <v>46092</v>
      </c>
      <c r="J453" s="45" t="s">
        <v>448</v>
      </c>
      <c r="K453" s="45" t="s">
        <v>444</v>
      </c>
      <c r="L453" s="48" t="s">
        <v>492</v>
      </c>
      <c r="M453" s="47">
        <v>50</v>
      </c>
      <c r="N453" s="47">
        <v>50</v>
      </c>
      <c r="O453" s="46">
        <v>1</v>
      </c>
      <c r="Q453" s="45" t="s">
        <v>23</v>
      </c>
    </row>
    <row r="454" spans="4:17" hidden="1" x14ac:dyDescent="0.4">
      <c r="D454" s="45" t="s">
        <v>132</v>
      </c>
      <c r="E454" s="45" t="s">
        <v>133</v>
      </c>
      <c r="F454" s="45" t="s">
        <v>134</v>
      </c>
      <c r="G454" s="45" t="s">
        <v>135</v>
      </c>
      <c r="H454" s="50" t="s">
        <v>483</v>
      </c>
      <c r="I454" s="49">
        <v>46092</v>
      </c>
      <c r="J454" s="45" t="s">
        <v>448</v>
      </c>
      <c r="K454" s="45" t="s">
        <v>444</v>
      </c>
      <c r="L454" s="48" t="s">
        <v>492</v>
      </c>
      <c r="M454" s="47">
        <v>50</v>
      </c>
      <c r="N454" s="47">
        <v>50</v>
      </c>
      <c r="O454" s="46">
        <v>1</v>
      </c>
      <c r="Q454" s="45" t="s">
        <v>23</v>
      </c>
    </row>
    <row r="455" spans="4:17" hidden="1" x14ac:dyDescent="0.4">
      <c r="D455" s="45" t="s">
        <v>137</v>
      </c>
      <c r="E455" s="45" t="s">
        <v>138</v>
      </c>
      <c r="F455" s="45" t="s">
        <v>139</v>
      </c>
      <c r="G455" s="45" t="s">
        <v>140</v>
      </c>
      <c r="H455" s="50" t="s">
        <v>483</v>
      </c>
      <c r="I455" s="49">
        <v>46092</v>
      </c>
      <c r="J455" s="45" t="s">
        <v>448</v>
      </c>
      <c r="K455" s="45" t="s">
        <v>444</v>
      </c>
      <c r="L455" s="48" t="s">
        <v>484</v>
      </c>
      <c r="M455" s="47">
        <v>50</v>
      </c>
      <c r="N455" s="47">
        <v>50</v>
      </c>
      <c r="O455" s="46">
        <v>1</v>
      </c>
      <c r="Q455" s="45" t="s">
        <v>23</v>
      </c>
    </row>
    <row r="456" spans="4:17" hidden="1" x14ac:dyDescent="0.4">
      <c r="D456" s="45" t="s">
        <v>142</v>
      </c>
      <c r="E456" s="45" t="s">
        <v>143</v>
      </c>
      <c r="F456" s="45" t="s">
        <v>144</v>
      </c>
      <c r="G456" s="45" t="s">
        <v>145</v>
      </c>
      <c r="H456" s="50" t="s">
        <v>483</v>
      </c>
      <c r="I456" s="49">
        <v>46092</v>
      </c>
      <c r="J456" s="45" t="s">
        <v>448</v>
      </c>
      <c r="K456" s="45" t="s">
        <v>444</v>
      </c>
      <c r="L456" s="48" t="s">
        <v>484</v>
      </c>
      <c r="M456" s="47">
        <v>50</v>
      </c>
      <c r="N456" s="47">
        <v>50</v>
      </c>
      <c r="O456" s="46">
        <v>1</v>
      </c>
      <c r="Q456" s="45" t="s">
        <v>23</v>
      </c>
    </row>
    <row r="457" spans="4:17" hidden="1" x14ac:dyDescent="0.4">
      <c r="D457" s="45" t="s">
        <v>147</v>
      </c>
      <c r="E457" s="45" t="s">
        <v>148</v>
      </c>
      <c r="F457" s="45" t="s">
        <v>149</v>
      </c>
      <c r="G457" s="45" t="s">
        <v>150</v>
      </c>
      <c r="H457" s="50" t="s">
        <v>483</v>
      </c>
      <c r="I457" s="49">
        <v>46092</v>
      </c>
      <c r="J457" s="45" t="s">
        <v>448</v>
      </c>
      <c r="K457" s="45" t="s">
        <v>444</v>
      </c>
      <c r="L457" s="48" t="s">
        <v>488</v>
      </c>
      <c r="M457" s="47">
        <v>50</v>
      </c>
      <c r="N457" s="47">
        <v>50</v>
      </c>
      <c r="O457" s="46">
        <v>1</v>
      </c>
      <c r="Q457" s="45" t="s">
        <v>23</v>
      </c>
    </row>
    <row r="458" spans="4:17" hidden="1" x14ac:dyDescent="0.4">
      <c r="D458" s="45" t="s">
        <v>152</v>
      </c>
      <c r="E458" s="45" t="s">
        <v>66</v>
      </c>
      <c r="F458" s="45" t="s">
        <v>153</v>
      </c>
      <c r="G458" s="45" t="s">
        <v>154</v>
      </c>
      <c r="H458" s="50" t="s">
        <v>483</v>
      </c>
      <c r="I458" s="49">
        <v>46092</v>
      </c>
      <c r="J458" s="45" t="s">
        <v>448</v>
      </c>
      <c r="K458" s="45" t="s">
        <v>444</v>
      </c>
      <c r="L458" s="48" t="s">
        <v>486</v>
      </c>
      <c r="M458" s="47">
        <v>50</v>
      </c>
      <c r="N458" s="47">
        <v>50</v>
      </c>
      <c r="O458" s="46">
        <v>1</v>
      </c>
      <c r="Q458" s="45" t="s">
        <v>23</v>
      </c>
    </row>
    <row r="459" spans="4:17" hidden="1" x14ac:dyDescent="0.4">
      <c r="D459" s="45" t="s">
        <v>160</v>
      </c>
      <c r="E459" s="45" t="s">
        <v>81</v>
      </c>
      <c r="F459" s="45" t="s">
        <v>161</v>
      </c>
      <c r="G459" s="45" t="s">
        <v>162</v>
      </c>
      <c r="H459" s="50" t="s">
        <v>483</v>
      </c>
      <c r="I459" s="49">
        <v>46092</v>
      </c>
      <c r="J459" s="45" t="s">
        <v>448</v>
      </c>
      <c r="K459" s="45" t="s">
        <v>444</v>
      </c>
      <c r="L459" s="48" t="s">
        <v>487</v>
      </c>
      <c r="M459" s="47">
        <v>40</v>
      </c>
      <c r="N459" s="47">
        <v>50</v>
      </c>
      <c r="O459" s="46">
        <v>0.8</v>
      </c>
      <c r="Q459" s="45" t="s">
        <v>23</v>
      </c>
    </row>
    <row r="460" spans="4:17" hidden="1" x14ac:dyDescent="0.4">
      <c r="D460" s="45" t="s">
        <v>163</v>
      </c>
      <c r="E460" s="45" t="s">
        <v>164</v>
      </c>
      <c r="F460" s="45" t="s">
        <v>165</v>
      </c>
      <c r="G460" s="45" t="s">
        <v>166</v>
      </c>
      <c r="H460" s="50" t="s">
        <v>483</v>
      </c>
      <c r="I460" s="49">
        <v>46092</v>
      </c>
      <c r="J460" s="45" t="s">
        <v>448</v>
      </c>
      <c r="K460" s="45" t="s">
        <v>444</v>
      </c>
      <c r="L460" s="48" t="s">
        <v>491</v>
      </c>
      <c r="M460" s="47">
        <v>40</v>
      </c>
      <c r="N460" s="47">
        <v>50</v>
      </c>
      <c r="O460" s="46">
        <v>0.8</v>
      </c>
      <c r="Q460" s="45" t="s">
        <v>23</v>
      </c>
    </row>
    <row r="461" spans="4:17" hidden="1" x14ac:dyDescent="0.4">
      <c r="D461" s="45" t="s">
        <v>168</v>
      </c>
      <c r="E461" s="45" t="s">
        <v>169</v>
      </c>
      <c r="F461" s="45" t="s">
        <v>170</v>
      </c>
      <c r="G461" s="45" t="s">
        <v>171</v>
      </c>
      <c r="H461" s="50" t="s">
        <v>483</v>
      </c>
      <c r="I461" s="49">
        <v>46092</v>
      </c>
      <c r="J461" s="45" t="s">
        <v>448</v>
      </c>
      <c r="K461" s="45" t="s">
        <v>444</v>
      </c>
      <c r="L461" s="48" t="s">
        <v>490</v>
      </c>
      <c r="M461" s="47">
        <v>16</v>
      </c>
      <c r="N461" s="47">
        <v>50</v>
      </c>
      <c r="O461" s="46">
        <v>0.32</v>
      </c>
      <c r="Q461" s="45" t="s">
        <v>23</v>
      </c>
    </row>
    <row r="462" spans="4:17" hidden="1" x14ac:dyDescent="0.4">
      <c r="D462" s="45" t="s">
        <v>173</v>
      </c>
      <c r="E462" s="45" t="s">
        <v>174</v>
      </c>
      <c r="F462" s="45" t="s">
        <v>175</v>
      </c>
      <c r="G462" s="45" t="s">
        <v>176</v>
      </c>
      <c r="H462" s="50" t="s">
        <v>483</v>
      </c>
      <c r="I462" s="49">
        <v>46092</v>
      </c>
      <c r="J462" s="45" t="s">
        <v>448</v>
      </c>
      <c r="K462" s="45" t="s">
        <v>444</v>
      </c>
      <c r="L462" s="48" t="s">
        <v>489</v>
      </c>
      <c r="M462" s="47">
        <v>50</v>
      </c>
      <c r="N462" s="47">
        <v>50</v>
      </c>
      <c r="O462" s="46">
        <v>1</v>
      </c>
      <c r="Q462" s="45" t="s">
        <v>23</v>
      </c>
    </row>
    <row r="463" spans="4:17" hidden="1" x14ac:dyDescent="0.4">
      <c r="D463" s="45" t="s">
        <v>178</v>
      </c>
      <c r="E463" s="45" t="s">
        <v>179</v>
      </c>
      <c r="F463" s="45" t="s">
        <v>180</v>
      </c>
      <c r="G463" s="45" t="s">
        <v>181</v>
      </c>
      <c r="H463" s="50" t="s">
        <v>483</v>
      </c>
      <c r="I463" s="49">
        <v>46092</v>
      </c>
      <c r="J463" s="45" t="s">
        <v>448</v>
      </c>
      <c r="K463" s="45" t="s">
        <v>444</v>
      </c>
      <c r="L463" s="48" t="s">
        <v>488</v>
      </c>
      <c r="M463" s="47">
        <v>50</v>
      </c>
      <c r="N463" s="47">
        <v>50</v>
      </c>
      <c r="O463" s="46">
        <v>1</v>
      </c>
      <c r="Q463" s="45" t="s">
        <v>23</v>
      </c>
    </row>
    <row r="464" spans="4:17" hidden="1" x14ac:dyDescent="0.4">
      <c r="D464" s="45" t="s">
        <v>187</v>
      </c>
      <c r="E464" s="45" t="s">
        <v>188</v>
      </c>
      <c r="F464" s="45" t="s">
        <v>189</v>
      </c>
      <c r="G464" s="45" t="s">
        <v>190</v>
      </c>
      <c r="H464" s="50" t="s">
        <v>483</v>
      </c>
      <c r="I464" s="49">
        <v>46092</v>
      </c>
      <c r="J464" s="45" t="s">
        <v>448</v>
      </c>
      <c r="K464" s="45" t="s">
        <v>444</v>
      </c>
      <c r="L464" s="48" t="s">
        <v>485</v>
      </c>
      <c r="M464" s="47">
        <v>50</v>
      </c>
      <c r="N464" s="47">
        <v>50</v>
      </c>
      <c r="O464" s="46">
        <v>1</v>
      </c>
      <c r="Q464" s="45" t="s">
        <v>23</v>
      </c>
    </row>
    <row r="465" spans="4:17" hidden="1" x14ac:dyDescent="0.4">
      <c r="D465" s="45" t="s">
        <v>192</v>
      </c>
      <c r="E465" s="45" t="s">
        <v>193</v>
      </c>
      <c r="F465" s="45" t="s">
        <v>194</v>
      </c>
      <c r="G465" s="45" t="s">
        <v>195</v>
      </c>
      <c r="H465" s="50" t="s">
        <v>483</v>
      </c>
      <c r="I465" s="49">
        <v>46092</v>
      </c>
      <c r="J465" s="45" t="s">
        <v>448</v>
      </c>
      <c r="K465" s="45" t="s">
        <v>444</v>
      </c>
      <c r="L465" s="48" t="s">
        <v>485</v>
      </c>
      <c r="M465" s="47">
        <v>50</v>
      </c>
      <c r="N465" s="47">
        <v>50</v>
      </c>
      <c r="O465" s="46">
        <v>1</v>
      </c>
      <c r="Q465" s="45" t="s">
        <v>23</v>
      </c>
    </row>
    <row r="466" spans="4:17" hidden="1" x14ac:dyDescent="0.4">
      <c r="D466" s="45" t="s">
        <v>197</v>
      </c>
      <c r="E466" s="45" t="s">
        <v>198</v>
      </c>
      <c r="F466" s="45" t="s">
        <v>199</v>
      </c>
      <c r="G466" s="45" t="s">
        <v>200</v>
      </c>
      <c r="H466" s="50" t="s">
        <v>483</v>
      </c>
      <c r="I466" s="49">
        <v>46092</v>
      </c>
      <c r="J466" s="45" t="s">
        <v>448</v>
      </c>
      <c r="K466" s="45" t="s">
        <v>444</v>
      </c>
      <c r="L466" s="48" t="s">
        <v>487</v>
      </c>
      <c r="M466" s="47">
        <v>40</v>
      </c>
      <c r="N466" s="47">
        <v>50</v>
      </c>
      <c r="O466" s="46">
        <v>0.8</v>
      </c>
      <c r="Q466" s="45" t="s">
        <v>23</v>
      </c>
    </row>
    <row r="467" spans="4:17" hidden="1" x14ac:dyDescent="0.4">
      <c r="D467" s="45" t="s">
        <v>201</v>
      </c>
      <c r="E467" s="45" t="s">
        <v>143</v>
      </c>
      <c r="F467" s="45" t="s">
        <v>202</v>
      </c>
      <c r="G467" s="45" t="s">
        <v>203</v>
      </c>
      <c r="H467" s="50" t="s">
        <v>483</v>
      </c>
      <c r="I467" s="49">
        <v>46092</v>
      </c>
      <c r="J467" s="45" t="s">
        <v>448</v>
      </c>
      <c r="K467" s="45" t="s">
        <v>444</v>
      </c>
      <c r="L467" s="48" t="s">
        <v>486</v>
      </c>
      <c r="M467" s="47">
        <v>50</v>
      </c>
      <c r="N467" s="47">
        <v>50</v>
      </c>
      <c r="O467" s="46">
        <v>1</v>
      </c>
      <c r="Q467" s="45" t="s">
        <v>23</v>
      </c>
    </row>
    <row r="468" spans="4:17" hidden="1" x14ac:dyDescent="0.4">
      <c r="D468" s="45" t="s">
        <v>205</v>
      </c>
      <c r="E468" s="45" t="s">
        <v>206</v>
      </c>
      <c r="F468" s="45" t="s">
        <v>207</v>
      </c>
      <c r="G468" s="45" t="s">
        <v>208</v>
      </c>
      <c r="H468" s="50" t="s">
        <v>483</v>
      </c>
      <c r="I468" s="49">
        <v>46092</v>
      </c>
      <c r="J468" s="45" t="s">
        <v>448</v>
      </c>
      <c r="K468" s="45" t="s">
        <v>444</v>
      </c>
      <c r="L468" s="48" t="s">
        <v>485</v>
      </c>
      <c r="M468" s="47">
        <v>50</v>
      </c>
      <c r="N468" s="47">
        <v>50</v>
      </c>
      <c r="O468" s="46">
        <v>1</v>
      </c>
      <c r="Q468" s="45" t="s">
        <v>23</v>
      </c>
    </row>
    <row r="469" spans="4:17" hidden="1" x14ac:dyDescent="0.4">
      <c r="D469" s="45" t="s">
        <v>210</v>
      </c>
      <c r="E469" s="45" t="s">
        <v>211</v>
      </c>
      <c r="F469" s="45" t="s">
        <v>212</v>
      </c>
      <c r="G469" s="45" t="s">
        <v>213</v>
      </c>
      <c r="H469" s="50" t="s">
        <v>483</v>
      </c>
      <c r="I469" s="49">
        <v>46092</v>
      </c>
      <c r="J469" s="45" t="s">
        <v>448</v>
      </c>
      <c r="K469" s="45" t="s">
        <v>444</v>
      </c>
      <c r="L469" s="48" t="s">
        <v>484</v>
      </c>
      <c r="M469" s="47">
        <v>50</v>
      </c>
      <c r="N469" s="47">
        <v>50</v>
      </c>
      <c r="O469" s="46">
        <v>1</v>
      </c>
      <c r="Q469" s="45" t="s">
        <v>23</v>
      </c>
    </row>
    <row r="470" spans="4:17" hidden="1" x14ac:dyDescent="0.4">
      <c r="D470" s="45" t="s">
        <v>215</v>
      </c>
      <c r="E470" s="45" t="s">
        <v>216</v>
      </c>
      <c r="F470" s="45" t="s">
        <v>217</v>
      </c>
      <c r="G470" s="45" t="s">
        <v>218</v>
      </c>
      <c r="H470" s="50" t="s">
        <v>483</v>
      </c>
      <c r="I470" s="49">
        <v>46092</v>
      </c>
      <c r="J470" s="45" t="s">
        <v>448</v>
      </c>
      <c r="K470" s="45" t="s">
        <v>444</v>
      </c>
      <c r="L470" s="48" t="s">
        <v>482</v>
      </c>
      <c r="M470" s="47">
        <v>50</v>
      </c>
      <c r="N470" s="47">
        <v>50</v>
      </c>
      <c r="O470" s="46">
        <v>1</v>
      </c>
      <c r="Q470" s="45" t="s">
        <v>23</v>
      </c>
    </row>
    <row r="471" spans="4:17" hidden="1" x14ac:dyDescent="0.4">
      <c r="D471" s="45" t="s">
        <v>24</v>
      </c>
      <c r="E471" s="45" t="s">
        <v>25</v>
      </c>
      <c r="F471" s="45" t="s">
        <v>26</v>
      </c>
      <c r="G471" s="45" t="s">
        <v>27</v>
      </c>
      <c r="H471" s="50" t="s">
        <v>466</v>
      </c>
      <c r="I471" s="49">
        <v>46092</v>
      </c>
      <c r="J471" s="45" t="s">
        <v>448</v>
      </c>
      <c r="K471" s="45" t="s">
        <v>444</v>
      </c>
      <c r="L471" s="48" t="s">
        <v>472</v>
      </c>
      <c r="M471" s="47">
        <v>50</v>
      </c>
      <c r="N471" s="47">
        <v>50</v>
      </c>
      <c r="O471" s="46">
        <v>1</v>
      </c>
      <c r="Q471" s="45" t="s">
        <v>23</v>
      </c>
    </row>
    <row r="472" spans="4:17" hidden="1" x14ac:dyDescent="0.4">
      <c r="D472" s="45" t="s">
        <v>31</v>
      </c>
      <c r="E472" s="45" t="s">
        <v>32</v>
      </c>
      <c r="F472" s="45" t="s">
        <v>33</v>
      </c>
      <c r="G472" s="45" t="s">
        <v>34</v>
      </c>
      <c r="H472" s="50" t="s">
        <v>466</v>
      </c>
      <c r="I472" s="49">
        <v>46092</v>
      </c>
      <c r="J472" s="45" t="s">
        <v>448</v>
      </c>
      <c r="K472" s="45" t="s">
        <v>444</v>
      </c>
      <c r="L472" s="48" t="s">
        <v>479</v>
      </c>
      <c r="M472" s="47">
        <v>45</v>
      </c>
      <c r="N472" s="47">
        <v>50</v>
      </c>
      <c r="O472" s="46">
        <v>0.9</v>
      </c>
      <c r="Q472" s="45" t="s">
        <v>23</v>
      </c>
    </row>
    <row r="473" spans="4:17" hidden="1" x14ac:dyDescent="0.4">
      <c r="D473" s="45" t="s">
        <v>36</v>
      </c>
      <c r="E473" s="45" t="s">
        <v>37</v>
      </c>
      <c r="F473" s="45" t="s">
        <v>38</v>
      </c>
      <c r="G473" s="45" t="s">
        <v>39</v>
      </c>
      <c r="H473" s="50" t="s">
        <v>466</v>
      </c>
      <c r="I473" s="49">
        <v>46092</v>
      </c>
      <c r="J473" s="45" t="s">
        <v>448</v>
      </c>
      <c r="K473" s="45" t="s">
        <v>444</v>
      </c>
      <c r="L473" s="48" t="s">
        <v>480</v>
      </c>
      <c r="M473" s="47">
        <v>50</v>
      </c>
      <c r="N473" s="47">
        <v>50</v>
      </c>
      <c r="O473" s="46">
        <v>1</v>
      </c>
      <c r="Q473" s="45" t="s">
        <v>23</v>
      </c>
    </row>
    <row r="474" spans="4:17" hidden="1" x14ac:dyDescent="0.4">
      <c r="D474" s="45" t="s">
        <v>41</v>
      </c>
      <c r="E474" s="45" t="s">
        <v>42</v>
      </c>
      <c r="F474" s="45" t="s">
        <v>43</v>
      </c>
      <c r="G474" s="45" t="s">
        <v>44</v>
      </c>
      <c r="H474" s="50" t="s">
        <v>466</v>
      </c>
      <c r="I474" s="49">
        <v>46092</v>
      </c>
      <c r="J474" s="45" t="s">
        <v>448</v>
      </c>
      <c r="K474" s="45" t="s">
        <v>444</v>
      </c>
      <c r="L474" s="48" t="s">
        <v>474</v>
      </c>
      <c r="M474" s="47">
        <v>20</v>
      </c>
      <c r="N474" s="47">
        <v>50</v>
      </c>
      <c r="O474" s="46">
        <v>0.4</v>
      </c>
      <c r="Q474" s="45" t="s">
        <v>23</v>
      </c>
    </row>
    <row r="475" spans="4:17" hidden="1" x14ac:dyDescent="0.4">
      <c r="D475" s="45" t="s">
        <v>46</v>
      </c>
      <c r="E475" s="45" t="s">
        <v>47</v>
      </c>
      <c r="F475" s="45" t="s">
        <v>48</v>
      </c>
      <c r="G475" s="45" t="s">
        <v>49</v>
      </c>
      <c r="H475" s="50" t="s">
        <v>466</v>
      </c>
      <c r="I475" s="49">
        <v>46092</v>
      </c>
      <c r="J475" s="45" t="s">
        <v>448</v>
      </c>
      <c r="K475" s="45" t="s">
        <v>444</v>
      </c>
      <c r="L475" s="48" t="s">
        <v>474</v>
      </c>
      <c r="M475" s="47">
        <v>20</v>
      </c>
      <c r="N475" s="47">
        <v>50</v>
      </c>
      <c r="O475" s="46">
        <v>0.4</v>
      </c>
      <c r="Q475" s="45" t="s">
        <v>23</v>
      </c>
    </row>
    <row r="476" spans="4:17" hidden="1" x14ac:dyDescent="0.4">
      <c r="D476" s="45" t="s">
        <v>51</v>
      </c>
      <c r="E476" s="45" t="s">
        <v>52</v>
      </c>
      <c r="F476" s="45" t="s">
        <v>53</v>
      </c>
      <c r="G476" s="45" t="s">
        <v>54</v>
      </c>
      <c r="H476" s="50" t="s">
        <v>466</v>
      </c>
      <c r="I476" s="49">
        <v>46092</v>
      </c>
      <c r="J476" s="45" t="s">
        <v>448</v>
      </c>
      <c r="K476" s="45" t="s">
        <v>444</v>
      </c>
      <c r="L476" s="48" t="s">
        <v>481</v>
      </c>
      <c r="M476" s="47">
        <v>0</v>
      </c>
      <c r="N476" s="47">
        <v>50</v>
      </c>
      <c r="O476" s="46">
        <v>0</v>
      </c>
      <c r="Q476" s="45" t="s">
        <v>23</v>
      </c>
    </row>
    <row r="477" spans="4:17" hidden="1" x14ac:dyDescent="0.4">
      <c r="D477" s="45" t="s">
        <v>56</v>
      </c>
      <c r="E477" s="45" t="s">
        <v>52</v>
      </c>
      <c r="F477" s="45" t="s">
        <v>57</v>
      </c>
      <c r="G477" s="45" t="s">
        <v>58</v>
      </c>
      <c r="H477" s="50" t="s">
        <v>466</v>
      </c>
      <c r="I477" s="49">
        <v>46092</v>
      </c>
      <c r="J477" s="45" t="s">
        <v>448</v>
      </c>
      <c r="K477" s="45" t="s">
        <v>444</v>
      </c>
      <c r="L477" s="48" t="s">
        <v>476</v>
      </c>
      <c r="M477" s="47">
        <v>50</v>
      </c>
      <c r="N477" s="47">
        <v>50</v>
      </c>
      <c r="O477" s="46">
        <v>1</v>
      </c>
      <c r="Q477" s="45" t="s">
        <v>23</v>
      </c>
    </row>
    <row r="478" spans="4:17" hidden="1" x14ac:dyDescent="0.4">
      <c r="D478" s="45" t="s">
        <v>60</v>
      </c>
      <c r="E478" s="45" t="s">
        <v>61</v>
      </c>
      <c r="F478" s="45" t="s">
        <v>62</v>
      </c>
      <c r="G478" s="45" t="s">
        <v>63</v>
      </c>
      <c r="H478" s="50" t="s">
        <v>466</v>
      </c>
      <c r="I478" s="49">
        <v>46092</v>
      </c>
      <c r="J478" s="45" t="s">
        <v>448</v>
      </c>
      <c r="K478" s="45" t="s">
        <v>444</v>
      </c>
      <c r="L478" s="48" t="s">
        <v>472</v>
      </c>
      <c r="M478" s="47">
        <v>50</v>
      </c>
      <c r="N478" s="47">
        <v>50</v>
      </c>
      <c r="O478" s="46">
        <v>1</v>
      </c>
      <c r="Q478" s="45" t="s">
        <v>23</v>
      </c>
    </row>
    <row r="479" spans="4:17" hidden="1" x14ac:dyDescent="0.4">
      <c r="D479" s="45" t="s">
        <v>65</v>
      </c>
      <c r="E479" s="45" t="s">
        <v>66</v>
      </c>
      <c r="F479" s="45" t="s">
        <v>67</v>
      </c>
      <c r="G479" s="45" t="s">
        <v>68</v>
      </c>
      <c r="H479" s="50" t="s">
        <v>466</v>
      </c>
      <c r="I479" s="49">
        <v>46092</v>
      </c>
      <c r="J479" s="45" t="s">
        <v>448</v>
      </c>
      <c r="K479" s="45" t="s">
        <v>444</v>
      </c>
      <c r="L479" s="48" t="s">
        <v>473</v>
      </c>
      <c r="M479" s="47">
        <v>25</v>
      </c>
      <c r="N479" s="47">
        <v>50</v>
      </c>
      <c r="O479" s="46">
        <v>0.5</v>
      </c>
      <c r="Q479" s="45" t="s">
        <v>23</v>
      </c>
    </row>
    <row r="480" spans="4:17" hidden="1" x14ac:dyDescent="0.4">
      <c r="D480" s="45" t="s">
        <v>70</v>
      </c>
      <c r="E480" s="45" t="s">
        <v>71</v>
      </c>
      <c r="F480" s="45" t="s">
        <v>72</v>
      </c>
      <c r="G480" s="45" t="s">
        <v>73</v>
      </c>
      <c r="H480" s="50" t="s">
        <v>466</v>
      </c>
      <c r="I480" s="49">
        <v>46092</v>
      </c>
      <c r="J480" s="45" t="s">
        <v>448</v>
      </c>
      <c r="K480" s="45" t="s">
        <v>444</v>
      </c>
      <c r="L480" s="48" t="s">
        <v>473</v>
      </c>
      <c r="M480" s="47">
        <v>25</v>
      </c>
      <c r="N480" s="47">
        <v>50</v>
      </c>
      <c r="O480" s="46">
        <v>0.5</v>
      </c>
      <c r="Q480" s="45" t="s">
        <v>23</v>
      </c>
    </row>
    <row r="481" spans="4:17" hidden="1" x14ac:dyDescent="0.4">
      <c r="D481" s="45" t="s">
        <v>75</v>
      </c>
      <c r="E481" s="45" t="s">
        <v>76</v>
      </c>
      <c r="F481" s="45" t="s">
        <v>77</v>
      </c>
      <c r="G481" s="45" t="s">
        <v>78</v>
      </c>
      <c r="H481" s="50" t="s">
        <v>466</v>
      </c>
      <c r="I481" s="49">
        <v>46092</v>
      </c>
      <c r="J481" s="45" t="s">
        <v>448</v>
      </c>
      <c r="K481" s="45" t="s">
        <v>444</v>
      </c>
      <c r="L481" s="48" t="s">
        <v>475</v>
      </c>
      <c r="M481" s="47">
        <v>50</v>
      </c>
      <c r="N481" s="47">
        <v>50</v>
      </c>
      <c r="O481" s="46">
        <v>1</v>
      </c>
      <c r="Q481" s="45" t="s">
        <v>23</v>
      </c>
    </row>
    <row r="482" spans="4:17" hidden="1" x14ac:dyDescent="0.4">
      <c r="D482" s="45" t="s">
        <v>80</v>
      </c>
      <c r="E482" s="45" t="s">
        <v>81</v>
      </c>
      <c r="F482" s="45" t="s">
        <v>82</v>
      </c>
      <c r="G482" s="45" t="s">
        <v>83</v>
      </c>
      <c r="H482" s="50" t="s">
        <v>466</v>
      </c>
      <c r="I482" s="49">
        <v>46092</v>
      </c>
      <c r="J482" s="45" t="s">
        <v>448</v>
      </c>
      <c r="K482" s="45" t="s">
        <v>444</v>
      </c>
      <c r="L482" s="48" t="s">
        <v>480</v>
      </c>
      <c r="M482" s="47">
        <v>50</v>
      </c>
      <c r="N482" s="47">
        <v>50</v>
      </c>
      <c r="O482" s="46">
        <v>1</v>
      </c>
      <c r="Q482" s="45" t="s">
        <v>23</v>
      </c>
    </row>
    <row r="483" spans="4:17" hidden="1" x14ac:dyDescent="0.4">
      <c r="D483" s="45" t="s">
        <v>85</v>
      </c>
      <c r="E483" s="45" t="s">
        <v>86</v>
      </c>
      <c r="F483" s="45" t="s">
        <v>87</v>
      </c>
      <c r="G483" s="45" t="s">
        <v>88</v>
      </c>
      <c r="H483" s="50" t="s">
        <v>466</v>
      </c>
      <c r="I483" s="49">
        <v>46092</v>
      </c>
      <c r="J483" s="45" t="s">
        <v>448</v>
      </c>
      <c r="K483" s="45" t="s">
        <v>444</v>
      </c>
      <c r="L483" s="48" t="s">
        <v>480</v>
      </c>
      <c r="M483" s="47">
        <v>50</v>
      </c>
      <c r="N483" s="47">
        <v>50</v>
      </c>
      <c r="O483" s="46">
        <v>1</v>
      </c>
      <c r="Q483" s="45" t="s">
        <v>23</v>
      </c>
    </row>
    <row r="484" spans="4:17" hidden="1" x14ac:dyDescent="0.4">
      <c r="D484" s="45" t="s">
        <v>89</v>
      </c>
      <c r="E484" s="45" t="s">
        <v>90</v>
      </c>
      <c r="F484" s="45" t="s">
        <v>91</v>
      </c>
      <c r="G484" s="45" t="s">
        <v>92</v>
      </c>
      <c r="H484" s="50" t="s">
        <v>466</v>
      </c>
      <c r="I484" s="49">
        <v>46092</v>
      </c>
      <c r="J484" s="45" t="s">
        <v>448</v>
      </c>
      <c r="K484" s="45" t="s">
        <v>444</v>
      </c>
      <c r="L484" s="48" t="s">
        <v>479</v>
      </c>
      <c r="M484" s="47">
        <v>45</v>
      </c>
      <c r="N484" s="47">
        <v>50</v>
      </c>
      <c r="O484" s="46">
        <v>0.9</v>
      </c>
      <c r="Q484" s="45" t="s">
        <v>23</v>
      </c>
    </row>
    <row r="485" spans="4:17" hidden="1" x14ac:dyDescent="0.4">
      <c r="D485" s="45" t="s">
        <v>94</v>
      </c>
      <c r="E485" s="45" t="s">
        <v>95</v>
      </c>
      <c r="F485" s="45" t="s">
        <v>96</v>
      </c>
      <c r="G485" s="45" t="s">
        <v>97</v>
      </c>
      <c r="H485" s="50" t="s">
        <v>466</v>
      </c>
      <c r="I485" s="49">
        <v>46092</v>
      </c>
      <c r="J485" s="45" t="s">
        <v>448</v>
      </c>
      <c r="K485" s="45" t="s">
        <v>444</v>
      </c>
      <c r="L485" s="48" t="s">
        <v>470</v>
      </c>
      <c r="M485" s="47">
        <v>45</v>
      </c>
      <c r="N485" s="47">
        <v>50</v>
      </c>
      <c r="O485" s="46">
        <v>0.9</v>
      </c>
      <c r="Q485" s="45" t="s">
        <v>23</v>
      </c>
    </row>
    <row r="486" spans="4:17" hidden="1" x14ac:dyDescent="0.4">
      <c r="D486" s="45" t="s">
        <v>99</v>
      </c>
      <c r="E486" s="45" t="s">
        <v>100</v>
      </c>
      <c r="F486" s="45" t="s">
        <v>101</v>
      </c>
      <c r="G486" s="45" t="s">
        <v>102</v>
      </c>
      <c r="H486" s="50" t="s">
        <v>466</v>
      </c>
      <c r="I486" s="49">
        <v>46092</v>
      </c>
      <c r="J486" s="45" t="s">
        <v>448</v>
      </c>
      <c r="K486" s="45" t="s">
        <v>444</v>
      </c>
      <c r="L486" s="48" t="s">
        <v>476</v>
      </c>
      <c r="M486" s="47">
        <v>50</v>
      </c>
      <c r="N486" s="47">
        <v>50</v>
      </c>
      <c r="O486" s="46">
        <v>1</v>
      </c>
      <c r="Q486" s="45" t="s">
        <v>23</v>
      </c>
    </row>
    <row r="487" spans="4:17" hidden="1" x14ac:dyDescent="0.4">
      <c r="D487" s="45" t="s">
        <v>104</v>
      </c>
      <c r="E487" s="45" t="s">
        <v>86</v>
      </c>
      <c r="F487" s="45" t="s">
        <v>105</v>
      </c>
      <c r="G487" s="45" t="s">
        <v>106</v>
      </c>
      <c r="H487" s="50" t="s">
        <v>466</v>
      </c>
      <c r="I487" s="49">
        <v>46092</v>
      </c>
      <c r="J487" s="45" t="s">
        <v>448</v>
      </c>
      <c r="K487" s="45" t="s">
        <v>444</v>
      </c>
      <c r="L487" s="48" t="s">
        <v>478</v>
      </c>
      <c r="M487" s="47">
        <v>50</v>
      </c>
      <c r="N487" s="47">
        <v>50</v>
      </c>
      <c r="O487" s="46">
        <v>1</v>
      </c>
      <c r="Q487" s="45" t="s">
        <v>23</v>
      </c>
    </row>
    <row r="488" spans="4:17" hidden="1" x14ac:dyDescent="0.4">
      <c r="D488" s="45" t="s">
        <v>107</v>
      </c>
      <c r="E488" s="45" t="s">
        <v>108</v>
      </c>
      <c r="F488" s="45" t="s">
        <v>109</v>
      </c>
      <c r="G488" s="45" t="s">
        <v>110</v>
      </c>
      <c r="H488" s="50" t="s">
        <v>466</v>
      </c>
      <c r="I488" s="49">
        <v>46092</v>
      </c>
      <c r="J488" s="45" t="s">
        <v>448</v>
      </c>
      <c r="K488" s="45" t="s">
        <v>444</v>
      </c>
      <c r="L488" s="48" t="s">
        <v>465</v>
      </c>
      <c r="M488" s="47">
        <v>48</v>
      </c>
      <c r="N488" s="47">
        <v>50</v>
      </c>
      <c r="O488" s="46">
        <v>0.96</v>
      </c>
      <c r="Q488" s="45" t="s">
        <v>23</v>
      </c>
    </row>
    <row r="489" spans="4:17" hidden="1" x14ac:dyDescent="0.4">
      <c r="D489" s="45" t="s">
        <v>112</v>
      </c>
      <c r="E489" s="45" t="s">
        <v>113</v>
      </c>
      <c r="F489" s="45" t="s">
        <v>114</v>
      </c>
      <c r="G489" s="45" t="s">
        <v>115</v>
      </c>
      <c r="H489" s="50" t="s">
        <v>466</v>
      </c>
      <c r="I489" s="49">
        <v>46092</v>
      </c>
      <c r="J489" s="45" t="s">
        <v>448</v>
      </c>
      <c r="K489" s="45" t="s">
        <v>444</v>
      </c>
      <c r="L489" s="48" t="s">
        <v>477</v>
      </c>
      <c r="M489" s="47">
        <v>0</v>
      </c>
      <c r="N489" s="47">
        <v>50</v>
      </c>
      <c r="O489" s="46">
        <v>0</v>
      </c>
      <c r="Q489" s="45" t="s">
        <v>23</v>
      </c>
    </row>
    <row r="490" spans="4:17" hidden="1" x14ac:dyDescent="0.4">
      <c r="D490" s="45" t="s">
        <v>117</v>
      </c>
      <c r="E490" s="45" t="s">
        <v>118</v>
      </c>
      <c r="F490" s="45" t="s">
        <v>119</v>
      </c>
      <c r="G490" s="45" t="s">
        <v>120</v>
      </c>
      <c r="H490" s="50" t="s">
        <v>466</v>
      </c>
      <c r="I490" s="49">
        <v>46092</v>
      </c>
      <c r="J490" s="45" t="s">
        <v>448</v>
      </c>
      <c r="K490" s="45" t="s">
        <v>444</v>
      </c>
      <c r="L490" s="48" t="s">
        <v>465</v>
      </c>
      <c r="M490" s="47">
        <v>48</v>
      </c>
      <c r="N490" s="47">
        <v>50</v>
      </c>
      <c r="O490" s="46">
        <v>0.96</v>
      </c>
      <c r="Q490" s="45" t="s">
        <v>23</v>
      </c>
    </row>
    <row r="491" spans="4:17" hidden="1" x14ac:dyDescent="0.4">
      <c r="D491" s="45" t="s">
        <v>122</v>
      </c>
      <c r="E491" s="45" t="s">
        <v>123</v>
      </c>
      <c r="F491" s="45" t="s">
        <v>124</v>
      </c>
      <c r="G491" s="45" t="s">
        <v>125</v>
      </c>
      <c r="H491" s="50" t="s">
        <v>466</v>
      </c>
      <c r="I491" s="49">
        <v>46092</v>
      </c>
      <c r="J491" s="45" t="s">
        <v>448</v>
      </c>
      <c r="K491" s="45" t="s">
        <v>444</v>
      </c>
      <c r="L491" s="48" t="s">
        <v>476</v>
      </c>
      <c r="M491" s="47">
        <v>50</v>
      </c>
      <c r="N491" s="47">
        <v>50</v>
      </c>
      <c r="O491" s="46">
        <v>1</v>
      </c>
      <c r="Q491" s="45" t="s">
        <v>23</v>
      </c>
    </row>
    <row r="492" spans="4:17" hidden="1" x14ac:dyDescent="0.4">
      <c r="D492" s="45" t="s">
        <v>127</v>
      </c>
      <c r="E492" s="45" t="s">
        <v>128</v>
      </c>
      <c r="F492" s="45" t="s">
        <v>129</v>
      </c>
      <c r="G492" s="45" t="s">
        <v>130</v>
      </c>
      <c r="H492" s="50" t="s">
        <v>466</v>
      </c>
      <c r="I492" s="49">
        <v>46092</v>
      </c>
      <c r="J492" s="45" t="s">
        <v>448</v>
      </c>
      <c r="K492" s="45" t="s">
        <v>444</v>
      </c>
      <c r="L492" s="48" t="s">
        <v>475</v>
      </c>
      <c r="M492" s="47">
        <v>50</v>
      </c>
      <c r="N492" s="47">
        <v>50</v>
      </c>
      <c r="O492" s="46">
        <v>1</v>
      </c>
      <c r="Q492" s="45" t="s">
        <v>23</v>
      </c>
    </row>
    <row r="493" spans="4:17" hidden="1" x14ac:dyDescent="0.4">
      <c r="D493" s="45" t="s">
        <v>132</v>
      </c>
      <c r="E493" s="45" t="s">
        <v>133</v>
      </c>
      <c r="F493" s="45" t="s">
        <v>134</v>
      </c>
      <c r="G493" s="45" t="s">
        <v>135</v>
      </c>
      <c r="H493" s="50" t="s">
        <v>466</v>
      </c>
      <c r="I493" s="49">
        <v>46092</v>
      </c>
      <c r="J493" s="45" t="s">
        <v>448</v>
      </c>
      <c r="K493" s="45" t="s">
        <v>444</v>
      </c>
      <c r="L493" s="48" t="s">
        <v>475</v>
      </c>
      <c r="M493" s="47">
        <v>50</v>
      </c>
      <c r="N493" s="47">
        <v>50</v>
      </c>
      <c r="O493" s="46">
        <v>1</v>
      </c>
      <c r="Q493" s="45" t="s">
        <v>23</v>
      </c>
    </row>
    <row r="494" spans="4:17" hidden="1" x14ac:dyDescent="0.4">
      <c r="D494" s="45" t="s">
        <v>137</v>
      </c>
      <c r="E494" s="45" t="s">
        <v>138</v>
      </c>
      <c r="F494" s="45" t="s">
        <v>139</v>
      </c>
      <c r="G494" s="45" t="s">
        <v>140</v>
      </c>
      <c r="H494" s="50" t="s">
        <v>466</v>
      </c>
      <c r="I494" s="49">
        <v>46092</v>
      </c>
      <c r="J494" s="45" t="s">
        <v>448</v>
      </c>
      <c r="K494" s="45" t="s">
        <v>444</v>
      </c>
      <c r="L494" s="48" t="s">
        <v>467</v>
      </c>
      <c r="M494" s="47">
        <v>50</v>
      </c>
      <c r="N494" s="47">
        <v>50</v>
      </c>
      <c r="O494" s="46">
        <v>1</v>
      </c>
      <c r="Q494" s="45" t="s">
        <v>23</v>
      </c>
    </row>
    <row r="495" spans="4:17" hidden="1" x14ac:dyDescent="0.4">
      <c r="D495" s="45" t="s">
        <v>142</v>
      </c>
      <c r="E495" s="45" t="s">
        <v>143</v>
      </c>
      <c r="F495" s="45" t="s">
        <v>144</v>
      </c>
      <c r="G495" s="45" t="s">
        <v>145</v>
      </c>
      <c r="H495" s="50" t="s">
        <v>466</v>
      </c>
      <c r="I495" s="49">
        <v>46092</v>
      </c>
      <c r="J495" s="45" t="s">
        <v>448</v>
      </c>
      <c r="K495" s="45" t="s">
        <v>444</v>
      </c>
      <c r="L495" s="48" t="s">
        <v>467</v>
      </c>
      <c r="M495" s="47">
        <v>50</v>
      </c>
      <c r="N495" s="47">
        <v>50</v>
      </c>
      <c r="O495" s="46">
        <v>1</v>
      </c>
      <c r="Q495" s="45" t="s">
        <v>23</v>
      </c>
    </row>
    <row r="496" spans="4:17" hidden="1" x14ac:dyDescent="0.4">
      <c r="D496" s="45" t="s">
        <v>147</v>
      </c>
      <c r="E496" s="45" t="s">
        <v>148</v>
      </c>
      <c r="F496" s="45" t="s">
        <v>149</v>
      </c>
      <c r="G496" s="45" t="s">
        <v>150</v>
      </c>
      <c r="H496" s="50" t="s">
        <v>466</v>
      </c>
      <c r="I496" s="49">
        <v>46092</v>
      </c>
      <c r="J496" s="45" t="s">
        <v>448</v>
      </c>
      <c r="K496" s="45" t="s">
        <v>444</v>
      </c>
      <c r="L496" s="48" t="s">
        <v>471</v>
      </c>
      <c r="M496" s="47">
        <v>35</v>
      </c>
      <c r="N496" s="47">
        <v>50</v>
      </c>
      <c r="O496" s="46">
        <v>0.7</v>
      </c>
      <c r="Q496" s="45" t="s">
        <v>23</v>
      </c>
    </row>
    <row r="497" spans="4:17" hidden="1" x14ac:dyDescent="0.4">
      <c r="D497" s="45" t="s">
        <v>152</v>
      </c>
      <c r="E497" s="45" t="s">
        <v>66</v>
      </c>
      <c r="F497" s="45" t="s">
        <v>153</v>
      </c>
      <c r="G497" s="45" t="s">
        <v>154</v>
      </c>
      <c r="H497" s="50" t="s">
        <v>466</v>
      </c>
      <c r="I497" s="49">
        <v>46092</v>
      </c>
      <c r="J497" s="45" t="s">
        <v>448</v>
      </c>
      <c r="K497" s="45" t="s">
        <v>444</v>
      </c>
      <c r="L497" s="48" t="s">
        <v>469</v>
      </c>
      <c r="M497" s="47">
        <v>50</v>
      </c>
      <c r="N497" s="47">
        <v>50</v>
      </c>
      <c r="O497" s="46">
        <v>1</v>
      </c>
      <c r="Q497" s="45" t="s">
        <v>23</v>
      </c>
    </row>
    <row r="498" spans="4:17" hidden="1" x14ac:dyDescent="0.4">
      <c r="D498" s="45" t="s">
        <v>160</v>
      </c>
      <c r="E498" s="45" t="s">
        <v>81</v>
      </c>
      <c r="F498" s="45" t="s">
        <v>161</v>
      </c>
      <c r="G498" s="45" t="s">
        <v>162</v>
      </c>
      <c r="H498" s="50" t="s">
        <v>466</v>
      </c>
      <c r="I498" s="49">
        <v>46092</v>
      </c>
      <c r="J498" s="45" t="s">
        <v>448</v>
      </c>
      <c r="K498" s="45" t="s">
        <v>444</v>
      </c>
      <c r="L498" s="48" t="s">
        <v>470</v>
      </c>
      <c r="M498" s="47">
        <v>45</v>
      </c>
      <c r="N498" s="47">
        <v>50</v>
      </c>
      <c r="O498" s="46">
        <v>0.9</v>
      </c>
      <c r="Q498" s="45" t="s">
        <v>23</v>
      </c>
    </row>
    <row r="499" spans="4:17" hidden="1" x14ac:dyDescent="0.4">
      <c r="D499" s="45" t="s">
        <v>163</v>
      </c>
      <c r="E499" s="45" t="s">
        <v>164</v>
      </c>
      <c r="F499" s="45" t="s">
        <v>165</v>
      </c>
      <c r="G499" s="45" t="s">
        <v>166</v>
      </c>
      <c r="H499" s="50" t="s">
        <v>466</v>
      </c>
      <c r="I499" s="49">
        <v>46092</v>
      </c>
      <c r="J499" s="45" t="s">
        <v>448</v>
      </c>
      <c r="K499" s="45" t="s">
        <v>444</v>
      </c>
      <c r="L499" s="48" t="s">
        <v>474</v>
      </c>
      <c r="M499" s="47">
        <v>20</v>
      </c>
      <c r="N499" s="47">
        <v>50</v>
      </c>
      <c r="O499" s="46">
        <v>0.4</v>
      </c>
      <c r="Q499" s="45" t="s">
        <v>23</v>
      </c>
    </row>
    <row r="500" spans="4:17" hidden="1" x14ac:dyDescent="0.4">
      <c r="D500" s="45" t="s">
        <v>168</v>
      </c>
      <c r="E500" s="45" t="s">
        <v>169</v>
      </c>
      <c r="F500" s="45" t="s">
        <v>170</v>
      </c>
      <c r="G500" s="45" t="s">
        <v>171</v>
      </c>
      <c r="H500" s="50" t="s">
        <v>466</v>
      </c>
      <c r="I500" s="49">
        <v>46092</v>
      </c>
      <c r="J500" s="45" t="s">
        <v>448</v>
      </c>
      <c r="K500" s="45" t="s">
        <v>444</v>
      </c>
      <c r="L500" s="48" t="s">
        <v>473</v>
      </c>
      <c r="M500" s="47">
        <v>25</v>
      </c>
      <c r="N500" s="47">
        <v>50</v>
      </c>
      <c r="O500" s="46">
        <v>0.5</v>
      </c>
      <c r="Q500" s="45" t="s">
        <v>23</v>
      </c>
    </row>
    <row r="501" spans="4:17" hidden="1" x14ac:dyDescent="0.4">
      <c r="D501" s="45" t="s">
        <v>173</v>
      </c>
      <c r="E501" s="45" t="s">
        <v>174</v>
      </c>
      <c r="F501" s="45" t="s">
        <v>175</v>
      </c>
      <c r="G501" s="45" t="s">
        <v>176</v>
      </c>
      <c r="H501" s="50" t="s">
        <v>466</v>
      </c>
      <c r="I501" s="49">
        <v>46092</v>
      </c>
      <c r="J501" s="45" t="s">
        <v>448</v>
      </c>
      <c r="K501" s="45" t="s">
        <v>444</v>
      </c>
      <c r="L501" s="48" t="s">
        <v>472</v>
      </c>
      <c r="M501" s="47">
        <v>50</v>
      </c>
      <c r="N501" s="47">
        <v>50</v>
      </c>
      <c r="O501" s="46">
        <v>1</v>
      </c>
      <c r="Q501" s="45" t="s">
        <v>23</v>
      </c>
    </row>
    <row r="502" spans="4:17" hidden="1" x14ac:dyDescent="0.4">
      <c r="D502" s="45" t="s">
        <v>178</v>
      </c>
      <c r="E502" s="45" t="s">
        <v>179</v>
      </c>
      <c r="F502" s="45" t="s">
        <v>180</v>
      </c>
      <c r="G502" s="45" t="s">
        <v>181</v>
      </c>
      <c r="H502" s="50" t="s">
        <v>466</v>
      </c>
      <c r="I502" s="49">
        <v>46092</v>
      </c>
      <c r="J502" s="45" t="s">
        <v>448</v>
      </c>
      <c r="K502" s="45" t="s">
        <v>444</v>
      </c>
      <c r="L502" s="48" t="s">
        <v>471</v>
      </c>
      <c r="M502" s="47">
        <v>35</v>
      </c>
      <c r="N502" s="47">
        <v>50</v>
      </c>
      <c r="O502" s="46">
        <v>0.7</v>
      </c>
      <c r="Q502" s="45" t="s">
        <v>23</v>
      </c>
    </row>
    <row r="503" spans="4:17" hidden="1" x14ac:dyDescent="0.4">
      <c r="D503" s="45" t="s">
        <v>187</v>
      </c>
      <c r="E503" s="45" t="s">
        <v>188</v>
      </c>
      <c r="F503" s="45" t="s">
        <v>189</v>
      </c>
      <c r="G503" s="45" t="s">
        <v>190</v>
      </c>
      <c r="H503" s="50" t="s">
        <v>466</v>
      </c>
      <c r="I503" s="49">
        <v>46092</v>
      </c>
      <c r="J503" s="45" t="s">
        <v>448</v>
      </c>
      <c r="K503" s="45" t="s">
        <v>444</v>
      </c>
      <c r="L503" s="48" t="s">
        <v>468</v>
      </c>
      <c r="M503" s="47">
        <v>50</v>
      </c>
      <c r="N503" s="47">
        <v>50</v>
      </c>
      <c r="O503" s="46">
        <v>1</v>
      </c>
      <c r="Q503" s="45" t="s">
        <v>23</v>
      </c>
    </row>
    <row r="504" spans="4:17" hidden="1" x14ac:dyDescent="0.4">
      <c r="D504" s="45" t="s">
        <v>192</v>
      </c>
      <c r="E504" s="45" t="s">
        <v>193</v>
      </c>
      <c r="F504" s="45" t="s">
        <v>194</v>
      </c>
      <c r="G504" s="45" t="s">
        <v>195</v>
      </c>
      <c r="H504" s="50" t="s">
        <v>466</v>
      </c>
      <c r="I504" s="49">
        <v>46092</v>
      </c>
      <c r="J504" s="45" t="s">
        <v>448</v>
      </c>
      <c r="K504" s="45" t="s">
        <v>444</v>
      </c>
      <c r="L504" s="48" t="s">
        <v>468</v>
      </c>
      <c r="M504" s="47">
        <v>50</v>
      </c>
      <c r="N504" s="47">
        <v>50</v>
      </c>
      <c r="O504" s="46">
        <v>1</v>
      </c>
      <c r="Q504" s="45" t="s">
        <v>23</v>
      </c>
    </row>
    <row r="505" spans="4:17" hidden="1" x14ac:dyDescent="0.4">
      <c r="D505" s="45" t="s">
        <v>197</v>
      </c>
      <c r="E505" s="45" t="s">
        <v>198</v>
      </c>
      <c r="F505" s="45" t="s">
        <v>199</v>
      </c>
      <c r="G505" s="45" t="s">
        <v>200</v>
      </c>
      <c r="H505" s="50" t="s">
        <v>466</v>
      </c>
      <c r="I505" s="49">
        <v>46092</v>
      </c>
      <c r="J505" s="45" t="s">
        <v>448</v>
      </c>
      <c r="K505" s="45" t="s">
        <v>444</v>
      </c>
      <c r="L505" s="48" t="s">
        <v>470</v>
      </c>
      <c r="M505" s="47">
        <v>45</v>
      </c>
      <c r="N505" s="47">
        <v>50</v>
      </c>
      <c r="O505" s="46">
        <v>0.9</v>
      </c>
      <c r="Q505" s="45" t="s">
        <v>23</v>
      </c>
    </row>
    <row r="506" spans="4:17" hidden="1" x14ac:dyDescent="0.4">
      <c r="D506" s="45" t="s">
        <v>201</v>
      </c>
      <c r="E506" s="45" t="s">
        <v>143</v>
      </c>
      <c r="F506" s="45" t="s">
        <v>202</v>
      </c>
      <c r="G506" s="45" t="s">
        <v>203</v>
      </c>
      <c r="H506" s="50" t="s">
        <v>466</v>
      </c>
      <c r="I506" s="49">
        <v>46092</v>
      </c>
      <c r="J506" s="45" t="s">
        <v>448</v>
      </c>
      <c r="K506" s="45" t="s">
        <v>444</v>
      </c>
      <c r="L506" s="48" t="s">
        <v>469</v>
      </c>
      <c r="M506" s="47">
        <v>50</v>
      </c>
      <c r="N506" s="47">
        <v>50</v>
      </c>
      <c r="O506" s="46">
        <v>1</v>
      </c>
      <c r="Q506" s="45" t="s">
        <v>23</v>
      </c>
    </row>
    <row r="507" spans="4:17" hidden="1" x14ac:dyDescent="0.4">
      <c r="D507" s="45" t="s">
        <v>205</v>
      </c>
      <c r="E507" s="45" t="s">
        <v>206</v>
      </c>
      <c r="F507" s="45" t="s">
        <v>207</v>
      </c>
      <c r="G507" s="45" t="s">
        <v>208</v>
      </c>
      <c r="H507" s="50" t="s">
        <v>466</v>
      </c>
      <c r="I507" s="49">
        <v>46092</v>
      </c>
      <c r="J507" s="45" t="s">
        <v>448</v>
      </c>
      <c r="K507" s="45" t="s">
        <v>444</v>
      </c>
      <c r="L507" s="48" t="s">
        <v>468</v>
      </c>
      <c r="M507" s="47">
        <v>50</v>
      </c>
      <c r="N507" s="47">
        <v>50</v>
      </c>
      <c r="O507" s="46">
        <v>1</v>
      </c>
      <c r="Q507" s="45" t="s">
        <v>23</v>
      </c>
    </row>
    <row r="508" spans="4:17" hidden="1" x14ac:dyDescent="0.4">
      <c r="D508" s="45" t="s">
        <v>210</v>
      </c>
      <c r="E508" s="45" t="s">
        <v>211</v>
      </c>
      <c r="F508" s="45" t="s">
        <v>212</v>
      </c>
      <c r="G508" s="45" t="s">
        <v>213</v>
      </c>
      <c r="H508" s="50" t="s">
        <v>466</v>
      </c>
      <c r="I508" s="49">
        <v>46092</v>
      </c>
      <c r="J508" s="45" t="s">
        <v>448</v>
      </c>
      <c r="K508" s="45" t="s">
        <v>444</v>
      </c>
      <c r="L508" s="48" t="s">
        <v>467</v>
      </c>
      <c r="M508" s="47">
        <v>50</v>
      </c>
      <c r="N508" s="47">
        <v>50</v>
      </c>
      <c r="O508" s="46">
        <v>1</v>
      </c>
      <c r="Q508" s="45" t="s">
        <v>23</v>
      </c>
    </row>
    <row r="509" spans="4:17" hidden="1" x14ac:dyDescent="0.4">
      <c r="D509" s="45" t="s">
        <v>215</v>
      </c>
      <c r="E509" s="45" t="s">
        <v>216</v>
      </c>
      <c r="F509" s="45" t="s">
        <v>217</v>
      </c>
      <c r="G509" s="45" t="s">
        <v>218</v>
      </c>
      <c r="H509" s="50" t="s">
        <v>466</v>
      </c>
      <c r="I509" s="49">
        <v>46092</v>
      </c>
      <c r="J509" s="45" t="s">
        <v>448</v>
      </c>
      <c r="K509" s="45" t="s">
        <v>444</v>
      </c>
      <c r="L509" s="48" t="s">
        <v>465</v>
      </c>
      <c r="M509" s="47">
        <v>48</v>
      </c>
      <c r="N509" s="47">
        <v>50</v>
      </c>
      <c r="O509" s="46">
        <v>0.96</v>
      </c>
      <c r="Q509" s="45" t="s">
        <v>23</v>
      </c>
    </row>
    <row r="510" spans="4:17" hidden="1" x14ac:dyDescent="0.4">
      <c r="D510" s="45" t="s">
        <v>24</v>
      </c>
      <c r="E510" s="45" t="s">
        <v>25</v>
      </c>
      <c r="F510" s="45" t="s">
        <v>26</v>
      </c>
      <c r="G510" s="45" t="s">
        <v>27</v>
      </c>
      <c r="H510" s="50" t="s">
        <v>449</v>
      </c>
      <c r="I510" s="49">
        <v>46092</v>
      </c>
      <c r="J510" s="45" t="s">
        <v>448</v>
      </c>
      <c r="K510" s="45" t="s">
        <v>444</v>
      </c>
      <c r="L510" s="48" t="s">
        <v>455</v>
      </c>
      <c r="M510" s="47">
        <v>50</v>
      </c>
      <c r="N510" s="47">
        <v>50</v>
      </c>
      <c r="O510" s="46">
        <v>1</v>
      </c>
      <c r="Q510" s="45" t="s">
        <v>23</v>
      </c>
    </row>
    <row r="511" spans="4:17" hidden="1" x14ac:dyDescent="0.4">
      <c r="D511" s="45" t="s">
        <v>31</v>
      </c>
      <c r="E511" s="45" t="s">
        <v>32</v>
      </c>
      <c r="F511" s="45" t="s">
        <v>33</v>
      </c>
      <c r="G511" s="45" t="s">
        <v>34</v>
      </c>
      <c r="H511" s="50" t="s">
        <v>449</v>
      </c>
      <c r="I511" s="49">
        <v>46092</v>
      </c>
      <c r="J511" s="45" t="s">
        <v>448</v>
      </c>
      <c r="K511" s="45" t="s">
        <v>444</v>
      </c>
      <c r="L511" s="48" t="s">
        <v>462</v>
      </c>
      <c r="M511" s="47">
        <v>45</v>
      </c>
      <c r="N511" s="47">
        <v>50</v>
      </c>
      <c r="O511" s="46">
        <v>0.9</v>
      </c>
      <c r="Q511" s="45" t="s">
        <v>23</v>
      </c>
    </row>
    <row r="512" spans="4:17" hidden="1" x14ac:dyDescent="0.4">
      <c r="D512" s="45" t="s">
        <v>36</v>
      </c>
      <c r="E512" s="45" t="s">
        <v>37</v>
      </c>
      <c r="F512" s="45" t="s">
        <v>38</v>
      </c>
      <c r="G512" s="45" t="s">
        <v>39</v>
      </c>
      <c r="H512" s="50" t="s">
        <v>449</v>
      </c>
      <c r="I512" s="49">
        <v>46092</v>
      </c>
      <c r="J512" s="45" t="s">
        <v>448</v>
      </c>
      <c r="K512" s="45" t="s">
        <v>444</v>
      </c>
      <c r="L512" s="48" t="s">
        <v>463</v>
      </c>
      <c r="M512" s="47">
        <v>50</v>
      </c>
      <c r="N512" s="47">
        <v>50</v>
      </c>
      <c r="O512" s="46">
        <v>1</v>
      </c>
      <c r="Q512" s="45" t="s">
        <v>23</v>
      </c>
    </row>
    <row r="513" spans="4:17" hidden="1" x14ac:dyDescent="0.4">
      <c r="D513" s="45" t="s">
        <v>41</v>
      </c>
      <c r="E513" s="45" t="s">
        <v>42</v>
      </c>
      <c r="F513" s="45" t="s">
        <v>43</v>
      </c>
      <c r="G513" s="45" t="s">
        <v>44</v>
      </c>
      <c r="H513" s="50" t="s">
        <v>449</v>
      </c>
      <c r="I513" s="49">
        <v>46092</v>
      </c>
      <c r="J513" s="45" t="s">
        <v>448</v>
      </c>
      <c r="K513" s="45" t="s">
        <v>444</v>
      </c>
      <c r="L513" s="48" t="s">
        <v>457</v>
      </c>
      <c r="M513" s="47">
        <v>35</v>
      </c>
      <c r="N513" s="47">
        <v>50</v>
      </c>
      <c r="O513" s="46">
        <v>0.7</v>
      </c>
      <c r="Q513" s="45" t="s">
        <v>23</v>
      </c>
    </row>
    <row r="514" spans="4:17" hidden="1" x14ac:dyDescent="0.4">
      <c r="D514" s="45" t="s">
        <v>46</v>
      </c>
      <c r="E514" s="45" t="s">
        <v>47</v>
      </c>
      <c r="F514" s="45" t="s">
        <v>48</v>
      </c>
      <c r="G514" s="45" t="s">
        <v>49</v>
      </c>
      <c r="H514" s="50" t="s">
        <v>449</v>
      </c>
      <c r="I514" s="49">
        <v>46092</v>
      </c>
      <c r="J514" s="45" t="s">
        <v>448</v>
      </c>
      <c r="K514" s="45" t="s">
        <v>444</v>
      </c>
      <c r="L514" s="48" t="s">
        <v>457</v>
      </c>
      <c r="M514" s="47">
        <v>35</v>
      </c>
      <c r="N514" s="47">
        <v>50</v>
      </c>
      <c r="O514" s="46">
        <v>0.7</v>
      </c>
      <c r="Q514" s="45" t="s">
        <v>23</v>
      </c>
    </row>
    <row r="515" spans="4:17" hidden="1" x14ac:dyDescent="0.4">
      <c r="D515" s="45" t="s">
        <v>51</v>
      </c>
      <c r="E515" s="45" t="s">
        <v>52</v>
      </c>
      <c r="F515" s="45" t="s">
        <v>53</v>
      </c>
      <c r="G515" s="45" t="s">
        <v>54</v>
      </c>
      <c r="H515" s="50" t="s">
        <v>449</v>
      </c>
      <c r="I515" s="49">
        <v>46092</v>
      </c>
      <c r="J515" s="45" t="s">
        <v>448</v>
      </c>
      <c r="K515" s="45" t="s">
        <v>444</v>
      </c>
      <c r="L515" s="48" t="s">
        <v>464</v>
      </c>
      <c r="M515" s="47">
        <v>0</v>
      </c>
      <c r="N515" s="47">
        <v>50</v>
      </c>
      <c r="O515" s="46">
        <v>0</v>
      </c>
      <c r="Q515" s="45" t="s">
        <v>23</v>
      </c>
    </row>
    <row r="516" spans="4:17" hidden="1" x14ac:dyDescent="0.4">
      <c r="D516" s="45" t="s">
        <v>56</v>
      </c>
      <c r="E516" s="45" t="s">
        <v>52</v>
      </c>
      <c r="F516" s="45" t="s">
        <v>57</v>
      </c>
      <c r="G516" s="45" t="s">
        <v>58</v>
      </c>
      <c r="H516" s="50" t="s">
        <v>449</v>
      </c>
      <c r="I516" s="49">
        <v>46092</v>
      </c>
      <c r="J516" s="45" t="s">
        <v>448</v>
      </c>
      <c r="K516" s="45" t="s">
        <v>444</v>
      </c>
      <c r="L516" s="48" t="s">
        <v>459</v>
      </c>
      <c r="M516" s="47">
        <v>50</v>
      </c>
      <c r="N516" s="47">
        <v>50</v>
      </c>
      <c r="O516" s="46">
        <v>1</v>
      </c>
      <c r="Q516" s="45" t="s">
        <v>23</v>
      </c>
    </row>
    <row r="517" spans="4:17" hidden="1" x14ac:dyDescent="0.4">
      <c r="D517" s="45" t="s">
        <v>60</v>
      </c>
      <c r="E517" s="45" t="s">
        <v>61</v>
      </c>
      <c r="F517" s="45" t="s">
        <v>62</v>
      </c>
      <c r="G517" s="45" t="s">
        <v>63</v>
      </c>
      <c r="H517" s="50" t="s">
        <v>449</v>
      </c>
      <c r="I517" s="49">
        <v>46092</v>
      </c>
      <c r="J517" s="45" t="s">
        <v>448</v>
      </c>
      <c r="K517" s="45" t="s">
        <v>444</v>
      </c>
      <c r="L517" s="48" t="s">
        <v>455</v>
      </c>
      <c r="M517" s="47">
        <v>50</v>
      </c>
      <c r="N517" s="47">
        <v>50</v>
      </c>
      <c r="O517" s="46">
        <v>1</v>
      </c>
      <c r="Q517" s="45" t="s">
        <v>23</v>
      </c>
    </row>
    <row r="518" spans="4:17" hidden="1" x14ac:dyDescent="0.4">
      <c r="D518" s="45" t="s">
        <v>65</v>
      </c>
      <c r="E518" s="45" t="s">
        <v>66</v>
      </c>
      <c r="F518" s="45" t="s">
        <v>67</v>
      </c>
      <c r="G518" s="45" t="s">
        <v>68</v>
      </c>
      <c r="H518" s="50" t="s">
        <v>449</v>
      </c>
      <c r="I518" s="49">
        <v>46092</v>
      </c>
      <c r="J518" s="45" t="s">
        <v>448</v>
      </c>
      <c r="K518" s="45" t="s">
        <v>444</v>
      </c>
      <c r="L518" s="48" t="s">
        <v>456</v>
      </c>
      <c r="M518" s="47">
        <v>50</v>
      </c>
      <c r="N518" s="47">
        <v>50</v>
      </c>
      <c r="O518" s="46">
        <v>1</v>
      </c>
      <c r="Q518" s="45" t="s">
        <v>23</v>
      </c>
    </row>
    <row r="519" spans="4:17" hidden="1" x14ac:dyDescent="0.4">
      <c r="D519" s="45" t="s">
        <v>70</v>
      </c>
      <c r="E519" s="45" t="s">
        <v>71</v>
      </c>
      <c r="F519" s="45" t="s">
        <v>72</v>
      </c>
      <c r="G519" s="45" t="s">
        <v>73</v>
      </c>
      <c r="H519" s="50" t="s">
        <v>449</v>
      </c>
      <c r="I519" s="49">
        <v>46092</v>
      </c>
      <c r="J519" s="45" t="s">
        <v>448</v>
      </c>
      <c r="K519" s="45" t="s">
        <v>444</v>
      </c>
      <c r="L519" s="48" t="s">
        <v>456</v>
      </c>
      <c r="M519" s="47">
        <v>50</v>
      </c>
      <c r="N519" s="47">
        <v>50</v>
      </c>
      <c r="O519" s="46">
        <v>1</v>
      </c>
      <c r="Q519" s="45" t="s">
        <v>23</v>
      </c>
    </row>
    <row r="520" spans="4:17" hidden="1" x14ac:dyDescent="0.4">
      <c r="D520" s="45" t="s">
        <v>75</v>
      </c>
      <c r="E520" s="45" t="s">
        <v>76</v>
      </c>
      <c r="F520" s="45" t="s">
        <v>77</v>
      </c>
      <c r="G520" s="45" t="s">
        <v>78</v>
      </c>
      <c r="H520" s="50" t="s">
        <v>449</v>
      </c>
      <c r="I520" s="49">
        <v>46092</v>
      </c>
      <c r="J520" s="45" t="s">
        <v>448</v>
      </c>
      <c r="K520" s="45" t="s">
        <v>444</v>
      </c>
      <c r="L520" s="48" t="s">
        <v>458</v>
      </c>
      <c r="M520" s="47">
        <v>50</v>
      </c>
      <c r="N520" s="47">
        <v>50</v>
      </c>
      <c r="O520" s="46">
        <v>1</v>
      </c>
      <c r="Q520" s="45" t="s">
        <v>23</v>
      </c>
    </row>
    <row r="521" spans="4:17" hidden="1" x14ac:dyDescent="0.4">
      <c r="D521" s="45" t="s">
        <v>80</v>
      </c>
      <c r="E521" s="45" t="s">
        <v>81</v>
      </c>
      <c r="F521" s="45" t="s">
        <v>82</v>
      </c>
      <c r="G521" s="45" t="s">
        <v>83</v>
      </c>
      <c r="H521" s="50" t="s">
        <v>449</v>
      </c>
      <c r="I521" s="49">
        <v>46092</v>
      </c>
      <c r="J521" s="45" t="s">
        <v>448</v>
      </c>
      <c r="K521" s="45" t="s">
        <v>444</v>
      </c>
      <c r="L521" s="48" t="s">
        <v>463</v>
      </c>
      <c r="M521" s="47">
        <v>50</v>
      </c>
      <c r="N521" s="47">
        <v>50</v>
      </c>
      <c r="O521" s="46">
        <v>1</v>
      </c>
      <c r="Q521" s="45" t="s">
        <v>23</v>
      </c>
    </row>
    <row r="522" spans="4:17" hidden="1" x14ac:dyDescent="0.4">
      <c r="D522" s="45" t="s">
        <v>85</v>
      </c>
      <c r="E522" s="45" t="s">
        <v>86</v>
      </c>
      <c r="F522" s="45" t="s">
        <v>87</v>
      </c>
      <c r="G522" s="45" t="s">
        <v>88</v>
      </c>
      <c r="H522" s="50" t="s">
        <v>449</v>
      </c>
      <c r="I522" s="49">
        <v>46092</v>
      </c>
      <c r="J522" s="45" t="s">
        <v>448</v>
      </c>
      <c r="K522" s="45" t="s">
        <v>444</v>
      </c>
      <c r="L522" s="48" t="s">
        <v>463</v>
      </c>
      <c r="M522" s="47">
        <v>50</v>
      </c>
      <c r="N522" s="47">
        <v>50</v>
      </c>
      <c r="O522" s="46">
        <v>1</v>
      </c>
      <c r="Q522" s="45" t="s">
        <v>23</v>
      </c>
    </row>
    <row r="523" spans="4:17" hidden="1" x14ac:dyDescent="0.4">
      <c r="D523" s="45" t="s">
        <v>89</v>
      </c>
      <c r="E523" s="45" t="s">
        <v>90</v>
      </c>
      <c r="F523" s="45" t="s">
        <v>91</v>
      </c>
      <c r="G523" s="45" t="s">
        <v>92</v>
      </c>
      <c r="H523" s="50" t="s">
        <v>449</v>
      </c>
      <c r="I523" s="49">
        <v>46092</v>
      </c>
      <c r="J523" s="45" t="s">
        <v>448</v>
      </c>
      <c r="K523" s="45" t="s">
        <v>444</v>
      </c>
      <c r="L523" s="48" t="s">
        <v>462</v>
      </c>
      <c r="M523" s="47">
        <v>45</v>
      </c>
      <c r="N523" s="47">
        <v>50</v>
      </c>
      <c r="O523" s="46">
        <v>0.9</v>
      </c>
      <c r="Q523" s="45" t="s">
        <v>23</v>
      </c>
    </row>
    <row r="524" spans="4:17" hidden="1" x14ac:dyDescent="0.4">
      <c r="D524" s="45" t="s">
        <v>94</v>
      </c>
      <c r="E524" s="45" t="s">
        <v>95</v>
      </c>
      <c r="F524" s="45" t="s">
        <v>96</v>
      </c>
      <c r="G524" s="45" t="s">
        <v>97</v>
      </c>
      <c r="H524" s="50" t="s">
        <v>449</v>
      </c>
      <c r="I524" s="49">
        <v>46092</v>
      </c>
      <c r="J524" s="45" t="s">
        <v>448</v>
      </c>
      <c r="K524" s="45" t="s">
        <v>444</v>
      </c>
      <c r="L524" s="48" t="s">
        <v>453</v>
      </c>
      <c r="M524" s="47">
        <v>48</v>
      </c>
      <c r="N524" s="47">
        <v>50</v>
      </c>
      <c r="O524" s="46">
        <v>0.96</v>
      </c>
      <c r="Q524" s="45" t="s">
        <v>23</v>
      </c>
    </row>
    <row r="525" spans="4:17" hidden="1" x14ac:dyDescent="0.4">
      <c r="D525" s="45" t="s">
        <v>99</v>
      </c>
      <c r="E525" s="45" t="s">
        <v>100</v>
      </c>
      <c r="F525" s="45" t="s">
        <v>101</v>
      </c>
      <c r="G525" s="45" t="s">
        <v>102</v>
      </c>
      <c r="H525" s="50" t="s">
        <v>449</v>
      </c>
      <c r="I525" s="49">
        <v>46092</v>
      </c>
      <c r="J525" s="45" t="s">
        <v>448</v>
      </c>
      <c r="K525" s="45" t="s">
        <v>444</v>
      </c>
      <c r="L525" s="48" t="s">
        <v>459</v>
      </c>
      <c r="M525" s="47">
        <v>50</v>
      </c>
      <c r="N525" s="47">
        <v>50</v>
      </c>
      <c r="O525" s="46">
        <v>1</v>
      </c>
      <c r="Q525" s="45" t="s">
        <v>23</v>
      </c>
    </row>
    <row r="526" spans="4:17" hidden="1" x14ac:dyDescent="0.4">
      <c r="D526" s="45" t="s">
        <v>104</v>
      </c>
      <c r="E526" s="45" t="s">
        <v>86</v>
      </c>
      <c r="F526" s="45" t="s">
        <v>105</v>
      </c>
      <c r="G526" s="45" t="s">
        <v>106</v>
      </c>
      <c r="H526" s="50" t="s">
        <v>449</v>
      </c>
      <c r="I526" s="49">
        <v>46092</v>
      </c>
      <c r="J526" s="45" t="s">
        <v>448</v>
      </c>
      <c r="K526" s="45" t="s">
        <v>444</v>
      </c>
      <c r="L526" s="48" t="s">
        <v>461</v>
      </c>
      <c r="M526" s="47">
        <v>50</v>
      </c>
      <c r="N526" s="47">
        <v>50</v>
      </c>
      <c r="O526" s="46">
        <v>1</v>
      </c>
      <c r="Q526" s="45" t="s">
        <v>23</v>
      </c>
    </row>
    <row r="527" spans="4:17" hidden="1" x14ac:dyDescent="0.4">
      <c r="D527" s="45" t="s">
        <v>107</v>
      </c>
      <c r="E527" s="45" t="s">
        <v>108</v>
      </c>
      <c r="F527" s="45" t="s">
        <v>109</v>
      </c>
      <c r="G527" s="45" t="s">
        <v>110</v>
      </c>
      <c r="H527" s="50" t="s">
        <v>449</v>
      </c>
      <c r="I527" s="49">
        <v>46092</v>
      </c>
      <c r="J527" s="45" t="s">
        <v>448</v>
      </c>
      <c r="K527" s="45" t="s">
        <v>444</v>
      </c>
      <c r="L527" s="48" t="s">
        <v>447</v>
      </c>
      <c r="M527" s="47">
        <v>50</v>
      </c>
      <c r="N527" s="47">
        <v>50</v>
      </c>
      <c r="O527" s="46">
        <v>1</v>
      </c>
      <c r="Q527" s="45" t="s">
        <v>23</v>
      </c>
    </row>
    <row r="528" spans="4:17" hidden="1" x14ac:dyDescent="0.4">
      <c r="D528" s="45" t="s">
        <v>112</v>
      </c>
      <c r="E528" s="45" t="s">
        <v>113</v>
      </c>
      <c r="F528" s="45" t="s">
        <v>114</v>
      </c>
      <c r="G528" s="45" t="s">
        <v>115</v>
      </c>
      <c r="H528" s="50" t="s">
        <v>449</v>
      </c>
      <c r="I528" s="49">
        <v>46092</v>
      </c>
      <c r="J528" s="45" t="s">
        <v>448</v>
      </c>
      <c r="K528" s="45" t="s">
        <v>444</v>
      </c>
      <c r="L528" s="48" t="s">
        <v>460</v>
      </c>
      <c r="M528" s="47">
        <v>0</v>
      </c>
      <c r="N528" s="47">
        <v>50</v>
      </c>
      <c r="O528" s="46">
        <v>0</v>
      </c>
      <c r="Q528" s="45" t="s">
        <v>23</v>
      </c>
    </row>
    <row r="529" spans="4:17" hidden="1" x14ac:dyDescent="0.4">
      <c r="D529" s="45" t="s">
        <v>117</v>
      </c>
      <c r="E529" s="45" t="s">
        <v>118</v>
      </c>
      <c r="F529" s="45" t="s">
        <v>119</v>
      </c>
      <c r="G529" s="45" t="s">
        <v>120</v>
      </c>
      <c r="H529" s="50" t="s">
        <v>449</v>
      </c>
      <c r="I529" s="49">
        <v>46092</v>
      </c>
      <c r="J529" s="45" t="s">
        <v>448</v>
      </c>
      <c r="K529" s="45" t="s">
        <v>444</v>
      </c>
      <c r="L529" s="48" t="s">
        <v>447</v>
      </c>
      <c r="M529" s="47">
        <v>50</v>
      </c>
      <c r="N529" s="47">
        <v>50</v>
      </c>
      <c r="O529" s="46">
        <v>1</v>
      </c>
      <c r="Q529" s="45" t="s">
        <v>23</v>
      </c>
    </row>
    <row r="530" spans="4:17" hidden="1" x14ac:dyDescent="0.4">
      <c r="D530" s="45" t="s">
        <v>122</v>
      </c>
      <c r="E530" s="45" t="s">
        <v>123</v>
      </c>
      <c r="F530" s="45" t="s">
        <v>124</v>
      </c>
      <c r="G530" s="45" t="s">
        <v>125</v>
      </c>
      <c r="H530" s="50" t="s">
        <v>449</v>
      </c>
      <c r="I530" s="49">
        <v>46092</v>
      </c>
      <c r="J530" s="45" t="s">
        <v>448</v>
      </c>
      <c r="K530" s="45" t="s">
        <v>444</v>
      </c>
      <c r="L530" s="48" t="s">
        <v>459</v>
      </c>
      <c r="M530" s="47">
        <v>50</v>
      </c>
      <c r="N530" s="47">
        <v>50</v>
      </c>
      <c r="O530" s="46">
        <v>1</v>
      </c>
      <c r="Q530" s="45" t="s">
        <v>23</v>
      </c>
    </row>
    <row r="531" spans="4:17" hidden="1" x14ac:dyDescent="0.4">
      <c r="D531" s="45" t="s">
        <v>127</v>
      </c>
      <c r="E531" s="45" t="s">
        <v>128</v>
      </c>
      <c r="F531" s="45" t="s">
        <v>129</v>
      </c>
      <c r="G531" s="45" t="s">
        <v>130</v>
      </c>
      <c r="H531" s="50" t="s">
        <v>449</v>
      </c>
      <c r="I531" s="49">
        <v>46092</v>
      </c>
      <c r="J531" s="45" t="s">
        <v>448</v>
      </c>
      <c r="K531" s="45" t="s">
        <v>444</v>
      </c>
      <c r="L531" s="48" t="s">
        <v>458</v>
      </c>
      <c r="M531" s="47">
        <v>50</v>
      </c>
      <c r="N531" s="47">
        <v>50</v>
      </c>
      <c r="O531" s="46">
        <v>1</v>
      </c>
      <c r="Q531" s="45" t="s">
        <v>23</v>
      </c>
    </row>
    <row r="532" spans="4:17" hidden="1" x14ac:dyDescent="0.4">
      <c r="D532" s="45" t="s">
        <v>132</v>
      </c>
      <c r="E532" s="45" t="s">
        <v>133</v>
      </c>
      <c r="F532" s="45" t="s">
        <v>134</v>
      </c>
      <c r="G532" s="45" t="s">
        <v>135</v>
      </c>
      <c r="H532" s="50" t="s">
        <v>449</v>
      </c>
      <c r="I532" s="49">
        <v>46092</v>
      </c>
      <c r="J532" s="45" t="s">
        <v>448</v>
      </c>
      <c r="K532" s="45" t="s">
        <v>444</v>
      </c>
      <c r="L532" s="48" t="s">
        <v>458</v>
      </c>
      <c r="M532" s="47">
        <v>50</v>
      </c>
      <c r="N532" s="47">
        <v>50</v>
      </c>
      <c r="O532" s="46">
        <v>1</v>
      </c>
      <c r="Q532" s="45" t="s">
        <v>23</v>
      </c>
    </row>
    <row r="533" spans="4:17" hidden="1" x14ac:dyDescent="0.4">
      <c r="D533" s="45" t="s">
        <v>137</v>
      </c>
      <c r="E533" s="45" t="s">
        <v>138</v>
      </c>
      <c r="F533" s="45" t="s">
        <v>139</v>
      </c>
      <c r="G533" s="45" t="s">
        <v>140</v>
      </c>
      <c r="H533" s="50" t="s">
        <v>449</v>
      </c>
      <c r="I533" s="49">
        <v>46092</v>
      </c>
      <c r="J533" s="45" t="s">
        <v>448</v>
      </c>
      <c r="K533" s="45" t="s">
        <v>444</v>
      </c>
      <c r="L533" s="48" t="s">
        <v>450</v>
      </c>
      <c r="M533" s="47">
        <v>50</v>
      </c>
      <c r="N533" s="47">
        <v>50</v>
      </c>
      <c r="O533" s="46">
        <v>1</v>
      </c>
      <c r="Q533" s="45" t="s">
        <v>23</v>
      </c>
    </row>
    <row r="534" spans="4:17" hidden="1" x14ac:dyDescent="0.4">
      <c r="D534" s="45" t="s">
        <v>142</v>
      </c>
      <c r="E534" s="45" t="s">
        <v>143</v>
      </c>
      <c r="F534" s="45" t="s">
        <v>144</v>
      </c>
      <c r="G534" s="45" t="s">
        <v>145</v>
      </c>
      <c r="H534" s="50" t="s">
        <v>449</v>
      </c>
      <c r="I534" s="49">
        <v>46092</v>
      </c>
      <c r="J534" s="45" t="s">
        <v>448</v>
      </c>
      <c r="K534" s="45" t="s">
        <v>444</v>
      </c>
      <c r="L534" s="48" t="s">
        <v>450</v>
      </c>
      <c r="M534" s="47">
        <v>50</v>
      </c>
      <c r="N534" s="47">
        <v>50</v>
      </c>
      <c r="O534" s="46">
        <v>1</v>
      </c>
      <c r="Q534" s="45" t="s">
        <v>23</v>
      </c>
    </row>
    <row r="535" spans="4:17" hidden="1" x14ac:dyDescent="0.4">
      <c r="D535" s="45" t="s">
        <v>147</v>
      </c>
      <c r="E535" s="45" t="s">
        <v>148</v>
      </c>
      <c r="F535" s="45" t="s">
        <v>149</v>
      </c>
      <c r="G535" s="45" t="s">
        <v>150</v>
      </c>
      <c r="H535" s="50" t="s">
        <v>449</v>
      </c>
      <c r="I535" s="49">
        <v>46092</v>
      </c>
      <c r="J535" s="45" t="s">
        <v>448</v>
      </c>
      <c r="K535" s="45" t="s">
        <v>444</v>
      </c>
      <c r="L535" s="48" t="s">
        <v>454</v>
      </c>
      <c r="M535" s="47">
        <v>45</v>
      </c>
      <c r="N535" s="47">
        <v>50</v>
      </c>
      <c r="O535" s="46">
        <v>0.9</v>
      </c>
      <c r="Q535" s="45" t="s">
        <v>23</v>
      </c>
    </row>
    <row r="536" spans="4:17" hidden="1" x14ac:dyDescent="0.4">
      <c r="D536" s="45" t="s">
        <v>152</v>
      </c>
      <c r="E536" s="45" t="s">
        <v>66</v>
      </c>
      <c r="F536" s="45" t="s">
        <v>153</v>
      </c>
      <c r="G536" s="45" t="s">
        <v>154</v>
      </c>
      <c r="H536" s="50" t="s">
        <v>449</v>
      </c>
      <c r="I536" s="49">
        <v>46092</v>
      </c>
      <c r="J536" s="45" t="s">
        <v>448</v>
      </c>
      <c r="K536" s="45" t="s">
        <v>444</v>
      </c>
      <c r="L536" s="48" t="s">
        <v>452</v>
      </c>
      <c r="M536" s="47">
        <v>40</v>
      </c>
      <c r="N536" s="47">
        <v>50</v>
      </c>
      <c r="O536" s="46">
        <v>0.8</v>
      </c>
      <c r="Q536" s="45" t="s">
        <v>23</v>
      </c>
    </row>
    <row r="537" spans="4:17" hidden="1" x14ac:dyDescent="0.4">
      <c r="D537" s="45" t="s">
        <v>160</v>
      </c>
      <c r="E537" s="45" t="s">
        <v>81</v>
      </c>
      <c r="F537" s="45" t="s">
        <v>161</v>
      </c>
      <c r="G537" s="45" t="s">
        <v>162</v>
      </c>
      <c r="H537" s="50" t="s">
        <v>449</v>
      </c>
      <c r="I537" s="49">
        <v>46092</v>
      </c>
      <c r="J537" s="45" t="s">
        <v>448</v>
      </c>
      <c r="K537" s="45" t="s">
        <v>444</v>
      </c>
      <c r="L537" s="48" t="s">
        <v>453</v>
      </c>
      <c r="M537" s="47">
        <v>48</v>
      </c>
      <c r="N537" s="47">
        <v>50</v>
      </c>
      <c r="O537" s="46">
        <v>0.96</v>
      </c>
      <c r="Q537" s="45" t="s">
        <v>23</v>
      </c>
    </row>
    <row r="538" spans="4:17" hidden="1" x14ac:dyDescent="0.4">
      <c r="D538" s="45" t="s">
        <v>163</v>
      </c>
      <c r="E538" s="45" t="s">
        <v>164</v>
      </c>
      <c r="F538" s="45" t="s">
        <v>165</v>
      </c>
      <c r="G538" s="45" t="s">
        <v>166</v>
      </c>
      <c r="H538" s="50" t="s">
        <v>449</v>
      </c>
      <c r="I538" s="49">
        <v>46092</v>
      </c>
      <c r="J538" s="45" t="s">
        <v>448</v>
      </c>
      <c r="K538" s="45" t="s">
        <v>444</v>
      </c>
      <c r="L538" s="48" t="s">
        <v>457</v>
      </c>
      <c r="M538" s="47">
        <v>35</v>
      </c>
      <c r="N538" s="47">
        <v>50</v>
      </c>
      <c r="O538" s="46">
        <v>0.7</v>
      </c>
      <c r="Q538" s="45" t="s">
        <v>23</v>
      </c>
    </row>
    <row r="539" spans="4:17" hidden="1" x14ac:dyDescent="0.4">
      <c r="D539" s="45" t="s">
        <v>168</v>
      </c>
      <c r="E539" s="45" t="s">
        <v>169</v>
      </c>
      <c r="F539" s="45" t="s">
        <v>170</v>
      </c>
      <c r="G539" s="45" t="s">
        <v>171</v>
      </c>
      <c r="H539" s="50" t="s">
        <v>449</v>
      </c>
      <c r="I539" s="49">
        <v>46092</v>
      </c>
      <c r="J539" s="45" t="s">
        <v>448</v>
      </c>
      <c r="K539" s="45" t="s">
        <v>444</v>
      </c>
      <c r="L539" s="48" t="s">
        <v>456</v>
      </c>
      <c r="M539" s="47">
        <v>50</v>
      </c>
      <c r="N539" s="47">
        <v>50</v>
      </c>
      <c r="O539" s="46">
        <v>1</v>
      </c>
      <c r="Q539" s="45" t="s">
        <v>23</v>
      </c>
    </row>
    <row r="540" spans="4:17" hidden="1" x14ac:dyDescent="0.4">
      <c r="D540" s="45" t="s">
        <v>173</v>
      </c>
      <c r="E540" s="45" t="s">
        <v>174</v>
      </c>
      <c r="F540" s="45" t="s">
        <v>175</v>
      </c>
      <c r="G540" s="45" t="s">
        <v>176</v>
      </c>
      <c r="H540" s="50" t="s">
        <v>449</v>
      </c>
      <c r="I540" s="49">
        <v>46092</v>
      </c>
      <c r="J540" s="45" t="s">
        <v>448</v>
      </c>
      <c r="K540" s="45" t="s">
        <v>444</v>
      </c>
      <c r="L540" s="48" t="s">
        <v>455</v>
      </c>
      <c r="M540" s="47">
        <v>50</v>
      </c>
      <c r="N540" s="47">
        <v>50</v>
      </c>
      <c r="O540" s="46">
        <v>1</v>
      </c>
      <c r="Q540" s="45" t="s">
        <v>23</v>
      </c>
    </row>
    <row r="541" spans="4:17" hidden="1" x14ac:dyDescent="0.4">
      <c r="D541" s="45" t="s">
        <v>178</v>
      </c>
      <c r="E541" s="45" t="s">
        <v>179</v>
      </c>
      <c r="F541" s="45" t="s">
        <v>180</v>
      </c>
      <c r="G541" s="45" t="s">
        <v>181</v>
      </c>
      <c r="H541" s="50" t="s">
        <v>449</v>
      </c>
      <c r="I541" s="49">
        <v>46092</v>
      </c>
      <c r="J541" s="45" t="s">
        <v>448</v>
      </c>
      <c r="K541" s="45" t="s">
        <v>444</v>
      </c>
      <c r="L541" s="48" t="s">
        <v>454</v>
      </c>
      <c r="M541" s="47">
        <v>45</v>
      </c>
      <c r="N541" s="47">
        <v>50</v>
      </c>
      <c r="O541" s="46">
        <v>0.9</v>
      </c>
      <c r="Q541" s="45" t="s">
        <v>23</v>
      </c>
    </row>
    <row r="542" spans="4:17" hidden="1" x14ac:dyDescent="0.4">
      <c r="D542" s="45" t="s">
        <v>187</v>
      </c>
      <c r="E542" s="45" t="s">
        <v>188</v>
      </c>
      <c r="F542" s="45" t="s">
        <v>189</v>
      </c>
      <c r="G542" s="45" t="s">
        <v>190</v>
      </c>
      <c r="H542" s="50" t="s">
        <v>449</v>
      </c>
      <c r="I542" s="49">
        <v>46092</v>
      </c>
      <c r="J542" s="45" t="s">
        <v>448</v>
      </c>
      <c r="K542" s="45" t="s">
        <v>444</v>
      </c>
      <c r="L542" s="48" t="s">
        <v>451</v>
      </c>
      <c r="M542" s="47">
        <v>50</v>
      </c>
      <c r="N542" s="47">
        <v>50</v>
      </c>
      <c r="O542" s="46">
        <v>1</v>
      </c>
      <c r="Q542" s="45" t="s">
        <v>23</v>
      </c>
    </row>
    <row r="543" spans="4:17" hidden="1" x14ac:dyDescent="0.4">
      <c r="D543" s="45" t="s">
        <v>192</v>
      </c>
      <c r="E543" s="45" t="s">
        <v>193</v>
      </c>
      <c r="F543" s="45" t="s">
        <v>194</v>
      </c>
      <c r="G543" s="45" t="s">
        <v>195</v>
      </c>
      <c r="H543" s="50" t="s">
        <v>449</v>
      </c>
      <c r="I543" s="49">
        <v>46092</v>
      </c>
      <c r="J543" s="45" t="s">
        <v>448</v>
      </c>
      <c r="K543" s="45" t="s">
        <v>444</v>
      </c>
      <c r="L543" s="48" t="s">
        <v>451</v>
      </c>
      <c r="M543" s="47">
        <v>50</v>
      </c>
      <c r="N543" s="47">
        <v>50</v>
      </c>
      <c r="O543" s="46">
        <v>1</v>
      </c>
      <c r="Q543" s="45" t="s">
        <v>23</v>
      </c>
    </row>
    <row r="544" spans="4:17" hidden="1" x14ac:dyDescent="0.4">
      <c r="D544" s="45" t="s">
        <v>197</v>
      </c>
      <c r="E544" s="45" t="s">
        <v>198</v>
      </c>
      <c r="F544" s="45" t="s">
        <v>199</v>
      </c>
      <c r="G544" s="45" t="s">
        <v>200</v>
      </c>
      <c r="H544" s="50" t="s">
        <v>449</v>
      </c>
      <c r="I544" s="49">
        <v>46092</v>
      </c>
      <c r="J544" s="45" t="s">
        <v>448</v>
      </c>
      <c r="K544" s="45" t="s">
        <v>444</v>
      </c>
      <c r="L544" s="48" t="s">
        <v>453</v>
      </c>
      <c r="M544" s="47">
        <v>48</v>
      </c>
      <c r="N544" s="47">
        <v>50</v>
      </c>
      <c r="O544" s="46">
        <v>0.96</v>
      </c>
      <c r="Q544" s="45" t="s">
        <v>23</v>
      </c>
    </row>
    <row r="545" spans="4:17" hidden="1" x14ac:dyDescent="0.4">
      <c r="D545" s="45" t="s">
        <v>201</v>
      </c>
      <c r="E545" s="45" t="s">
        <v>143</v>
      </c>
      <c r="F545" s="45" t="s">
        <v>202</v>
      </c>
      <c r="G545" s="45" t="s">
        <v>203</v>
      </c>
      <c r="H545" s="50" t="s">
        <v>449</v>
      </c>
      <c r="I545" s="49">
        <v>46092</v>
      </c>
      <c r="J545" s="45" t="s">
        <v>448</v>
      </c>
      <c r="K545" s="45" t="s">
        <v>444</v>
      </c>
      <c r="L545" s="48" t="s">
        <v>452</v>
      </c>
      <c r="M545" s="47">
        <v>40</v>
      </c>
      <c r="N545" s="47">
        <v>50</v>
      </c>
      <c r="O545" s="46">
        <v>0.8</v>
      </c>
      <c r="Q545" s="45" t="s">
        <v>23</v>
      </c>
    </row>
    <row r="546" spans="4:17" hidden="1" x14ac:dyDescent="0.4">
      <c r="D546" s="45" t="s">
        <v>205</v>
      </c>
      <c r="E546" s="45" t="s">
        <v>206</v>
      </c>
      <c r="F546" s="45" t="s">
        <v>207</v>
      </c>
      <c r="G546" s="45" t="s">
        <v>208</v>
      </c>
      <c r="H546" s="50" t="s">
        <v>449</v>
      </c>
      <c r="I546" s="49">
        <v>46092</v>
      </c>
      <c r="J546" s="45" t="s">
        <v>448</v>
      </c>
      <c r="K546" s="45" t="s">
        <v>444</v>
      </c>
      <c r="L546" s="48" t="s">
        <v>451</v>
      </c>
      <c r="M546" s="47">
        <v>50</v>
      </c>
      <c r="N546" s="47">
        <v>50</v>
      </c>
      <c r="O546" s="46">
        <v>1</v>
      </c>
      <c r="Q546" s="45" t="s">
        <v>23</v>
      </c>
    </row>
    <row r="547" spans="4:17" hidden="1" x14ac:dyDescent="0.4">
      <c r="D547" s="45" t="s">
        <v>210</v>
      </c>
      <c r="E547" s="45" t="s">
        <v>211</v>
      </c>
      <c r="F547" s="45" t="s">
        <v>212</v>
      </c>
      <c r="G547" s="45" t="s">
        <v>213</v>
      </c>
      <c r="H547" s="50" t="s">
        <v>449</v>
      </c>
      <c r="I547" s="49">
        <v>46092</v>
      </c>
      <c r="J547" s="45" t="s">
        <v>448</v>
      </c>
      <c r="K547" s="45" t="s">
        <v>444</v>
      </c>
      <c r="L547" s="48" t="s">
        <v>450</v>
      </c>
      <c r="M547" s="47">
        <v>50</v>
      </c>
      <c r="N547" s="47">
        <v>50</v>
      </c>
      <c r="O547" s="46">
        <v>1</v>
      </c>
      <c r="Q547" s="45" t="s">
        <v>23</v>
      </c>
    </row>
    <row r="548" spans="4:17" hidden="1" x14ac:dyDescent="0.4">
      <c r="D548" s="45" t="s">
        <v>215</v>
      </c>
      <c r="E548" s="45" t="s">
        <v>216</v>
      </c>
      <c r="F548" s="45" t="s">
        <v>217</v>
      </c>
      <c r="G548" s="45" t="s">
        <v>218</v>
      </c>
      <c r="H548" s="50" t="s">
        <v>449</v>
      </c>
      <c r="I548" s="49">
        <v>46092</v>
      </c>
      <c r="J548" s="45" t="s">
        <v>448</v>
      </c>
      <c r="K548" s="45" t="s">
        <v>444</v>
      </c>
      <c r="L548" s="48" t="s">
        <v>447</v>
      </c>
      <c r="M548" s="47">
        <v>50</v>
      </c>
      <c r="N548" s="47">
        <v>50</v>
      </c>
      <c r="O548" s="46">
        <v>1</v>
      </c>
      <c r="Q548" s="45" t="s">
        <v>23</v>
      </c>
    </row>
    <row r="549" spans="4:17" hidden="1" x14ac:dyDescent="0.4">
      <c r="D549" s="45" t="s">
        <v>24</v>
      </c>
      <c r="E549" s="45" t="s">
        <v>25</v>
      </c>
      <c r="F549" s="45" t="s">
        <v>26</v>
      </c>
      <c r="G549" s="45" t="s">
        <v>27</v>
      </c>
      <c r="H549" s="50" t="s">
        <v>446</v>
      </c>
      <c r="I549" s="49">
        <v>46085</v>
      </c>
      <c r="J549" s="45" t="s">
        <v>445</v>
      </c>
      <c r="K549" s="45" t="s">
        <v>444</v>
      </c>
      <c r="L549" s="48"/>
      <c r="M549" s="47">
        <v>50</v>
      </c>
      <c r="N549" s="47">
        <v>50</v>
      </c>
      <c r="O549" s="46">
        <v>1</v>
      </c>
      <c r="Q549" s="45" t="s">
        <v>23</v>
      </c>
    </row>
    <row r="550" spans="4:17" hidden="1" x14ac:dyDescent="0.4">
      <c r="D550" s="45" t="s">
        <v>31</v>
      </c>
      <c r="E550" s="45" t="s">
        <v>32</v>
      </c>
      <c r="F550" s="45" t="s">
        <v>33</v>
      </c>
      <c r="G550" s="45" t="s">
        <v>34</v>
      </c>
      <c r="H550" s="50" t="s">
        <v>446</v>
      </c>
      <c r="I550" s="49">
        <v>46085</v>
      </c>
      <c r="J550" s="45" t="s">
        <v>445</v>
      </c>
      <c r="K550" s="45" t="s">
        <v>444</v>
      </c>
      <c r="L550" s="48"/>
      <c r="M550" s="47">
        <v>0</v>
      </c>
      <c r="N550" s="47">
        <v>50</v>
      </c>
      <c r="O550" s="46">
        <v>0</v>
      </c>
      <c r="Q550" s="45" t="s">
        <v>23</v>
      </c>
    </row>
    <row r="551" spans="4:17" hidden="1" x14ac:dyDescent="0.4">
      <c r="D551" s="45" t="s">
        <v>36</v>
      </c>
      <c r="E551" s="45" t="s">
        <v>37</v>
      </c>
      <c r="F551" s="45" t="s">
        <v>38</v>
      </c>
      <c r="G551" s="45" t="s">
        <v>39</v>
      </c>
      <c r="H551" s="50" t="s">
        <v>446</v>
      </c>
      <c r="I551" s="49">
        <v>46085</v>
      </c>
      <c r="J551" s="45" t="s">
        <v>445</v>
      </c>
      <c r="K551" s="45" t="s">
        <v>444</v>
      </c>
      <c r="L551" s="48"/>
      <c r="M551" s="47">
        <v>50</v>
      </c>
      <c r="N551" s="47">
        <v>50</v>
      </c>
      <c r="O551" s="46">
        <v>1</v>
      </c>
      <c r="Q551" s="45" t="s">
        <v>23</v>
      </c>
    </row>
    <row r="552" spans="4:17" hidden="1" x14ac:dyDescent="0.4">
      <c r="D552" s="45" t="s">
        <v>41</v>
      </c>
      <c r="E552" s="45" t="s">
        <v>42</v>
      </c>
      <c r="F552" s="45" t="s">
        <v>43</v>
      </c>
      <c r="G552" s="45" t="s">
        <v>44</v>
      </c>
      <c r="H552" s="50" t="s">
        <v>446</v>
      </c>
      <c r="I552" s="49">
        <v>46085</v>
      </c>
      <c r="J552" s="45" t="s">
        <v>445</v>
      </c>
      <c r="K552" s="45" t="s">
        <v>444</v>
      </c>
      <c r="L552" s="48"/>
      <c r="M552" s="47">
        <v>50</v>
      </c>
      <c r="N552" s="47">
        <v>50</v>
      </c>
      <c r="O552" s="46">
        <v>1</v>
      </c>
      <c r="Q552" s="45" t="s">
        <v>23</v>
      </c>
    </row>
    <row r="553" spans="4:17" hidden="1" x14ac:dyDescent="0.4">
      <c r="D553" s="45" t="s">
        <v>46</v>
      </c>
      <c r="E553" s="45" t="s">
        <v>47</v>
      </c>
      <c r="F553" s="45" t="s">
        <v>48</v>
      </c>
      <c r="G553" s="45" t="s">
        <v>49</v>
      </c>
      <c r="H553" s="50" t="s">
        <v>446</v>
      </c>
      <c r="I553" s="49">
        <v>46085</v>
      </c>
      <c r="J553" s="45" t="s">
        <v>445</v>
      </c>
      <c r="K553" s="45" t="s">
        <v>444</v>
      </c>
      <c r="L553" s="48"/>
      <c r="M553" s="47">
        <v>50</v>
      </c>
      <c r="N553" s="47">
        <v>50</v>
      </c>
      <c r="O553" s="46">
        <v>1</v>
      </c>
      <c r="Q553" s="45" t="s">
        <v>23</v>
      </c>
    </row>
    <row r="554" spans="4:17" hidden="1" x14ac:dyDescent="0.4">
      <c r="D554" s="45" t="s">
        <v>51</v>
      </c>
      <c r="E554" s="45" t="s">
        <v>52</v>
      </c>
      <c r="F554" s="45" t="s">
        <v>53</v>
      </c>
      <c r="G554" s="45" t="s">
        <v>54</v>
      </c>
      <c r="H554" s="50" t="s">
        <v>446</v>
      </c>
      <c r="I554" s="49">
        <v>46085</v>
      </c>
      <c r="J554" s="45" t="s">
        <v>445</v>
      </c>
      <c r="K554" s="45" t="s">
        <v>444</v>
      </c>
      <c r="L554" s="48"/>
      <c r="M554" s="47">
        <v>50</v>
      </c>
      <c r="N554" s="47">
        <v>50</v>
      </c>
      <c r="O554" s="46">
        <v>1</v>
      </c>
      <c r="Q554" s="45" t="s">
        <v>23</v>
      </c>
    </row>
    <row r="555" spans="4:17" hidden="1" x14ac:dyDescent="0.4">
      <c r="D555" s="45" t="s">
        <v>56</v>
      </c>
      <c r="E555" s="45" t="s">
        <v>52</v>
      </c>
      <c r="F555" s="45" t="s">
        <v>57</v>
      </c>
      <c r="G555" s="45" t="s">
        <v>58</v>
      </c>
      <c r="H555" s="50" t="s">
        <v>446</v>
      </c>
      <c r="I555" s="49">
        <v>46085</v>
      </c>
      <c r="J555" s="45" t="s">
        <v>445</v>
      </c>
      <c r="K555" s="45" t="s">
        <v>444</v>
      </c>
      <c r="L555" s="48"/>
      <c r="M555" s="47">
        <v>50</v>
      </c>
      <c r="N555" s="47">
        <v>50</v>
      </c>
      <c r="O555" s="46">
        <v>1</v>
      </c>
      <c r="Q555" s="45" t="s">
        <v>23</v>
      </c>
    </row>
    <row r="556" spans="4:17" hidden="1" x14ac:dyDescent="0.4">
      <c r="D556" s="45" t="s">
        <v>60</v>
      </c>
      <c r="E556" s="45" t="s">
        <v>61</v>
      </c>
      <c r="F556" s="45" t="s">
        <v>62</v>
      </c>
      <c r="G556" s="45" t="s">
        <v>63</v>
      </c>
      <c r="H556" s="50" t="s">
        <v>446</v>
      </c>
      <c r="I556" s="49">
        <v>46085</v>
      </c>
      <c r="J556" s="45" t="s">
        <v>445</v>
      </c>
      <c r="K556" s="45" t="s">
        <v>444</v>
      </c>
      <c r="L556" s="48"/>
      <c r="M556" s="47">
        <v>50</v>
      </c>
      <c r="N556" s="47">
        <v>50</v>
      </c>
      <c r="O556" s="46">
        <v>1</v>
      </c>
      <c r="Q556" s="45" t="s">
        <v>23</v>
      </c>
    </row>
    <row r="557" spans="4:17" hidden="1" x14ac:dyDescent="0.4">
      <c r="D557" s="45" t="s">
        <v>65</v>
      </c>
      <c r="E557" s="45" t="s">
        <v>66</v>
      </c>
      <c r="F557" s="45" t="s">
        <v>67</v>
      </c>
      <c r="G557" s="45" t="s">
        <v>68</v>
      </c>
      <c r="H557" s="50" t="s">
        <v>446</v>
      </c>
      <c r="I557" s="49">
        <v>46085</v>
      </c>
      <c r="J557" s="45" t="s">
        <v>445</v>
      </c>
      <c r="K557" s="45" t="s">
        <v>444</v>
      </c>
      <c r="L557" s="48"/>
      <c r="M557" s="47">
        <v>50</v>
      </c>
      <c r="N557" s="47">
        <v>50</v>
      </c>
      <c r="O557" s="46">
        <v>1</v>
      </c>
      <c r="Q557" s="45" t="s">
        <v>23</v>
      </c>
    </row>
    <row r="558" spans="4:17" hidden="1" x14ac:dyDescent="0.4">
      <c r="D558" s="45" t="s">
        <v>70</v>
      </c>
      <c r="E558" s="45" t="s">
        <v>71</v>
      </c>
      <c r="F558" s="45" t="s">
        <v>72</v>
      </c>
      <c r="G558" s="45" t="s">
        <v>73</v>
      </c>
      <c r="H558" s="50" t="s">
        <v>446</v>
      </c>
      <c r="I558" s="49">
        <v>46085</v>
      </c>
      <c r="J558" s="45" t="s">
        <v>445</v>
      </c>
      <c r="K558" s="45" t="s">
        <v>444</v>
      </c>
      <c r="L558" s="48"/>
      <c r="M558" s="47">
        <v>50</v>
      </c>
      <c r="N558" s="47">
        <v>50</v>
      </c>
      <c r="O558" s="46">
        <v>1</v>
      </c>
      <c r="Q558" s="45" t="s">
        <v>23</v>
      </c>
    </row>
    <row r="559" spans="4:17" hidden="1" x14ac:dyDescent="0.4">
      <c r="D559" s="45" t="s">
        <v>75</v>
      </c>
      <c r="E559" s="45" t="s">
        <v>76</v>
      </c>
      <c r="F559" s="45" t="s">
        <v>77</v>
      </c>
      <c r="G559" s="45" t="s">
        <v>78</v>
      </c>
      <c r="H559" s="50" t="s">
        <v>446</v>
      </c>
      <c r="I559" s="49">
        <v>46085</v>
      </c>
      <c r="J559" s="45" t="s">
        <v>445</v>
      </c>
      <c r="K559" s="45" t="s">
        <v>444</v>
      </c>
      <c r="L559" s="48"/>
      <c r="M559" s="47">
        <v>50</v>
      </c>
      <c r="N559" s="47">
        <v>50</v>
      </c>
      <c r="O559" s="46">
        <v>1</v>
      </c>
      <c r="Q559" s="45" t="s">
        <v>23</v>
      </c>
    </row>
    <row r="560" spans="4:17" hidden="1" x14ac:dyDescent="0.4">
      <c r="D560" s="45" t="s">
        <v>80</v>
      </c>
      <c r="E560" s="45" t="s">
        <v>81</v>
      </c>
      <c r="F560" s="45" t="s">
        <v>82</v>
      </c>
      <c r="G560" s="45" t="s">
        <v>83</v>
      </c>
      <c r="H560" s="50" t="s">
        <v>446</v>
      </c>
      <c r="I560" s="49">
        <v>46085</v>
      </c>
      <c r="J560" s="45" t="s">
        <v>445</v>
      </c>
      <c r="K560" s="45" t="s">
        <v>444</v>
      </c>
      <c r="L560" s="48"/>
      <c r="M560" s="47">
        <v>50</v>
      </c>
      <c r="N560" s="47">
        <v>50</v>
      </c>
      <c r="O560" s="46">
        <v>1</v>
      </c>
      <c r="Q560" s="45" t="s">
        <v>23</v>
      </c>
    </row>
    <row r="561" spans="4:17" hidden="1" x14ac:dyDescent="0.4">
      <c r="D561" s="45" t="s">
        <v>85</v>
      </c>
      <c r="E561" s="45" t="s">
        <v>86</v>
      </c>
      <c r="F561" s="45" t="s">
        <v>87</v>
      </c>
      <c r="G561" s="45" t="s">
        <v>88</v>
      </c>
      <c r="H561" s="50" t="s">
        <v>446</v>
      </c>
      <c r="I561" s="49">
        <v>46085</v>
      </c>
      <c r="J561" s="45" t="s">
        <v>445</v>
      </c>
      <c r="K561" s="45" t="s">
        <v>444</v>
      </c>
      <c r="L561" s="48"/>
      <c r="M561" s="47">
        <v>50</v>
      </c>
      <c r="N561" s="47">
        <v>50</v>
      </c>
      <c r="O561" s="46">
        <v>1</v>
      </c>
      <c r="Q561" s="45" t="s">
        <v>23</v>
      </c>
    </row>
    <row r="562" spans="4:17" hidden="1" x14ac:dyDescent="0.4">
      <c r="D562" s="45" t="s">
        <v>89</v>
      </c>
      <c r="E562" s="45" t="s">
        <v>90</v>
      </c>
      <c r="F562" s="45" t="s">
        <v>91</v>
      </c>
      <c r="G562" s="45" t="s">
        <v>92</v>
      </c>
      <c r="H562" s="50" t="s">
        <v>446</v>
      </c>
      <c r="I562" s="49">
        <v>46085</v>
      </c>
      <c r="J562" s="45" t="s">
        <v>445</v>
      </c>
      <c r="K562" s="45" t="s">
        <v>444</v>
      </c>
      <c r="L562" s="48"/>
      <c r="M562" s="47">
        <v>0</v>
      </c>
      <c r="N562" s="47">
        <v>50</v>
      </c>
      <c r="O562" s="46">
        <v>0</v>
      </c>
      <c r="Q562" s="45" t="s">
        <v>23</v>
      </c>
    </row>
    <row r="563" spans="4:17" hidden="1" x14ac:dyDescent="0.4">
      <c r="D563" s="45" t="s">
        <v>94</v>
      </c>
      <c r="E563" s="45" t="s">
        <v>95</v>
      </c>
      <c r="F563" s="45" t="s">
        <v>96</v>
      </c>
      <c r="G563" s="45" t="s">
        <v>97</v>
      </c>
      <c r="H563" s="50" t="s">
        <v>446</v>
      </c>
      <c r="I563" s="49">
        <v>46085</v>
      </c>
      <c r="J563" s="45" t="s">
        <v>445</v>
      </c>
      <c r="K563" s="45" t="s">
        <v>444</v>
      </c>
      <c r="L563" s="48"/>
      <c r="M563" s="47">
        <v>0</v>
      </c>
      <c r="N563" s="47">
        <v>50</v>
      </c>
      <c r="O563" s="46">
        <v>0</v>
      </c>
      <c r="Q563" s="45" t="s">
        <v>23</v>
      </c>
    </row>
    <row r="564" spans="4:17" hidden="1" x14ac:dyDescent="0.4">
      <c r="D564" s="45" t="s">
        <v>99</v>
      </c>
      <c r="E564" s="45" t="s">
        <v>100</v>
      </c>
      <c r="F564" s="45" t="s">
        <v>101</v>
      </c>
      <c r="G564" s="45" t="s">
        <v>102</v>
      </c>
      <c r="H564" s="50" t="s">
        <v>446</v>
      </c>
      <c r="I564" s="49">
        <v>46085</v>
      </c>
      <c r="J564" s="45" t="s">
        <v>445</v>
      </c>
      <c r="K564" s="45" t="s">
        <v>444</v>
      </c>
      <c r="L564" s="48"/>
      <c r="M564" s="47">
        <v>50</v>
      </c>
      <c r="N564" s="47">
        <v>50</v>
      </c>
      <c r="O564" s="46">
        <v>1</v>
      </c>
      <c r="Q564" s="45" t="s">
        <v>23</v>
      </c>
    </row>
    <row r="565" spans="4:17" hidden="1" x14ac:dyDescent="0.4">
      <c r="D565" s="45" t="s">
        <v>104</v>
      </c>
      <c r="E565" s="45" t="s">
        <v>86</v>
      </c>
      <c r="F565" s="45" t="s">
        <v>105</v>
      </c>
      <c r="G565" s="45" t="s">
        <v>106</v>
      </c>
      <c r="H565" s="50" t="s">
        <v>446</v>
      </c>
      <c r="I565" s="49">
        <v>46085</v>
      </c>
      <c r="J565" s="45" t="s">
        <v>445</v>
      </c>
      <c r="K565" s="45" t="s">
        <v>444</v>
      </c>
      <c r="L565" s="48"/>
      <c r="M565" s="47">
        <v>50</v>
      </c>
      <c r="N565" s="47">
        <v>50</v>
      </c>
      <c r="O565" s="46">
        <v>1</v>
      </c>
      <c r="Q565" s="45" t="s">
        <v>23</v>
      </c>
    </row>
    <row r="566" spans="4:17" hidden="1" x14ac:dyDescent="0.4">
      <c r="D566" s="45" t="s">
        <v>107</v>
      </c>
      <c r="E566" s="45" t="s">
        <v>108</v>
      </c>
      <c r="F566" s="45" t="s">
        <v>109</v>
      </c>
      <c r="G566" s="45" t="s">
        <v>110</v>
      </c>
      <c r="H566" s="50" t="s">
        <v>446</v>
      </c>
      <c r="I566" s="49">
        <v>46085</v>
      </c>
      <c r="J566" s="45" t="s">
        <v>445</v>
      </c>
      <c r="K566" s="45" t="s">
        <v>444</v>
      </c>
      <c r="L566" s="48"/>
      <c r="M566" s="47">
        <v>50</v>
      </c>
      <c r="N566" s="47">
        <v>50</v>
      </c>
      <c r="O566" s="46">
        <v>1</v>
      </c>
      <c r="Q566" s="45" t="s">
        <v>23</v>
      </c>
    </row>
    <row r="567" spans="4:17" hidden="1" x14ac:dyDescent="0.4">
      <c r="D567" s="45" t="s">
        <v>112</v>
      </c>
      <c r="E567" s="45" t="s">
        <v>113</v>
      </c>
      <c r="F567" s="45" t="s">
        <v>114</v>
      </c>
      <c r="G567" s="45" t="s">
        <v>115</v>
      </c>
      <c r="H567" s="50" t="s">
        <v>446</v>
      </c>
      <c r="I567" s="49">
        <v>46085</v>
      </c>
      <c r="J567" s="45" t="s">
        <v>445</v>
      </c>
      <c r="K567" s="45" t="s">
        <v>444</v>
      </c>
      <c r="L567" s="48"/>
      <c r="M567" s="47">
        <v>0</v>
      </c>
      <c r="N567" s="47">
        <v>50</v>
      </c>
      <c r="O567" s="46">
        <v>0</v>
      </c>
      <c r="Q567" s="45" t="s">
        <v>23</v>
      </c>
    </row>
    <row r="568" spans="4:17" hidden="1" x14ac:dyDescent="0.4">
      <c r="D568" s="45" t="s">
        <v>117</v>
      </c>
      <c r="E568" s="45" t="s">
        <v>118</v>
      </c>
      <c r="F568" s="45" t="s">
        <v>119</v>
      </c>
      <c r="G568" s="45" t="s">
        <v>120</v>
      </c>
      <c r="H568" s="50" t="s">
        <v>446</v>
      </c>
      <c r="I568" s="49">
        <v>46085</v>
      </c>
      <c r="J568" s="45" t="s">
        <v>445</v>
      </c>
      <c r="K568" s="45" t="s">
        <v>444</v>
      </c>
      <c r="L568" s="48"/>
      <c r="M568" s="47">
        <v>50</v>
      </c>
      <c r="N568" s="47">
        <v>50</v>
      </c>
      <c r="O568" s="46">
        <v>1</v>
      </c>
      <c r="Q568" s="45" t="s">
        <v>23</v>
      </c>
    </row>
    <row r="569" spans="4:17" hidden="1" x14ac:dyDescent="0.4">
      <c r="D569" s="45" t="s">
        <v>122</v>
      </c>
      <c r="E569" s="45" t="s">
        <v>123</v>
      </c>
      <c r="F569" s="45" t="s">
        <v>124</v>
      </c>
      <c r="G569" s="45" t="s">
        <v>125</v>
      </c>
      <c r="H569" s="50" t="s">
        <v>446</v>
      </c>
      <c r="I569" s="49">
        <v>46085</v>
      </c>
      <c r="J569" s="45" t="s">
        <v>445</v>
      </c>
      <c r="K569" s="45" t="s">
        <v>444</v>
      </c>
      <c r="L569" s="48"/>
      <c r="M569" s="47">
        <v>50</v>
      </c>
      <c r="N569" s="47">
        <v>50</v>
      </c>
      <c r="O569" s="46">
        <v>1</v>
      </c>
      <c r="Q569" s="45" t="s">
        <v>23</v>
      </c>
    </row>
    <row r="570" spans="4:17" hidden="1" x14ac:dyDescent="0.4">
      <c r="D570" s="45" t="s">
        <v>127</v>
      </c>
      <c r="E570" s="45" t="s">
        <v>128</v>
      </c>
      <c r="F570" s="45" t="s">
        <v>129</v>
      </c>
      <c r="G570" s="45" t="s">
        <v>130</v>
      </c>
      <c r="H570" s="50" t="s">
        <v>446</v>
      </c>
      <c r="I570" s="49">
        <v>46085</v>
      </c>
      <c r="J570" s="45" t="s">
        <v>445</v>
      </c>
      <c r="K570" s="45" t="s">
        <v>444</v>
      </c>
      <c r="L570" s="48"/>
      <c r="M570" s="47">
        <v>50</v>
      </c>
      <c r="N570" s="47">
        <v>50</v>
      </c>
      <c r="O570" s="46">
        <v>1</v>
      </c>
      <c r="Q570" s="45" t="s">
        <v>23</v>
      </c>
    </row>
    <row r="571" spans="4:17" hidden="1" x14ac:dyDescent="0.4">
      <c r="D571" s="45" t="s">
        <v>132</v>
      </c>
      <c r="E571" s="45" t="s">
        <v>133</v>
      </c>
      <c r="F571" s="45" t="s">
        <v>134</v>
      </c>
      <c r="G571" s="45" t="s">
        <v>135</v>
      </c>
      <c r="H571" s="50" t="s">
        <v>446</v>
      </c>
      <c r="I571" s="49">
        <v>46085</v>
      </c>
      <c r="J571" s="45" t="s">
        <v>445</v>
      </c>
      <c r="K571" s="45" t="s">
        <v>444</v>
      </c>
      <c r="L571" s="48"/>
      <c r="M571" s="47">
        <v>50</v>
      </c>
      <c r="N571" s="47">
        <v>50</v>
      </c>
      <c r="O571" s="46">
        <v>1</v>
      </c>
      <c r="Q571" s="45" t="s">
        <v>23</v>
      </c>
    </row>
    <row r="572" spans="4:17" hidden="1" x14ac:dyDescent="0.4">
      <c r="D572" s="45" t="s">
        <v>137</v>
      </c>
      <c r="E572" s="45" t="s">
        <v>138</v>
      </c>
      <c r="F572" s="45" t="s">
        <v>139</v>
      </c>
      <c r="G572" s="45" t="s">
        <v>140</v>
      </c>
      <c r="H572" s="50" t="s">
        <v>446</v>
      </c>
      <c r="I572" s="49">
        <v>46085</v>
      </c>
      <c r="J572" s="45" t="s">
        <v>445</v>
      </c>
      <c r="K572" s="45" t="s">
        <v>444</v>
      </c>
      <c r="L572" s="48"/>
      <c r="M572" s="47">
        <v>50</v>
      </c>
      <c r="N572" s="47">
        <v>50</v>
      </c>
      <c r="O572" s="46">
        <v>1</v>
      </c>
      <c r="Q572" s="45" t="s">
        <v>23</v>
      </c>
    </row>
    <row r="573" spans="4:17" hidden="1" x14ac:dyDescent="0.4">
      <c r="D573" s="45" t="s">
        <v>142</v>
      </c>
      <c r="E573" s="45" t="s">
        <v>143</v>
      </c>
      <c r="F573" s="45" t="s">
        <v>144</v>
      </c>
      <c r="G573" s="45" t="s">
        <v>145</v>
      </c>
      <c r="H573" s="50" t="s">
        <v>446</v>
      </c>
      <c r="I573" s="49">
        <v>46085</v>
      </c>
      <c r="J573" s="45" t="s">
        <v>445</v>
      </c>
      <c r="K573" s="45" t="s">
        <v>444</v>
      </c>
      <c r="L573" s="48"/>
      <c r="M573" s="47">
        <v>50</v>
      </c>
      <c r="N573" s="47">
        <v>50</v>
      </c>
      <c r="O573" s="46">
        <v>1</v>
      </c>
      <c r="Q573" s="45" t="s">
        <v>23</v>
      </c>
    </row>
    <row r="574" spans="4:17" hidden="1" x14ac:dyDescent="0.4">
      <c r="D574" s="45" t="s">
        <v>147</v>
      </c>
      <c r="E574" s="45" t="s">
        <v>148</v>
      </c>
      <c r="F574" s="45" t="s">
        <v>149</v>
      </c>
      <c r="G574" s="45" t="s">
        <v>150</v>
      </c>
      <c r="H574" s="50" t="s">
        <v>446</v>
      </c>
      <c r="I574" s="49">
        <v>46085</v>
      </c>
      <c r="J574" s="45" t="s">
        <v>445</v>
      </c>
      <c r="K574" s="45" t="s">
        <v>444</v>
      </c>
      <c r="L574" s="48"/>
      <c r="M574" s="47">
        <v>50</v>
      </c>
      <c r="N574" s="47">
        <v>50</v>
      </c>
      <c r="O574" s="46">
        <v>1</v>
      </c>
      <c r="Q574" s="45" t="s">
        <v>23</v>
      </c>
    </row>
    <row r="575" spans="4:17" hidden="1" x14ac:dyDescent="0.4">
      <c r="D575" s="45" t="s">
        <v>152</v>
      </c>
      <c r="E575" s="45" t="s">
        <v>66</v>
      </c>
      <c r="F575" s="45" t="s">
        <v>153</v>
      </c>
      <c r="G575" s="45" t="s">
        <v>154</v>
      </c>
      <c r="H575" s="50" t="s">
        <v>446</v>
      </c>
      <c r="I575" s="49">
        <v>46085</v>
      </c>
      <c r="J575" s="45" t="s">
        <v>445</v>
      </c>
      <c r="K575" s="45" t="s">
        <v>444</v>
      </c>
      <c r="L575" s="48"/>
      <c r="M575" s="47">
        <v>0</v>
      </c>
      <c r="N575" s="47">
        <v>50</v>
      </c>
      <c r="O575" s="46">
        <v>0</v>
      </c>
      <c r="Q575" s="45" t="s">
        <v>23</v>
      </c>
    </row>
    <row r="576" spans="4:17" hidden="1" x14ac:dyDescent="0.4">
      <c r="D576" s="45" t="s">
        <v>160</v>
      </c>
      <c r="E576" s="45" t="s">
        <v>81</v>
      </c>
      <c r="F576" s="45" t="s">
        <v>161</v>
      </c>
      <c r="G576" s="45" t="s">
        <v>162</v>
      </c>
      <c r="H576" s="50" t="s">
        <v>446</v>
      </c>
      <c r="I576" s="49">
        <v>46085</v>
      </c>
      <c r="J576" s="45" t="s">
        <v>445</v>
      </c>
      <c r="K576" s="45" t="s">
        <v>444</v>
      </c>
      <c r="L576" s="48"/>
      <c r="M576" s="47">
        <v>50</v>
      </c>
      <c r="N576" s="47">
        <v>50</v>
      </c>
      <c r="O576" s="46">
        <v>1</v>
      </c>
      <c r="Q576" s="45" t="s">
        <v>23</v>
      </c>
    </row>
    <row r="577" spans="4:17" hidden="1" x14ac:dyDescent="0.4">
      <c r="D577" s="45" t="s">
        <v>163</v>
      </c>
      <c r="E577" s="45" t="s">
        <v>164</v>
      </c>
      <c r="F577" s="45" t="s">
        <v>165</v>
      </c>
      <c r="G577" s="45" t="s">
        <v>166</v>
      </c>
      <c r="H577" s="50" t="s">
        <v>446</v>
      </c>
      <c r="I577" s="49">
        <v>46085</v>
      </c>
      <c r="J577" s="45" t="s">
        <v>445</v>
      </c>
      <c r="K577" s="45" t="s">
        <v>444</v>
      </c>
      <c r="L577" s="48"/>
      <c r="M577" s="47">
        <v>50</v>
      </c>
      <c r="N577" s="47">
        <v>50</v>
      </c>
      <c r="O577" s="46">
        <v>1</v>
      </c>
      <c r="Q577" s="45" t="s">
        <v>23</v>
      </c>
    </row>
    <row r="578" spans="4:17" hidden="1" x14ac:dyDescent="0.4">
      <c r="D578" s="45" t="s">
        <v>168</v>
      </c>
      <c r="E578" s="45" t="s">
        <v>169</v>
      </c>
      <c r="F578" s="45" t="s">
        <v>170</v>
      </c>
      <c r="G578" s="45" t="s">
        <v>171</v>
      </c>
      <c r="H578" s="50" t="s">
        <v>446</v>
      </c>
      <c r="I578" s="49">
        <v>46085</v>
      </c>
      <c r="J578" s="45" t="s">
        <v>445</v>
      </c>
      <c r="K578" s="45" t="s">
        <v>444</v>
      </c>
      <c r="L578" s="48"/>
      <c r="M578" s="47">
        <v>50</v>
      </c>
      <c r="N578" s="47">
        <v>50</v>
      </c>
      <c r="O578" s="46">
        <v>1</v>
      </c>
      <c r="Q578" s="45" t="s">
        <v>23</v>
      </c>
    </row>
    <row r="579" spans="4:17" hidden="1" x14ac:dyDescent="0.4">
      <c r="D579" s="45" t="s">
        <v>173</v>
      </c>
      <c r="E579" s="45" t="s">
        <v>174</v>
      </c>
      <c r="F579" s="45" t="s">
        <v>175</v>
      </c>
      <c r="G579" s="45" t="s">
        <v>176</v>
      </c>
      <c r="H579" s="50" t="s">
        <v>446</v>
      </c>
      <c r="I579" s="49">
        <v>46085</v>
      </c>
      <c r="J579" s="45" t="s">
        <v>445</v>
      </c>
      <c r="K579" s="45" t="s">
        <v>444</v>
      </c>
      <c r="L579" s="48"/>
      <c r="M579" s="47">
        <v>50</v>
      </c>
      <c r="N579" s="47">
        <v>50</v>
      </c>
      <c r="O579" s="46">
        <v>1</v>
      </c>
      <c r="Q579" s="45" t="s">
        <v>23</v>
      </c>
    </row>
    <row r="580" spans="4:17" hidden="1" x14ac:dyDescent="0.4">
      <c r="D580" s="45" t="s">
        <v>178</v>
      </c>
      <c r="E580" s="45" t="s">
        <v>179</v>
      </c>
      <c r="F580" s="45" t="s">
        <v>180</v>
      </c>
      <c r="G580" s="45" t="s">
        <v>181</v>
      </c>
      <c r="H580" s="50" t="s">
        <v>446</v>
      </c>
      <c r="I580" s="49">
        <v>46085</v>
      </c>
      <c r="J580" s="45" t="s">
        <v>445</v>
      </c>
      <c r="K580" s="45" t="s">
        <v>444</v>
      </c>
      <c r="L580" s="48"/>
      <c r="M580" s="47">
        <v>50</v>
      </c>
      <c r="N580" s="47">
        <v>50</v>
      </c>
      <c r="O580" s="46">
        <v>1</v>
      </c>
      <c r="Q580" s="45" t="s">
        <v>23</v>
      </c>
    </row>
    <row r="581" spans="4:17" hidden="1" x14ac:dyDescent="0.4">
      <c r="D581" s="45" t="s">
        <v>187</v>
      </c>
      <c r="E581" s="45" t="s">
        <v>188</v>
      </c>
      <c r="F581" s="45" t="s">
        <v>189</v>
      </c>
      <c r="G581" s="45" t="s">
        <v>190</v>
      </c>
      <c r="H581" s="50" t="s">
        <v>446</v>
      </c>
      <c r="I581" s="49">
        <v>46085</v>
      </c>
      <c r="J581" s="45" t="s">
        <v>445</v>
      </c>
      <c r="K581" s="45" t="s">
        <v>444</v>
      </c>
      <c r="L581" s="48"/>
      <c r="M581" s="47">
        <v>50</v>
      </c>
      <c r="N581" s="47">
        <v>50</v>
      </c>
      <c r="O581" s="46">
        <v>1</v>
      </c>
      <c r="Q581" s="45" t="s">
        <v>23</v>
      </c>
    </row>
    <row r="582" spans="4:17" hidden="1" x14ac:dyDescent="0.4">
      <c r="D582" s="45" t="s">
        <v>192</v>
      </c>
      <c r="E582" s="45" t="s">
        <v>193</v>
      </c>
      <c r="F582" s="45" t="s">
        <v>194</v>
      </c>
      <c r="G582" s="45" t="s">
        <v>195</v>
      </c>
      <c r="H582" s="50" t="s">
        <v>446</v>
      </c>
      <c r="I582" s="49">
        <v>46085</v>
      </c>
      <c r="J582" s="45" t="s">
        <v>445</v>
      </c>
      <c r="K582" s="45" t="s">
        <v>444</v>
      </c>
      <c r="L582" s="48"/>
      <c r="M582" s="47">
        <v>50</v>
      </c>
      <c r="N582" s="47">
        <v>50</v>
      </c>
      <c r="O582" s="46">
        <v>1</v>
      </c>
      <c r="Q582" s="45" t="s">
        <v>23</v>
      </c>
    </row>
    <row r="583" spans="4:17" hidden="1" x14ac:dyDescent="0.4">
      <c r="D583" s="45" t="s">
        <v>197</v>
      </c>
      <c r="E583" s="45" t="s">
        <v>198</v>
      </c>
      <c r="F583" s="45" t="s">
        <v>199</v>
      </c>
      <c r="G583" s="45" t="s">
        <v>200</v>
      </c>
      <c r="H583" s="50" t="s">
        <v>446</v>
      </c>
      <c r="I583" s="49">
        <v>46085</v>
      </c>
      <c r="J583" s="45" t="s">
        <v>445</v>
      </c>
      <c r="K583" s="45" t="s">
        <v>444</v>
      </c>
      <c r="L583" s="48"/>
      <c r="M583" s="47">
        <v>50</v>
      </c>
      <c r="N583" s="47">
        <v>50</v>
      </c>
      <c r="O583" s="46">
        <v>1</v>
      </c>
      <c r="Q583" s="45" t="s">
        <v>23</v>
      </c>
    </row>
    <row r="584" spans="4:17" hidden="1" x14ac:dyDescent="0.4">
      <c r="D584" s="45" t="s">
        <v>201</v>
      </c>
      <c r="E584" s="45" t="s">
        <v>143</v>
      </c>
      <c r="F584" s="45" t="s">
        <v>202</v>
      </c>
      <c r="G584" s="45" t="s">
        <v>203</v>
      </c>
      <c r="H584" s="50" t="s">
        <v>446</v>
      </c>
      <c r="I584" s="49">
        <v>46085</v>
      </c>
      <c r="J584" s="45" t="s">
        <v>445</v>
      </c>
      <c r="K584" s="45" t="s">
        <v>444</v>
      </c>
      <c r="L584" s="48"/>
      <c r="M584" s="47">
        <v>0</v>
      </c>
      <c r="N584" s="47">
        <v>50</v>
      </c>
      <c r="O584" s="46">
        <v>0</v>
      </c>
      <c r="Q584" s="45" t="s">
        <v>23</v>
      </c>
    </row>
    <row r="585" spans="4:17" hidden="1" x14ac:dyDescent="0.4">
      <c r="D585" s="45" t="s">
        <v>205</v>
      </c>
      <c r="E585" s="45" t="s">
        <v>206</v>
      </c>
      <c r="F585" s="45" t="s">
        <v>207</v>
      </c>
      <c r="G585" s="45" t="s">
        <v>208</v>
      </c>
      <c r="H585" s="50" t="s">
        <v>446</v>
      </c>
      <c r="I585" s="49">
        <v>46085</v>
      </c>
      <c r="J585" s="45" t="s">
        <v>445</v>
      </c>
      <c r="K585" s="45" t="s">
        <v>444</v>
      </c>
      <c r="L585" s="48"/>
      <c r="M585" s="47">
        <v>50</v>
      </c>
      <c r="N585" s="47">
        <v>50</v>
      </c>
      <c r="O585" s="46">
        <v>1</v>
      </c>
      <c r="Q585" s="45" t="s">
        <v>23</v>
      </c>
    </row>
    <row r="586" spans="4:17" hidden="1" x14ac:dyDescent="0.4">
      <c r="D586" s="45" t="s">
        <v>210</v>
      </c>
      <c r="E586" s="45" t="s">
        <v>211</v>
      </c>
      <c r="F586" s="45" t="s">
        <v>212</v>
      </c>
      <c r="G586" s="45" t="s">
        <v>213</v>
      </c>
      <c r="H586" s="50" t="s">
        <v>446</v>
      </c>
      <c r="I586" s="49">
        <v>46085</v>
      </c>
      <c r="J586" s="45" t="s">
        <v>445</v>
      </c>
      <c r="K586" s="45" t="s">
        <v>444</v>
      </c>
      <c r="L586" s="48"/>
      <c r="M586" s="47">
        <v>50</v>
      </c>
      <c r="N586" s="47">
        <v>50</v>
      </c>
      <c r="O586" s="46">
        <v>1</v>
      </c>
      <c r="Q586" s="45" t="s">
        <v>23</v>
      </c>
    </row>
    <row r="587" spans="4:17" hidden="1" x14ac:dyDescent="0.4">
      <c r="D587" s="45" t="s">
        <v>215</v>
      </c>
      <c r="E587" s="45" t="s">
        <v>216</v>
      </c>
      <c r="F587" s="45" t="s">
        <v>217</v>
      </c>
      <c r="G587" s="45" t="s">
        <v>218</v>
      </c>
      <c r="H587" s="50" t="s">
        <v>446</v>
      </c>
      <c r="I587" s="49">
        <v>46085</v>
      </c>
      <c r="J587" s="45" t="s">
        <v>445</v>
      </c>
      <c r="K587" s="45" t="s">
        <v>444</v>
      </c>
      <c r="L587" s="48"/>
      <c r="M587" s="47">
        <v>50</v>
      </c>
      <c r="N587" s="47">
        <v>50</v>
      </c>
      <c r="O587" s="46">
        <v>1</v>
      </c>
      <c r="Q587" s="45" t="s">
        <v>23</v>
      </c>
    </row>
    <row r="588" spans="4:17" hidden="1" x14ac:dyDescent="0.4">
      <c r="D588" s="45" t="s">
        <v>24</v>
      </c>
      <c r="E588" s="45" t="s">
        <v>25</v>
      </c>
      <c r="F588" s="45" t="s">
        <v>26</v>
      </c>
      <c r="G588" s="45" t="s">
        <v>27</v>
      </c>
      <c r="H588" s="50" t="s">
        <v>0</v>
      </c>
      <c r="I588" s="49">
        <v>46078</v>
      </c>
      <c r="J588" s="45" t="s">
        <v>28</v>
      </c>
      <c r="K588" s="45" t="s">
        <v>444</v>
      </c>
      <c r="L588" s="48" t="s">
        <v>30</v>
      </c>
      <c r="M588" s="47">
        <v>50</v>
      </c>
      <c r="N588" s="47">
        <v>50</v>
      </c>
      <c r="O588" s="46">
        <v>1</v>
      </c>
      <c r="Q588" s="45" t="s">
        <v>23</v>
      </c>
    </row>
    <row r="589" spans="4:17" hidden="1" x14ac:dyDescent="0.4">
      <c r="D589" s="45" t="s">
        <v>31</v>
      </c>
      <c r="E589" s="45" t="s">
        <v>32</v>
      </c>
      <c r="F589" s="45" t="s">
        <v>33</v>
      </c>
      <c r="G589" s="45" t="s">
        <v>34</v>
      </c>
      <c r="H589" s="50" t="s">
        <v>0</v>
      </c>
      <c r="I589" s="49">
        <v>46078</v>
      </c>
      <c r="J589" s="45" t="s">
        <v>28</v>
      </c>
      <c r="K589" s="45" t="s">
        <v>444</v>
      </c>
      <c r="L589" s="48" t="s">
        <v>35</v>
      </c>
      <c r="M589" s="47">
        <v>50</v>
      </c>
      <c r="N589" s="47">
        <v>50</v>
      </c>
      <c r="O589" s="46">
        <v>1</v>
      </c>
      <c r="Q589" s="45" t="s">
        <v>23</v>
      </c>
    </row>
    <row r="590" spans="4:17" hidden="1" x14ac:dyDescent="0.4">
      <c r="D590" s="45" t="s">
        <v>36</v>
      </c>
      <c r="E590" s="45" t="s">
        <v>37</v>
      </c>
      <c r="F590" s="45" t="s">
        <v>38</v>
      </c>
      <c r="G590" s="45" t="s">
        <v>39</v>
      </c>
      <c r="H590" s="50" t="s">
        <v>0</v>
      </c>
      <c r="I590" s="49">
        <v>46078</v>
      </c>
      <c r="J590" s="45" t="s">
        <v>28</v>
      </c>
      <c r="K590" s="45" t="s">
        <v>444</v>
      </c>
      <c r="L590" s="48" t="s">
        <v>40</v>
      </c>
      <c r="M590" s="47">
        <v>60</v>
      </c>
      <c r="N590" s="47">
        <v>50</v>
      </c>
      <c r="O590" s="46">
        <v>1.2</v>
      </c>
      <c r="Q590" s="45" t="s">
        <v>23</v>
      </c>
    </row>
    <row r="591" spans="4:17" hidden="1" x14ac:dyDescent="0.4">
      <c r="D591" s="45" t="s">
        <v>41</v>
      </c>
      <c r="E591" s="45" t="s">
        <v>42</v>
      </c>
      <c r="F591" s="45" t="s">
        <v>43</v>
      </c>
      <c r="G591" s="45" t="s">
        <v>44</v>
      </c>
      <c r="H591" s="50" t="s">
        <v>0</v>
      </c>
      <c r="I591" s="49">
        <v>46078</v>
      </c>
      <c r="J591" s="45" t="s">
        <v>28</v>
      </c>
      <c r="K591" s="45" t="s">
        <v>444</v>
      </c>
      <c r="L591" s="48" t="s">
        <v>45</v>
      </c>
      <c r="M591" s="47">
        <v>50</v>
      </c>
      <c r="N591" s="47">
        <v>50</v>
      </c>
      <c r="O591" s="46">
        <v>1</v>
      </c>
      <c r="Q591" s="45" t="s">
        <v>23</v>
      </c>
    </row>
    <row r="592" spans="4:17" hidden="1" x14ac:dyDescent="0.4">
      <c r="D592" s="45" t="s">
        <v>46</v>
      </c>
      <c r="E592" s="45" t="s">
        <v>47</v>
      </c>
      <c r="F592" s="45" t="s">
        <v>48</v>
      </c>
      <c r="G592" s="45" t="s">
        <v>49</v>
      </c>
      <c r="H592" s="50" t="s">
        <v>0</v>
      </c>
      <c r="I592" s="49">
        <v>46078</v>
      </c>
      <c r="J592" s="45" t="s">
        <v>28</v>
      </c>
      <c r="K592" s="45" t="s">
        <v>444</v>
      </c>
      <c r="L592" s="48" t="s">
        <v>50</v>
      </c>
      <c r="M592" s="47">
        <v>50</v>
      </c>
      <c r="N592" s="47">
        <v>50</v>
      </c>
      <c r="O592" s="46">
        <v>1</v>
      </c>
      <c r="Q592" s="45" t="s">
        <v>23</v>
      </c>
    </row>
    <row r="593" spans="4:17" hidden="1" x14ac:dyDescent="0.4">
      <c r="D593" s="45" t="s">
        <v>51</v>
      </c>
      <c r="E593" s="45" t="s">
        <v>52</v>
      </c>
      <c r="F593" s="45" t="s">
        <v>53</v>
      </c>
      <c r="G593" s="45" t="s">
        <v>54</v>
      </c>
      <c r="H593" s="50" t="s">
        <v>0</v>
      </c>
      <c r="I593" s="49">
        <v>46078</v>
      </c>
      <c r="J593" s="45" t="s">
        <v>28</v>
      </c>
      <c r="K593" s="45" t="s">
        <v>444</v>
      </c>
      <c r="L593" s="48" t="s">
        <v>55</v>
      </c>
      <c r="M593" s="47">
        <v>50</v>
      </c>
      <c r="N593" s="47">
        <v>50</v>
      </c>
      <c r="O593" s="46">
        <v>1</v>
      </c>
      <c r="Q593" s="45" t="s">
        <v>23</v>
      </c>
    </row>
    <row r="594" spans="4:17" hidden="1" x14ac:dyDescent="0.4">
      <c r="D594" s="45" t="s">
        <v>56</v>
      </c>
      <c r="E594" s="45" t="s">
        <v>52</v>
      </c>
      <c r="F594" s="45" t="s">
        <v>57</v>
      </c>
      <c r="G594" s="45" t="s">
        <v>58</v>
      </c>
      <c r="H594" s="50" t="s">
        <v>0</v>
      </c>
      <c r="I594" s="49">
        <v>46078</v>
      </c>
      <c r="J594" s="45" t="s">
        <v>28</v>
      </c>
      <c r="K594" s="45" t="s">
        <v>444</v>
      </c>
      <c r="L594" s="48" t="s">
        <v>59</v>
      </c>
      <c r="M594" s="47">
        <v>60</v>
      </c>
      <c r="N594" s="47">
        <v>50</v>
      </c>
      <c r="O594" s="46">
        <v>1.2</v>
      </c>
      <c r="Q594" s="45" t="s">
        <v>23</v>
      </c>
    </row>
    <row r="595" spans="4:17" hidden="1" x14ac:dyDescent="0.4">
      <c r="D595" s="45" t="s">
        <v>60</v>
      </c>
      <c r="E595" s="45" t="s">
        <v>61</v>
      </c>
      <c r="F595" s="45" t="s">
        <v>62</v>
      </c>
      <c r="G595" s="45" t="s">
        <v>63</v>
      </c>
      <c r="H595" s="50" t="s">
        <v>0</v>
      </c>
      <c r="I595" s="49">
        <v>46078</v>
      </c>
      <c r="J595" s="45" t="s">
        <v>28</v>
      </c>
      <c r="K595" s="45" t="s">
        <v>444</v>
      </c>
      <c r="L595" s="48" t="s">
        <v>64</v>
      </c>
      <c r="M595" s="47">
        <v>50</v>
      </c>
      <c r="N595" s="47">
        <v>50</v>
      </c>
      <c r="O595" s="46">
        <v>1</v>
      </c>
      <c r="Q595" s="45" t="s">
        <v>23</v>
      </c>
    </row>
    <row r="596" spans="4:17" hidden="1" x14ac:dyDescent="0.4">
      <c r="D596" s="45" t="s">
        <v>65</v>
      </c>
      <c r="E596" s="45" t="s">
        <v>66</v>
      </c>
      <c r="F596" s="45" t="s">
        <v>67</v>
      </c>
      <c r="G596" s="45" t="s">
        <v>68</v>
      </c>
      <c r="H596" s="50" t="s">
        <v>0</v>
      </c>
      <c r="I596" s="49">
        <v>46078</v>
      </c>
      <c r="J596" s="45" t="s">
        <v>28</v>
      </c>
      <c r="K596" s="45" t="s">
        <v>444</v>
      </c>
      <c r="L596" s="48" t="s">
        <v>69</v>
      </c>
      <c r="M596" s="47">
        <v>43</v>
      </c>
      <c r="N596" s="47">
        <v>50</v>
      </c>
      <c r="O596" s="46">
        <v>0.86</v>
      </c>
      <c r="Q596" s="45" t="s">
        <v>23</v>
      </c>
    </row>
    <row r="597" spans="4:17" hidden="1" x14ac:dyDescent="0.4">
      <c r="D597" s="45" t="s">
        <v>70</v>
      </c>
      <c r="E597" s="45" t="s">
        <v>71</v>
      </c>
      <c r="F597" s="45" t="s">
        <v>72</v>
      </c>
      <c r="G597" s="45" t="s">
        <v>73</v>
      </c>
      <c r="H597" s="50" t="s">
        <v>0</v>
      </c>
      <c r="I597" s="49">
        <v>46078</v>
      </c>
      <c r="J597" s="45" t="s">
        <v>28</v>
      </c>
      <c r="K597" s="45" t="s">
        <v>444</v>
      </c>
      <c r="L597" s="48" t="s">
        <v>74</v>
      </c>
      <c r="M597" s="47">
        <v>43</v>
      </c>
      <c r="N597" s="47">
        <v>50</v>
      </c>
      <c r="O597" s="46">
        <v>0.86</v>
      </c>
      <c r="Q597" s="45" t="s">
        <v>23</v>
      </c>
    </row>
    <row r="598" spans="4:17" hidden="1" x14ac:dyDescent="0.4">
      <c r="D598" s="45" t="s">
        <v>75</v>
      </c>
      <c r="E598" s="45" t="s">
        <v>76</v>
      </c>
      <c r="F598" s="45" t="s">
        <v>77</v>
      </c>
      <c r="G598" s="45" t="s">
        <v>78</v>
      </c>
      <c r="H598" s="50" t="s">
        <v>0</v>
      </c>
      <c r="I598" s="49">
        <v>46078</v>
      </c>
      <c r="J598" s="45" t="s">
        <v>28</v>
      </c>
      <c r="K598" s="45" t="s">
        <v>444</v>
      </c>
      <c r="L598" s="48" t="s">
        <v>79</v>
      </c>
      <c r="M598" s="47">
        <v>50</v>
      </c>
      <c r="N598" s="47">
        <v>50</v>
      </c>
      <c r="O598" s="46">
        <v>1</v>
      </c>
      <c r="Q598" s="45" t="s">
        <v>23</v>
      </c>
    </row>
    <row r="599" spans="4:17" hidden="1" x14ac:dyDescent="0.4">
      <c r="D599" s="45" t="s">
        <v>80</v>
      </c>
      <c r="E599" s="45" t="s">
        <v>81</v>
      </c>
      <c r="F599" s="45" t="s">
        <v>82</v>
      </c>
      <c r="G599" s="45" t="s">
        <v>83</v>
      </c>
      <c r="H599" s="50" t="s">
        <v>0</v>
      </c>
      <c r="I599" s="49">
        <v>46078</v>
      </c>
      <c r="J599" s="45" t="s">
        <v>28</v>
      </c>
      <c r="K599" s="45" t="s">
        <v>444</v>
      </c>
      <c r="L599" s="48" t="s">
        <v>84</v>
      </c>
      <c r="M599" s="47">
        <v>60</v>
      </c>
      <c r="N599" s="47">
        <v>50</v>
      </c>
      <c r="O599" s="46">
        <v>1.2</v>
      </c>
      <c r="Q599" s="45" t="s">
        <v>23</v>
      </c>
    </row>
    <row r="600" spans="4:17" hidden="1" x14ac:dyDescent="0.4">
      <c r="D600" s="45" t="s">
        <v>85</v>
      </c>
      <c r="E600" s="45" t="s">
        <v>86</v>
      </c>
      <c r="F600" s="45" t="s">
        <v>87</v>
      </c>
      <c r="G600" s="45" t="s">
        <v>88</v>
      </c>
      <c r="H600" s="50" t="s">
        <v>0</v>
      </c>
      <c r="I600" s="49">
        <v>46078</v>
      </c>
      <c r="J600" s="45" t="s">
        <v>28</v>
      </c>
      <c r="K600" s="45" t="s">
        <v>444</v>
      </c>
      <c r="L600" s="48" t="s">
        <v>55</v>
      </c>
      <c r="M600" s="47">
        <v>50</v>
      </c>
      <c r="N600" s="47">
        <v>50</v>
      </c>
      <c r="O600" s="46">
        <v>1</v>
      </c>
      <c r="Q600" s="45" t="s">
        <v>23</v>
      </c>
    </row>
    <row r="601" spans="4:17" hidden="1" x14ac:dyDescent="0.4">
      <c r="D601" s="45" t="s">
        <v>89</v>
      </c>
      <c r="E601" s="45" t="s">
        <v>90</v>
      </c>
      <c r="F601" s="45" t="s">
        <v>91</v>
      </c>
      <c r="G601" s="45" t="s">
        <v>92</v>
      </c>
      <c r="H601" s="50" t="s">
        <v>0</v>
      </c>
      <c r="I601" s="49">
        <v>46078</v>
      </c>
      <c r="J601" s="45" t="s">
        <v>28</v>
      </c>
      <c r="K601" s="45" t="s">
        <v>444</v>
      </c>
      <c r="L601" s="48" t="s">
        <v>93</v>
      </c>
      <c r="M601" s="47">
        <v>50</v>
      </c>
      <c r="N601" s="47">
        <v>50</v>
      </c>
      <c r="O601" s="46">
        <v>1</v>
      </c>
      <c r="Q601" s="45" t="s">
        <v>23</v>
      </c>
    </row>
    <row r="602" spans="4:17" hidden="1" x14ac:dyDescent="0.4">
      <c r="D602" s="45" t="s">
        <v>94</v>
      </c>
      <c r="E602" s="45" t="s">
        <v>95</v>
      </c>
      <c r="F602" s="45" t="s">
        <v>96</v>
      </c>
      <c r="G602" s="45" t="s">
        <v>97</v>
      </c>
      <c r="H602" s="50" t="s">
        <v>0</v>
      </c>
      <c r="I602" s="49">
        <v>46078</v>
      </c>
      <c r="J602" s="45" t="s">
        <v>28</v>
      </c>
      <c r="K602" s="45" t="s">
        <v>444</v>
      </c>
      <c r="L602" s="48" t="s">
        <v>98</v>
      </c>
      <c r="M602" s="47">
        <v>45</v>
      </c>
      <c r="N602" s="47">
        <v>50</v>
      </c>
      <c r="O602" s="46">
        <v>0.9</v>
      </c>
      <c r="Q602" s="45" t="s">
        <v>23</v>
      </c>
    </row>
    <row r="603" spans="4:17" hidden="1" x14ac:dyDescent="0.4">
      <c r="D603" s="45" t="s">
        <v>99</v>
      </c>
      <c r="E603" s="45" t="s">
        <v>100</v>
      </c>
      <c r="F603" s="45" t="s">
        <v>101</v>
      </c>
      <c r="G603" s="45" t="s">
        <v>102</v>
      </c>
      <c r="H603" s="50" t="s">
        <v>0</v>
      </c>
      <c r="I603" s="49">
        <v>46078</v>
      </c>
      <c r="J603" s="45" t="s">
        <v>28</v>
      </c>
      <c r="K603" s="45" t="s">
        <v>444</v>
      </c>
      <c r="L603" s="48" t="s">
        <v>103</v>
      </c>
      <c r="M603" s="47">
        <v>60</v>
      </c>
      <c r="N603" s="47">
        <v>50</v>
      </c>
      <c r="O603" s="46">
        <v>1.2</v>
      </c>
      <c r="Q603" s="45" t="s">
        <v>23</v>
      </c>
    </row>
    <row r="604" spans="4:17" hidden="1" x14ac:dyDescent="0.4">
      <c r="D604" s="45" t="s">
        <v>104</v>
      </c>
      <c r="E604" s="45" t="s">
        <v>86</v>
      </c>
      <c r="F604" s="45" t="s">
        <v>105</v>
      </c>
      <c r="G604" s="45" t="s">
        <v>106</v>
      </c>
      <c r="H604" s="50" t="s">
        <v>0</v>
      </c>
      <c r="I604" s="49">
        <v>46078</v>
      </c>
      <c r="J604" s="45" t="s">
        <v>28</v>
      </c>
      <c r="K604" s="45" t="s">
        <v>444</v>
      </c>
      <c r="L604" s="48" t="s">
        <v>55</v>
      </c>
      <c r="M604" s="47">
        <v>50</v>
      </c>
      <c r="N604" s="47">
        <v>50</v>
      </c>
      <c r="O604" s="46">
        <v>1</v>
      </c>
      <c r="Q604" s="45" t="s">
        <v>23</v>
      </c>
    </row>
    <row r="605" spans="4:17" hidden="1" x14ac:dyDescent="0.4">
      <c r="D605" s="45" t="s">
        <v>107</v>
      </c>
      <c r="E605" s="45" t="s">
        <v>108</v>
      </c>
      <c r="F605" s="45" t="s">
        <v>109</v>
      </c>
      <c r="G605" s="45" t="s">
        <v>110</v>
      </c>
      <c r="H605" s="50" t="s">
        <v>0</v>
      </c>
      <c r="I605" s="49">
        <v>46078</v>
      </c>
      <c r="J605" s="45" t="s">
        <v>28</v>
      </c>
      <c r="K605" s="45" t="s">
        <v>444</v>
      </c>
      <c r="L605" s="48" t="s">
        <v>111</v>
      </c>
      <c r="M605" s="47">
        <v>48</v>
      </c>
      <c r="N605" s="47">
        <v>50</v>
      </c>
      <c r="O605" s="46">
        <v>0.96</v>
      </c>
      <c r="Q605" s="45" t="s">
        <v>23</v>
      </c>
    </row>
    <row r="606" spans="4:17" hidden="1" x14ac:dyDescent="0.4">
      <c r="D606" s="45" t="s">
        <v>112</v>
      </c>
      <c r="E606" s="45" t="s">
        <v>113</v>
      </c>
      <c r="F606" s="45" t="s">
        <v>114</v>
      </c>
      <c r="G606" s="45" t="s">
        <v>115</v>
      </c>
      <c r="H606" s="50" t="s">
        <v>0</v>
      </c>
      <c r="I606" s="49">
        <v>46078</v>
      </c>
      <c r="J606" s="45" t="s">
        <v>28</v>
      </c>
      <c r="K606" s="45" t="s">
        <v>444</v>
      </c>
      <c r="L606" s="48" t="s">
        <v>116</v>
      </c>
      <c r="M606" s="47">
        <v>55</v>
      </c>
      <c r="N606" s="47">
        <v>50</v>
      </c>
      <c r="O606" s="46">
        <v>1.1000000000000001</v>
      </c>
      <c r="Q606" s="45" t="s">
        <v>23</v>
      </c>
    </row>
    <row r="607" spans="4:17" hidden="1" x14ac:dyDescent="0.4">
      <c r="D607" s="45" t="s">
        <v>117</v>
      </c>
      <c r="E607" s="45" t="s">
        <v>118</v>
      </c>
      <c r="F607" s="45" t="s">
        <v>119</v>
      </c>
      <c r="G607" s="45" t="s">
        <v>120</v>
      </c>
      <c r="H607" s="50" t="s">
        <v>0</v>
      </c>
      <c r="I607" s="49">
        <v>46078</v>
      </c>
      <c r="J607" s="45" t="s">
        <v>28</v>
      </c>
      <c r="K607" s="45" t="s">
        <v>444</v>
      </c>
      <c r="L607" s="48" t="s">
        <v>121</v>
      </c>
      <c r="M607" s="47">
        <v>48</v>
      </c>
      <c r="N607" s="47">
        <v>50</v>
      </c>
      <c r="O607" s="46">
        <v>0.96</v>
      </c>
      <c r="Q607" s="45" t="s">
        <v>23</v>
      </c>
    </row>
    <row r="608" spans="4:17" hidden="1" x14ac:dyDescent="0.4">
      <c r="D608" s="45" t="s">
        <v>122</v>
      </c>
      <c r="E608" s="45" t="s">
        <v>123</v>
      </c>
      <c r="F608" s="45" t="s">
        <v>124</v>
      </c>
      <c r="G608" s="45" t="s">
        <v>125</v>
      </c>
      <c r="H608" s="50" t="s">
        <v>0</v>
      </c>
      <c r="I608" s="49">
        <v>46078</v>
      </c>
      <c r="J608" s="45" t="s">
        <v>28</v>
      </c>
      <c r="K608" s="45" t="s">
        <v>444</v>
      </c>
      <c r="L608" s="48" t="s">
        <v>126</v>
      </c>
      <c r="M608" s="47">
        <v>60</v>
      </c>
      <c r="N608" s="47">
        <v>50</v>
      </c>
      <c r="O608" s="46">
        <v>1.2</v>
      </c>
      <c r="Q608" s="45" t="s">
        <v>23</v>
      </c>
    </row>
    <row r="609" spans="4:17" hidden="1" x14ac:dyDescent="0.4">
      <c r="D609" s="45" t="s">
        <v>127</v>
      </c>
      <c r="E609" s="45" t="s">
        <v>128</v>
      </c>
      <c r="F609" s="45" t="s">
        <v>129</v>
      </c>
      <c r="G609" s="45" t="s">
        <v>130</v>
      </c>
      <c r="H609" s="50" t="s">
        <v>0</v>
      </c>
      <c r="I609" s="49">
        <v>46078</v>
      </c>
      <c r="J609" s="45" t="s">
        <v>28</v>
      </c>
      <c r="K609" s="45" t="s">
        <v>444</v>
      </c>
      <c r="L609" s="48" t="s">
        <v>131</v>
      </c>
      <c r="M609" s="47">
        <v>50</v>
      </c>
      <c r="N609" s="47">
        <v>50</v>
      </c>
      <c r="O609" s="46">
        <v>1</v>
      </c>
      <c r="Q609" s="45" t="s">
        <v>23</v>
      </c>
    </row>
    <row r="610" spans="4:17" hidden="1" x14ac:dyDescent="0.4">
      <c r="D610" s="45" t="s">
        <v>132</v>
      </c>
      <c r="E610" s="45" t="s">
        <v>133</v>
      </c>
      <c r="F610" s="45" t="s">
        <v>134</v>
      </c>
      <c r="G610" s="45" t="s">
        <v>135</v>
      </c>
      <c r="H610" s="50" t="s">
        <v>0</v>
      </c>
      <c r="I610" s="49">
        <v>46078</v>
      </c>
      <c r="J610" s="45" t="s">
        <v>28</v>
      </c>
      <c r="K610" s="45" t="s">
        <v>444</v>
      </c>
      <c r="L610" s="48" t="s">
        <v>136</v>
      </c>
      <c r="M610" s="47">
        <v>50</v>
      </c>
      <c r="N610" s="47">
        <v>50</v>
      </c>
      <c r="O610" s="46">
        <v>1</v>
      </c>
      <c r="Q610" s="45" t="s">
        <v>23</v>
      </c>
    </row>
    <row r="611" spans="4:17" hidden="1" x14ac:dyDescent="0.4">
      <c r="D611" s="45" t="s">
        <v>137</v>
      </c>
      <c r="E611" s="45" t="s">
        <v>138</v>
      </c>
      <c r="F611" s="45" t="s">
        <v>139</v>
      </c>
      <c r="G611" s="45" t="s">
        <v>140</v>
      </c>
      <c r="H611" s="50" t="s">
        <v>0</v>
      </c>
      <c r="I611" s="49">
        <v>46078</v>
      </c>
      <c r="J611" s="45" t="s">
        <v>28</v>
      </c>
      <c r="K611" s="45" t="s">
        <v>444</v>
      </c>
      <c r="L611" s="48" t="s">
        <v>141</v>
      </c>
      <c r="M611" s="47">
        <v>65</v>
      </c>
      <c r="N611" s="47">
        <v>50</v>
      </c>
      <c r="O611" s="46">
        <v>1.3</v>
      </c>
      <c r="Q611" s="45" t="s">
        <v>23</v>
      </c>
    </row>
    <row r="612" spans="4:17" hidden="1" x14ac:dyDescent="0.4">
      <c r="D612" s="45" t="s">
        <v>142</v>
      </c>
      <c r="E612" s="45" t="s">
        <v>143</v>
      </c>
      <c r="F612" s="45" t="s">
        <v>144</v>
      </c>
      <c r="G612" s="45" t="s">
        <v>145</v>
      </c>
      <c r="H612" s="50" t="s">
        <v>0</v>
      </c>
      <c r="I612" s="49">
        <v>46078</v>
      </c>
      <c r="J612" s="45" t="s">
        <v>28</v>
      </c>
      <c r="K612" s="45" t="s">
        <v>444</v>
      </c>
      <c r="L612" s="48" t="s">
        <v>146</v>
      </c>
      <c r="M612" s="47">
        <v>60</v>
      </c>
      <c r="N612" s="47">
        <v>50</v>
      </c>
      <c r="O612" s="46">
        <v>1.2</v>
      </c>
      <c r="Q612" s="45" t="s">
        <v>23</v>
      </c>
    </row>
    <row r="613" spans="4:17" hidden="1" x14ac:dyDescent="0.4">
      <c r="D613" s="45" t="s">
        <v>147</v>
      </c>
      <c r="E613" s="45" t="s">
        <v>148</v>
      </c>
      <c r="F613" s="45" t="s">
        <v>149</v>
      </c>
      <c r="G613" s="45" t="s">
        <v>150</v>
      </c>
      <c r="H613" s="50" t="s">
        <v>0</v>
      </c>
      <c r="I613" s="49">
        <v>46078</v>
      </c>
      <c r="J613" s="45" t="s">
        <v>28</v>
      </c>
      <c r="K613" s="45" t="s">
        <v>444</v>
      </c>
      <c r="L613" s="48" t="s">
        <v>151</v>
      </c>
      <c r="M613" s="47">
        <v>55</v>
      </c>
      <c r="N613" s="47">
        <v>50</v>
      </c>
      <c r="O613" s="46">
        <v>1.1000000000000001</v>
      </c>
      <c r="Q613" s="45" t="s">
        <v>23</v>
      </c>
    </row>
    <row r="614" spans="4:17" hidden="1" x14ac:dyDescent="0.4">
      <c r="D614" s="45" t="s">
        <v>152</v>
      </c>
      <c r="E614" s="45" t="s">
        <v>66</v>
      </c>
      <c r="F614" s="45" t="s">
        <v>153</v>
      </c>
      <c r="G614" s="45" t="s">
        <v>154</v>
      </c>
      <c r="H614" s="50" t="s">
        <v>0</v>
      </c>
      <c r="I614" s="49">
        <v>46078</v>
      </c>
      <c r="J614" s="45" t="s">
        <v>28</v>
      </c>
      <c r="K614" s="45" t="s">
        <v>444</v>
      </c>
      <c r="L614" s="48" t="s">
        <v>155</v>
      </c>
      <c r="M614" s="47">
        <v>55</v>
      </c>
      <c r="N614" s="47">
        <v>50</v>
      </c>
      <c r="O614" s="46">
        <v>1.1000000000000001</v>
      </c>
      <c r="Q614" s="45" t="s">
        <v>23</v>
      </c>
    </row>
    <row r="615" spans="4:17" hidden="1" x14ac:dyDescent="0.4">
      <c r="D615" s="45" t="s">
        <v>160</v>
      </c>
      <c r="E615" s="45" t="s">
        <v>81</v>
      </c>
      <c r="F615" s="45" t="s">
        <v>161</v>
      </c>
      <c r="G615" s="45" t="s">
        <v>162</v>
      </c>
      <c r="H615" s="50" t="s">
        <v>0</v>
      </c>
      <c r="I615" s="49">
        <v>46078</v>
      </c>
      <c r="J615" s="45" t="s">
        <v>28</v>
      </c>
      <c r="K615" s="45" t="s">
        <v>444</v>
      </c>
      <c r="L615" s="48" t="s">
        <v>98</v>
      </c>
      <c r="M615" s="47">
        <v>45</v>
      </c>
      <c r="N615" s="47">
        <v>50</v>
      </c>
      <c r="O615" s="46">
        <v>0.9</v>
      </c>
      <c r="Q615" s="45" t="s">
        <v>23</v>
      </c>
    </row>
    <row r="616" spans="4:17" hidden="1" x14ac:dyDescent="0.4">
      <c r="D616" s="45" t="s">
        <v>163</v>
      </c>
      <c r="E616" s="45" t="s">
        <v>164</v>
      </c>
      <c r="F616" s="45" t="s">
        <v>165</v>
      </c>
      <c r="G616" s="45" t="s">
        <v>166</v>
      </c>
      <c r="H616" s="50" t="s">
        <v>0</v>
      </c>
      <c r="I616" s="49">
        <v>46078</v>
      </c>
      <c r="J616" s="45" t="s">
        <v>28</v>
      </c>
      <c r="K616" s="45" t="s">
        <v>444</v>
      </c>
      <c r="L616" s="48" t="s">
        <v>167</v>
      </c>
      <c r="M616" s="47">
        <v>50</v>
      </c>
      <c r="N616" s="47">
        <v>50</v>
      </c>
      <c r="O616" s="46">
        <v>1</v>
      </c>
      <c r="Q616" s="45" t="s">
        <v>23</v>
      </c>
    </row>
    <row r="617" spans="4:17" hidden="1" x14ac:dyDescent="0.4">
      <c r="D617" s="45" t="s">
        <v>168</v>
      </c>
      <c r="E617" s="45" t="s">
        <v>169</v>
      </c>
      <c r="F617" s="45" t="s">
        <v>170</v>
      </c>
      <c r="G617" s="45" t="s">
        <v>171</v>
      </c>
      <c r="H617" s="50" t="s">
        <v>0</v>
      </c>
      <c r="I617" s="49">
        <v>46078</v>
      </c>
      <c r="J617" s="45" t="s">
        <v>28</v>
      </c>
      <c r="K617" s="45" t="s">
        <v>444</v>
      </c>
      <c r="L617" s="48" t="s">
        <v>172</v>
      </c>
      <c r="M617" s="47">
        <v>43</v>
      </c>
      <c r="N617" s="47">
        <v>50</v>
      </c>
      <c r="O617" s="46">
        <v>0.86</v>
      </c>
      <c r="Q617" s="45" t="s">
        <v>23</v>
      </c>
    </row>
    <row r="618" spans="4:17" hidden="1" x14ac:dyDescent="0.4">
      <c r="D618" s="45" t="s">
        <v>173</v>
      </c>
      <c r="E618" s="45" t="s">
        <v>174</v>
      </c>
      <c r="F618" s="45" t="s">
        <v>175</v>
      </c>
      <c r="G618" s="45" t="s">
        <v>176</v>
      </c>
      <c r="H618" s="50" t="s">
        <v>0</v>
      </c>
      <c r="I618" s="49">
        <v>46078</v>
      </c>
      <c r="J618" s="45" t="s">
        <v>28</v>
      </c>
      <c r="K618" s="45" t="s">
        <v>444</v>
      </c>
      <c r="L618" s="48" t="s">
        <v>177</v>
      </c>
      <c r="M618" s="47">
        <v>50</v>
      </c>
      <c r="N618" s="47">
        <v>50</v>
      </c>
      <c r="O618" s="46">
        <v>1</v>
      </c>
      <c r="Q618" s="45" t="s">
        <v>23</v>
      </c>
    </row>
    <row r="619" spans="4:17" hidden="1" x14ac:dyDescent="0.4">
      <c r="D619" s="45" t="s">
        <v>178</v>
      </c>
      <c r="E619" s="45" t="s">
        <v>179</v>
      </c>
      <c r="F619" s="45" t="s">
        <v>180</v>
      </c>
      <c r="G619" s="45" t="s">
        <v>181</v>
      </c>
      <c r="H619" s="50" t="s">
        <v>0</v>
      </c>
      <c r="I619" s="49">
        <v>46078</v>
      </c>
      <c r="J619" s="45" t="s">
        <v>28</v>
      </c>
      <c r="K619" s="45" t="s">
        <v>444</v>
      </c>
      <c r="L619" s="48" t="s">
        <v>182</v>
      </c>
      <c r="M619" s="47">
        <v>55</v>
      </c>
      <c r="N619" s="47">
        <v>50</v>
      </c>
      <c r="O619" s="46">
        <v>1.1000000000000001</v>
      </c>
      <c r="Q619" s="45" t="s">
        <v>23</v>
      </c>
    </row>
    <row r="620" spans="4:17" hidden="1" x14ac:dyDescent="0.4">
      <c r="D620" s="45" t="s">
        <v>187</v>
      </c>
      <c r="E620" s="45" t="s">
        <v>188</v>
      </c>
      <c r="F620" s="45" t="s">
        <v>189</v>
      </c>
      <c r="G620" s="45" t="s">
        <v>190</v>
      </c>
      <c r="H620" s="50" t="s">
        <v>0</v>
      </c>
      <c r="I620" s="49">
        <v>46078</v>
      </c>
      <c r="J620" s="45" t="s">
        <v>28</v>
      </c>
      <c r="K620" s="45" t="s">
        <v>444</v>
      </c>
      <c r="L620" s="48" t="s">
        <v>191</v>
      </c>
      <c r="M620" s="47">
        <v>60</v>
      </c>
      <c r="N620" s="47">
        <v>50</v>
      </c>
      <c r="O620" s="46">
        <v>1.2</v>
      </c>
      <c r="Q620" s="45" t="s">
        <v>23</v>
      </c>
    </row>
    <row r="621" spans="4:17" hidden="1" x14ac:dyDescent="0.4">
      <c r="D621" s="45" t="s">
        <v>192</v>
      </c>
      <c r="E621" s="45" t="s">
        <v>193</v>
      </c>
      <c r="F621" s="45" t="s">
        <v>194</v>
      </c>
      <c r="G621" s="45" t="s">
        <v>195</v>
      </c>
      <c r="H621" s="50" t="s">
        <v>0</v>
      </c>
      <c r="I621" s="49">
        <v>46078</v>
      </c>
      <c r="J621" s="45" t="s">
        <v>28</v>
      </c>
      <c r="K621" s="45" t="s">
        <v>444</v>
      </c>
      <c r="L621" s="48" t="s">
        <v>196</v>
      </c>
      <c r="M621" s="47">
        <v>60</v>
      </c>
      <c r="N621" s="47">
        <v>50</v>
      </c>
      <c r="O621" s="46">
        <v>1.2</v>
      </c>
      <c r="Q621" s="45" t="s">
        <v>23</v>
      </c>
    </row>
    <row r="622" spans="4:17" hidden="1" x14ac:dyDescent="0.4">
      <c r="D622" s="45" t="s">
        <v>197</v>
      </c>
      <c r="E622" s="45" t="s">
        <v>198</v>
      </c>
      <c r="F622" s="45" t="s">
        <v>199</v>
      </c>
      <c r="G622" s="45" t="s">
        <v>200</v>
      </c>
      <c r="H622" s="50" t="s">
        <v>0</v>
      </c>
      <c r="I622" s="49">
        <v>46078</v>
      </c>
      <c r="J622" s="45" t="s">
        <v>28</v>
      </c>
      <c r="K622" s="45" t="s">
        <v>444</v>
      </c>
      <c r="L622" s="48" t="s">
        <v>98</v>
      </c>
      <c r="M622" s="47">
        <v>45</v>
      </c>
      <c r="N622" s="47">
        <v>50</v>
      </c>
      <c r="O622" s="46">
        <v>0.9</v>
      </c>
      <c r="Q622" s="45" t="s">
        <v>23</v>
      </c>
    </row>
    <row r="623" spans="4:17" hidden="1" x14ac:dyDescent="0.4">
      <c r="D623" s="45" t="s">
        <v>201</v>
      </c>
      <c r="E623" s="45" t="s">
        <v>143</v>
      </c>
      <c r="F623" s="45" t="s">
        <v>202</v>
      </c>
      <c r="G623" s="45" t="s">
        <v>203</v>
      </c>
      <c r="H623" s="50" t="s">
        <v>0</v>
      </c>
      <c r="I623" s="49">
        <v>46078</v>
      </c>
      <c r="J623" s="45" t="s">
        <v>28</v>
      </c>
      <c r="K623" s="45" t="s">
        <v>444</v>
      </c>
      <c r="L623" s="48" t="s">
        <v>204</v>
      </c>
      <c r="M623" s="47">
        <v>55</v>
      </c>
      <c r="N623" s="47">
        <v>50</v>
      </c>
      <c r="O623" s="46">
        <v>1.1000000000000001</v>
      </c>
      <c r="Q623" s="45" t="s">
        <v>23</v>
      </c>
    </row>
    <row r="624" spans="4:17" hidden="1" x14ac:dyDescent="0.4">
      <c r="D624" s="45" t="s">
        <v>205</v>
      </c>
      <c r="E624" s="45" t="s">
        <v>206</v>
      </c>
      <c r="F624" s="45" t="s">
        <v>207</v>
      </c>
      <c r="G624" s="45" t="s">
        <v>208</v>
      </c>
      <c r="H624" s="50" t="s">
        <v>0</v>
      </c>
      <c r="I624" s="49">
        <v>46078</v>
      </c>
      <c r="J624" s="45" t="s">
        <v>28</v>
      </c>
      <c r="K624" s="45" t="s">
        <v>444</v>
      </c>
      <c r="L624" s="48" t="s">
        <v>209</v>
      </c>
      <c r="M624" s="47">
        <v>60</v>
      </c>
      <c r="N624" s="47">
        <v>50</v>
      </c>
      <c r="O624" s="46">
        <v>1.2</v>
      </c>
      <c r="Q624" s="45" t="s">
        <v>23</v>
      </c>
    </row>
    <row r="625" spans="4:17" hidden="1" x14ac:dyDescent="0.4">
      <c r="D625" s="45" t="s">
        <v>210</v>
      </c>
      <c r="E625" s="45" t="s">
        <v>211</v>
      </c>
      <c r="F625" s="45" t="s">
        <v>212</v>
      </c>
      <c r="G625" s="45" t="s">
        <v>213</v>
      </c>
      <c r="H625" s="50" t="s">
        <v>0</v>
      </c>
      <c r="I625" s="49">
        <v>46078</v>
      </c>
      <c r="J625" s="45" t="s">
        <v>28</v>
      </c>
      <c r="K625" s="45" t="s">
        <v>444</v>
      </c>
      <c r="L625" s="48" t="s">
        <v>214</v>
      </c>
      <c r="M625" s="47">
        <v>60</v>
      </c>
      <c r="N625" s="47">
        <v>50</v>
      </c>
      <c r="O625" s="46">
        <v>1.2</v>
      </c>
      <c r="Q625" s="45" t="s">
        <v>23</v>
      </c>
    </row>
    <row r="626" spans="4:17" hidden="1" x14ac:dyDescent="0.4">
      <c r="D626" s="45" t="s">
        <v>215</v>
      </c>
      <c r="E626" s="45" t="s">
        <v>216</v>
      </c>
      <c r="F626" s="45" t="s">
        <v>217</v>
      </c>
      <c r="G626" s="45" t="s">
        <v>218</v>
      </c>
      <c r="H626" s="50" t="s">
        <v>0</v>
      </c>
      <c r="I626" s="49">
        <v>46078</v>
      </c>
      <c r="J626" s="45" t="s">
        <v>28</v>
      </c>
      <c r="K626" s="45" t="s">
        <v>444</v>
      </c>
      <c r="L626" s="48" t="s">
        <v>219</v>
      </c>
      <c r="M626" s="47">
        <v>48</v>
      </c>
      <c r="N626" s="47">
        <v>50</v>
      </c>
      <c r="O626" s="46">
        <v>0.96</v>
      </c>
      <c r="Q626" s="45" t="s">
        <v>23</v>
      </c>
    </row>
    <row r="627" spans="4:17" hidden="1" x14ac:dyDescent="0.4">
      <c r="D627" s="45" t="s">
        <v>24</v>
      </c>
      <c r="E627" s="45" t="s">
        <v>25</v>
      </c>
      <c r="F627" s="45" t="s">
        <v>26</v>
      </c>
      <c r="G627" s="45" t="s">
        <v>27</v>
      </c>
      <c r="H627" s="50" t="s">
        <v>1</v>
      </c>
      <c r="I627" s="49">
        <v>46078</v>
      </c>
      <c r="J627" s="45" t="s">
        <v>220</v>
      </c>
      <c r="K627" s="45" t="s">
        <v>444</v>
      </c>
      <c r="L627" s="48" t="s">
        <v>221</v>
      </c>
      <c r="M627" s="47">
        <v>5</v>
      </c>
      <c r="N627" s="47">
        <v>5</v>
      </c>
      <c r="O627" s="46">
        <v>1</v>
      </c>
      <c r="Q627" s="45" t="s">
        <v>23</v>
      </c>
    </row>
    <row r="628" spans="4:17" hidden="1" x14ac:dyDescent="0.4">
      <c r="D628" s="45" t="s">
        <v>31</v>
      </c>
      <c r="E628" s="45" t="s">
        <v>32</v>
      </c>
      <c r="F628" s="45" t="s">
        <v>33</v>
      </c>
      <c r="G628" s="45" t="s">
        <v>34</v>
      </c>
      <c r="H628" s="50" t="s">
        <v>1</v>
      </c>
      <c r="I628" s="49">
        <v>46078</v>
      </c>
      <c r="J628" s="45" t="s">
        <v>220</v>
      </c>
      <c r="K628" s="45" t="s">
        <v>444</v>
      </c>
      <c r="L628" s="48" t="s">
        <v>222</v>
      </c>
      <c r="M628" s="47">
        <v>1</v>
      </c>
      <c r="N628" s="47">
        <v>5</v>
      </c>
      <c r="O628" s="46">
        <v>0.2</v>
      </c>
      <c r="Q628" s="45" t="s">
        <v>23</v>
      </c>
    </row>
    <row r="629" spans="4:17" hidden="1" x14ac:dyDescent="0.4">
      <c r="D629" s="45" t="s">
        <v>36</v>
      </c>
      <c r="E629" s="45" t="s">
        <v>37</v>
      </c>
      <c r="F629" s="45" t="s">
        <v>38</v>
      </c>
      <c r="G629" s="45" t="s">
        <v>39</v>
      </c>
      <c r="H629" s="50" t="s">
        <v>1</v>
      </c>
      <c r="I629" s="49">
        <v>46078</v>
      </c>
      <c r="J629" s="45" t="s">
        <v>220</v>
      </c>
      <c r="K629" s="45" t="s">
        <v>444</v>
      </c>
      <c r="L629" s="48" t="s">
        <v>223</v>
      </c>
      <c r="M629" s="47">
        <v>5</v>
      </c>
      <c r="N629" s="47">
        <v>5</v>
      </c>
      <c r="O629" s="46">
        <v>1</v>
      </c>
      <c r="Q629" s="45" t="s">
        <v>23</v>
      </c>
    </row>
    <row r="630" spans="4:17" hidden="1" x14ac:dyDescent="0.4">
      <c r="D630" s="45" t="s">
        <v>41</v>
      </c>
      <c r="E630" s="45" t="s">
        <v>42</v>
      </c>
      <c r="F630" s="45" t="s">
        <v>43</v>
      </c>
      <c r="G630" s="45" t="s">
        <v>44</v>
      </c>
      <c r="H630" s="50" t="s">
        <v>1</v>
      </c>
      <c r="I630" s="49">
        <v>46078</v>
      </c>
      <c r="J630" s="45" t="s">
        <v>220</v>
      </c>
      <c r="K630" s="45" t="s">
        <v>444</v>
      </c>
      <c r="L630" s="48" t="s">
        <v>224</v>
      </c>
      <c r="M630" s="47">
        <v>4.2</v>
      </c>
      <c r="N630" s="47">
        <v>5</v>
      </c>
      <c r="O630" s="46">
        <v>0.84000000000000008</v>
      </c>
      <c r="Q630" s="45" t="s">
        <v>23</v>
      </c>
    </row>
    <row r="631" spans="4:17" hidden="1" x14ac:dyDescent="0.4">
      <c r="D631" s="45" t="s">
        <v>46</v>
      </c>
      <c r="E631" s="45" t="s">
        <v>47</v>
      </c>
      <c r="F631" s="45" t="s">
        <v>48</v>
      </c>
      <c r="G631" s="45" t="s">
        <v>49</v>
      </c>
      <c r="H631" s="50" t="s">
        <v>1</v>
      </c>
      <c r="I631" s="49">
        <v>46078</v>
      </c>
      <c r="J631" s="45" t="s">
        <v>220</v>
      </c>
      <c r="K631" s="45" t="s">
        <v>444</v>
      </c>
      <c r="L631" s="48" t="s">
        <v>224</v>
      </c>
      <c r="M631" s="47">
        <v>4.2</v>
      </c>
      <c r="N631" s="47">
        <v>5</v>
      </c>
      <c r="O631" s="46">
        <v>0.84000000000000008</v>
      </c>
      <c r="Q631" s="45" t="s">
        <v>23</v>
      </c>
    </row>
    <row r="632" spans="4:17" hidden="1" x14ac:dyDescent="0.4">
      <c r="D632" s="45" t="s">
        <v>51</v>
      </c>
      <c r="E632" s="45" t="s">
        <v>52</v>
      </c>
      <c r="F632" s="45" t="s">
        <v>53</v>
      </c>
      <c r="G632" s="45" t="s">
        <v>54</v>
      </c>
      <c r="H632" s="50" t="s">
        <v>1</v>
      </c>
      <c r="I632" s="49">
        <v>46078</v>
      </c>
      <c r="J632" s="45" t="s">
        <v>220</v>
      </c>
      <c r="K632" s="45" t="s">
        <v>444</v>
      </c>
      <c r="L632" s="48" t="s">
        <v>225</v>
      </c>
      <c r="M632" s="47">
        <v>0</v>
      </c>
      <c r="N632" s="47">
        <v>5</v>
      </c>
      <c r="O632" s="46">
        <v>0</v>
      </c>
      <c r="Q632" s="45" t="s">
        <v>23</v>
      </c>
    </row>
    <row r="633" spans="4:17" hidden="1" x14ac:dyDescent="0.4">
      <c r="D633" s="45" t="s">
        <v>56</v>
      </c>
      <c r="E633" s="45" t="s">
        <v>52</v>
      </c>
      <c r="F633" s="45" t="s">
        <v>57</v>
      </c>
      <c r="G633" s="45" t="s">
        <v>58</v>
      </c>
      <c r="H633" s="50" t="s">
        <v>1</v>
      </c>
      <c r="I633" s="49">
        <v>46078</v>
      </c>
      <c r="J633" s="45" t="s">
        <v>220</v>
      </c>
      <c r="K633" s="45" t="s">
        <v>444</v>
      </c>
      <c r="L633" s="48" t="s">
        <v>226</v>
      </c>
      <c r="M633" s="47">
        <v>5</v>
      </c>
      <c r="N633" s="47">
        <v>5</v>
      </c>
      <c r="O633" s="46">
        <v>1</v>
      </c>
      <c r="Q633" s="45" t="s">
        <v>23</v>
      </c>
    </row>
    <row r="634" spans="4:17" hidden="1" x14ac:dyDescent="0.4">
      <c r="D634" s="45" t="s">
        <v>60</v>
      </c>
      <c r="E634" s="45" t="s">
        <v>61</v>
      </c>
      <c r="F634" s="45" t="s">
        <v>62</v>
      </c>
      <c r="G634" s="45" t="s">
        <v>63</v>
      </c>
      <c r="H634" s="50" t="s">
        <v>1</v>
      </c>
      <c r="I634" s="49">
        <v>46078</v>
      </c>
      <c r="J634" s="45" t="s">
        <v>220</v>
      </c>
      <c r="K634" s="45" t="s">
        <v>444</v>
      </c>
      <c r="L634" s="48" t="s">
        <v>227</v>
      </c>
      <c r="M634" s="47">
        <v>5</v>
      </c>
      <c r="N634" s="47">
        <v>5</v>
      </c>
      <c r="O634" s="46">
        <v>1</v>
      </c>
      <c r="Q634" s="45" t="s">
        <v>23</v>
      </c>
    </row>
    <row r="635" spans="4:17" hidden="1" x14ac:dyDescent="0.4">
      <c r="D635" s="45" t="s">
        <v>65</v>
      </c>
      <c r="E635" s="45" t="s">
        <v>66</v>
      </c>
      <c r="F635" s="45" t="s">
        <v>67</v>
      </c>
      <c r="G635" s="45" t="s">
        <v>68</v>
      </c>
      <c r="H635" s="50" t="s">
        <v>1</v>
      </c>
      <c r="I635" s="49">
        <v>46078</v>
      </c>
      <c r="J635" s="45" t="s">
        <v>220</v>
      </c>
      <c r="K635" s="45" t="s">
        <v>444</v>
      </c>
      <c r="L635" s="48" t="s">
        <v>228</v>
      </c>
      <c r="M635" s="47">
        <v>5</v>
      </c>
      <c r="N635" s="47">
        <v>5</v>
      </c>
      <c r="O635" s="46">
        <v>1</v>
      </c>
      <c r="Q635" s="45" t="s">
        <v>23</v>
      </c>
    </row>
    <row r="636" spans="4:17" hidden="1" x14ac:dyDescent="0.4">
      <c r="D636" s="45" t="s">
        <v>70</v>
      </c>
      <c r="E636" s="45" t="s">
        <v>71</v>
      </c>
      <c r="F636" s="45" t="s">
        <v>72</v>
      </c>
      <c r="G636" s="45" t="s">
        <v>73</v>
      </c>
      <c r="H636" s="50" t="s">
        <v>1</v>
      </c>
      <c r="I636" s="49">
        <v>46078</v>
      </c>
      <c r="J636" s="45" t="s">
        <v>220</v>
      </c>
      <c r="K636" s="45" t="s">
        <v>444</v>
      </c>
      <c r="L636" s="48" t="s">
        <v>228</v>
      </c>
      <c r="M636" s="47">
        <v>5</v>
      </c>
      <c r="N636" s="47">
        <v>5</v>
      </c>
      <c r="O636" s="46">
        <v>1</v>
      </c>
      <c r="Q636" s="45" t="s">
        <v>23</v>
      </c>
    </row>
    <row r="637" spans="4:17" hidden="1" x14ac:dyDescent="0.4">
      <c r="D637" s="45" t="s">
        <v>75</v>
      </c>
      <c r="E637" s="45" t="s">
        <v>76</v>
      </c>
      <c r="F637" s="45" t="s">
        <v>77</v>
      </c>
      <c r="G637" s="45" t="s">
        <v>78</v>
      </c>
      <c r="H637" s="50" t="s">
        <v>1</v>
      </c>
      <c r="I637" s="49">
        <v>46078</v>
      </c>
      <c r="J637" s="45" t="s">
        <v>220</v>
      </c>
      <c r="K637" s="45" t="s">
        <v>444</v>
      </c>
      <c r="L637" s="48" t="s">
        <v>229</v>
      </c>
      <c r="M637" s="47">
        <v>4.5</v>
      </c>
      <c r="N637" s="47">
        <v>5</v>
      </c>
      <c r="O637" s="46">
        <v>0.9</v>
      </c>
      <c r="Q637" s="45" t="s">
        <v>23</v>
      </c>
    </row>
    <row r="638" spans="4:17" hidden="1" x14ac:dyDescent="0.4">
      <c r="D638" s="45" t="s">
        <v>80</v>
      </c>
      <c r="E638" s="45" t="s">
        <v>81</v>
      </c>
      <c r="F638" s="45" t="s">
        <v>82</v>
      </c>
      <c r="G638" s="45" t="s">
        <v>83</v>
      </c>
      <c r="H638" s="50" t="s">
        <v>1</v>
      </c>
      <c r="I638" s="49">
        <v>46078</v>
      </c>
      <c r="J638" s="45" t="s">
        <v>220</v>
      </c>
      <c r="K638" s="45" t="s">
        <v>444</v>
      </c>
      <c r="L638" s="48" t="s">
        <v>223</v>
      </c>
      <c r="M638" s="47">
        <v>5</v>
      </c>
      <c r="N638" s="47">
        <v>5</v>
      </c>
      <c r="O638" s="46">
        <v>1</v>
      </c>
      <c r="Q638" s="45" t="s">
        <v>23</v>
      </c>
    </row>
    <row r="639" spans="4:17" hidden="1" x14ac:dyDescent="0.4">
      <c r="D639" s="45" t="s">
        <v>85</v>
      </c>
      <c r="E639" s="45" t="s">
        <v>86</v>
      </c>
      <c r="F639" s="45" t="s">
        <v>87</v>
      </c>
      <c r="G639" s="45" t="s">
        <v>88</v>
      </c>
      <c r="H639" s="50" t="s">
        <v>1</v>
      </c>
      <c r="I639" s="49">
        <v>46078</v>
      </c>
      <c r="J639" s="45" t="s">
        <v>220</v>
      </c>
      <c r="K639" s="45" t="s">
        <v>444</v>
      </c>
      <c r="L639" s="48" t="s">
        <v>225</v>
      </c>
      <c r="M639" s="47">
        <v>0</v>
      </c>
      <c r="N639" s="47">
        <v>5</v>
      </c>
      <c r="O639" s="46">
        <v>0</v>
      </c>
      <c r="Q639" s="45" t="s">
        <v>23</v>
      </c>
    </row>
    <row r="640" spans="4:17" hidden="1" x14ac:dyDescent="0.4">
      <c r="D640" s="45" t="s">
        <v>89</v>
      </c>
      <c r="E640" s="45" t="s">
        <v>90</v>
      </c>
      <c r="F640" s="45" t="s">
        <v>91</v>
      </c>
      <c r="G640" s="45" t="s">
        <v>92</v>
      </c>
      <c r="H640" s="50" t="s">
        <v>1</v>
      </c>
      <c r="I640" s="49">
        <v>46078</v>
      </c>
      <c r="J640" s="45" t="s">
        <v>220</v>
      </c>
      <c r="K640" s="45" t="s">
        <v>444</v>
      </c>
      <c r="L640" s="48" t="s">
        <v>230</v>
      </c>
      <c r="M640" s="47">
        <v>5</v>
      </c>
      <c r="N640" s="47">
        <v>5</v>
      </c>
      <c r="O640" s="46">
        <v>1</v>
      </c>
      <c r="Q640" s="45" t="s">
        <v>23</v>
      </c>
    </row>
    <row r="641" spans="4:17" hidden="1" x14ac:dyDescent="0.4">
      <c r="D641" s="45" t="s">
        <v>94</v>
      </c>
      <c r="E641" s="45" t="s">
        <v>95</v>
      </c>
      <c r="F641" s="45" t="s">
        <v>96</v>
      </c>
      <c r="G641" s="45" t="s">
        <v>97</v>
      </c>
      <c r="H641" s="50" t="s">
        <v>1</v>
      </c>
      <c r="I641" s="49">
        <v>46078</v>
      </c>
      <c r="J641" s="45" t="s">
        <v>220</v>
      </c>
      <c r="K641" s="45" t="s">
        <v>444</v>
      </c>
      <c r="L641" s="48" t="s">
        <v>231</v>
      </c>
      <c r="M641" s="47">
        <v>5</v>
      </c>
      <c r="N641" s="47">
        <v>5</v>
      </c>
      <c r="O641" s="46">
        <v>1</v>
      </c>
      <c r="Q641" s="45" t="s">
        <v>23</v>
      </c>
    </row>
    <row r="642" spans="4:17" hidden="1" x14ac:dyDescent="0.4">
      <c r="D642" s="45" t="s">
        <v>99</v>
      </c>
      <c r="E642" s="45" t="s">
        <v>100</v>
      </c>
      <c r="F642" s="45" t="s">
        <v>101</v>
      </c>
      <c r="G642" s="45" t="s">
        <v>102</v>
      </c>
      <c r="H642" s="50" t="s">
        <v>1</v>
      </c>
      <c r="I642" s="49">
        <v>46078</v>
      </c>
      <c r="J642" s="45" t="s">
        <v>220</v>
      </c>
      <c r="K642" s="45" t="s">
        <v>444</v>
      </c>
      <c r="L642" s="48" t="s">
        <v>226</v>
      </c>
      <c r="M642" s="47">
        <v>5</v>
      </c>
      <c r="N642" s="47">
        <v>5</v>
      </c>
      <c r="O642" s="46">
        <v>1</v>
      </c>
      <c r="Q642" s="45" t="s">
        <v>23</v>
      </c>
    </row>
    <row r="643" spans="4:17" hidden="1" x14ac:dyDescent="0.4">
      <c r="D643" s="45" t="s">
        <v>104</v>
      </c>
      <c r="E643" s="45" t="s">
        <v>86</v>
      </c>
      <c r="F643" s="45" t="s">
        <v>105</v>
      </c>
      <c r="G643" s="45" t="s">
        <v>106</v>
      </c>
      <c r="H643" s="50" t="s">
        <v>1</v>
      </c>
      <c r="I643" s="49">
        <v>46078</v>
      </c>
      <c r="J643" s="45" t="s">
        <v>220</v>
      </c>
      <c r="K643" s="45" t="s">
        <v>444</v>
      </c>
      <c r="L643" s="48" t="s">
        <v>232</v>
      </c>
      <c r="M643" s="47">
        <v>5</v>
      </c>
      <c r="N643" s="47">
        <v>5</v>
      </c>
      <c r="O643" s="46">
        <v>1</v>
      </c>
      <c r="Q643" s="45" t="s">
        <v>23</v>
      </c>
    </row>
    <row r="644" spans="4:17" hidden="1" x14ac:dyDescent="0.4">
      <c r="D644" s="45" t="s">
        <v>107</v>
      </c>
      <c r="E644" s="45" t="s">
        <v>108</v>
      </c>
      <c r="F644" s="45" t="s">
        <v>109</v>
      </c>
      <c r="G644" s="45" t="s">
        <v>110</v>
      </c>
      <c r="H644" s="50" t="s">
        <v>1</v>
      </c>
      <c r="I644" s="49">
        <v>46078</v>
      </c>
      <c r="J644" s="45" t="s">
        <v>220</v>
      </c>
      <c r="K644" s="45" t="s">
        <v>444</v>
      </c>
      <c r="L644" s="48" t="s">
        <v>233</v>
      </c>
      <c r="M644" s="47">
        <v>5</v>
      </c>
      <c r="N644" s="47">
        <v>5</v>
      </c>
      <c r="O644" s="46">
        <v>1</v>
      </c>
      <c r="Q644" s="45" t="s">
        <v>23</v>
      </c>
    </row>
    <row r="645" spans="4:17" hidden="1" x14ac:dyDescent="0.4">
      <c r="D645" s="45" t="s">
        <v>112</v>
      </c>
      <c r="E645" s="45" t="s">
        <v>113</v>
      </c>
      <c r="F645" s="45" t="s">
        <v>114</v>
      </c>
      <c r="G645" s="45" t="s">
        <v>115</v>
      </c>
      <c r="H645" s="50" t="s">
        <v>1</v>
      </c>
      <c r="I645" s="49">
        <v>46078</v>
      </c>
      <c r="J645" s="45" t="s">
        <v>220</v>
      </c>
      <c r="K645" s="45" t="s">
        <v>444</v>
      </c>
      <c r="L645" s="48" t="s">
        <v>225</v>
      </c>
      <c r="M645" s="47">
        <v>0</v>
      </c>
      <c r="N645" s="47">
        <v>5</v>
      </c>
      <c r="O645" s="46">
        <v>0</v>
      </c>
      <c r="Q645" s="45" t="s">
        <v>23</v>
      </c>
    </row>
    <row r="646" spans="4:17" hidden="1" x14ac:dyDescent="0.4">
      <c r="D646" s="45" t="s">
        <v>117</v>
      </c>
      <c r="E646" s="45" t="s">
        <v>118</v>
      </c>
      <c r="F646" s="45" t="s">
        <v>119</v>
      </c>
      <c r="G646" s="45" t="s">
        <v>120</v>
      </c>
      <c r="H646" s="50" t="s">
        <v>1</v>
      </c>
      <c r="I646" s="49">
        <v>46078</v>
      </c>
      <c r="J646" s="45" t="s">
        <v>220</v>
      </c>
      <c r="K646" s="45" t="s">
        <v>444</v>
      </c>
      <c r="L646" s="48" t="s">
        <v>233</v>
      </c>
      <c r="M646" s="47">
        <v>5</v>
      </c>
      <c r="N646" s="47">
        <v>5</v>
      </c>
      <c r="O646" s="46">
        <v>1</v>
      </c>
      <c r="Q646" s="45" t="s">
        <v>23</v>
      </c>
    </row>
    <row r="647" spans="4:17" hidden="1" x14ac:dyDescent="0.4">
      <c r="D647" s="45" t="s">
        <v>122</v>
      </c>
      <c r="E647" s="45" t="s">
        <v>123</v>
      </c>
      <c r="F647" s="45" t="s">
        <v>124</v>
      </c>
      <c r="G647" s="45" t="s">
        <v>125</v>
      </c>
      <c r="H647" s="50" t="s">
        <v>1</v>
      </c>
      <c r="I647" s="49">
        <v>46078</v>
      </c>
      <c r="J647" s="45" t="s">
        <v>220</v>
      </c>
      <c r="K647" s="45" t="s">
        <v>444</v>
      </c>
      <c r="L647" s="48" t="s">
        <v>226</v>
      </c>
      <c r="M647" s="47">
        <v>5</v>
      </c>
      <c r="N647" s="47">
        <v>5</v>
      </c>
      <c r="O647" s="46">
        <v>1</v>
      </c>
      <c r="Q647" s="45" t="s">
        <v>23</v>
      </c>
    </row>
    <row r="648" spans="4:17" hidden="1" x14ac:dyDescent="0.4">
      <c r="D648" s="45" t="s">
        <v>127</v>
      </c>
      <c r="E648" s="45" t="s">
        <v>128</v>
      </c>
      <c r="F648" s="45" t="s">
        <v>129</v>
      </c>
      <c r="G648" s="45" t="s">
        <v>130</v>
      </c>
      <c r="H648" s="50" t="s">
        <v>1</v>
      </c>
      <c r="I648" s="49">
        <v>46078</v>
      </c>
      <c r="J648" s="45" t="s">
        <v>220</v>
      </c>
      <c r="K648" s="45" t="s">
        <v>444</v>
      </c>
      <c r="L648" s="48" t="s">
        <v>229</v>
      </c>
      <c r="M648" s="47">
        <v>4.5</v>
      </c>
      <c r="N648" s="47">
        <v>5</v>
      </c>
      <c r="O648" s="46">
        <v>0.9</v>
      </c>
      <c r="Q648" s="45" t="s">
        <v>23</v>
      </c>
    </row>
    <row r="649" spans="4:17" hidden="1" x14ac:dyDescent="0.4">
      <c r="D649" s="45" t="s">
        <v>132</v>
      </c>
      <c r="E649" s="45" t="s">
        <v>133</v>
      </c>
      <c r="F649" s="45" t="s">
        <v>134</v>
      </c>
      <c r="G649" s="45" t="s">
        <v>135</v>
      </c>
      <c r="H649" s="50" t="s">
        <v>1</v>
      </c>
      <c r="I649" s="49">
        <v>46078</v>
      </c>
      <c r="J649" s="45" t="s">
        <v>220</v>
      </c>
      <c r="K649" s="45" t="s">
        <v>444</v>
      </c>
      <c r="L649" s="48" t="s">
        <v>229</v>
      </c>
      <c r="M649" s="47">
        <v>4.5</v>
      </c>
      <c r="N649" s="47">
        <v>5</v>
      </c>
      <c r="O649" s="46">
        <v>0.9</v>
      </c>
      <c r="Q649" s="45" t="s">
        <v>23</v>
      </c>
    </row>
    <row r="650" spans="4:17" hidden="1" x14ac:dyDescent="0.4">
      <c r="D650" s="45" t="s">
        <v>137</v>
      </c>
      <c r="E650" s="45" t="s">
        <v>138</v>
      </c>
      <c r="F650" s="45" t="s">
        <v>139</v>
      </c>
      <c r="G650" s="45" t="s">
        <v>140</v>
      </c>
      <c r="H650" s="50" t="s">
        <v>1</v>
      </c>
      <c r="I650" s="49">
        <v>46078</v>
      </c>
      <c r="J650" s="45" t="s">
        <v>220</v>
      </c>
      <c r="K650" s="45" t="s">
        <v>444</v>
      </c>
      <c r="L650" s="48" t="s">
        <v>234</v>
      </c>
      <c r="M650" s="47">
        <v>5</v>
      </c>
      <c r="N650" s="47">
        <v>5</v>
      </c>
      <c r="O650" s="46">
        <v>1</v>
      </c>
      <c r="Q650" s="45" t="s">
        <v>23</v>
      </c>
    </row>
    <row r="651" spans="4:17" hidden="1" x14ac:dyDescent="0.4">
      <c r="D651" s="45" t="s">
        <v>142</v>
      </c>
      <c r="E651" s="45" t="s">
        <v>143</v>
      </c>
      <c r="F651" s="45" t="s">
        <v>144</v>
      </c>
      <c r="G651" s="45" t="s">
        <v>145</v>
      </c>
      <c r="H651" s="50" t="s">
        <v>1</v>
      </c>
      <c r="I651" s="49">
        <v>46078</v>
      </c>
      <c r="J651" s="45" t="s">
        <v>220</v>
      </c>
      <c r="K651" s="45" t="s">
        <v>444</v>
      </c>
      <c r="L651" s="48" t="s">
        <v>234</v>
      </c>
      <c r="M651" s="47">
        <v>5</v>
      </c>
      <c r="N651" s="47">
        <v>5</v>
      </c>
      <c r="O651" s="46">
        <v>1</v>
      </c>
      <c r="Q651" s="45" t="s">
        <v>23</v>
      </c>
    </row>
    <row r="652" spans="4:17" hidden="1" x14ac:dyDescent="0.4">
      <c r="D652" s="45" t="s">
        <v>147</v>
      </c>
      <c r="E652" s="45" t="s">
        <v>148</v>
      </c>
      <c r="F652" s="45" t="s">
        <v>149</v>
      </c>
      <c r="G652" s="45" t="s">
        <v>150</v>
      </c>
      <c r="H652" s="50" t="s">
        <v>1</v>
      </c>
      <c r="I652" s="49">
        <v>46078</v>
      </c>
      <c r="J652" s="45" t="s">
        <v>220</v>
      </c>
      <c r="K652" s="45" t="s">
        <v>444</v>
      </c>
      <c r="L652" s="48" t="s">
        <v>235</v>
      </c>
      <c r="M652" s="47">
        <v>5</v>
      </c>
      <c r="N652" s="47">
        <v>5</v>
      </c>
      <c r="O652" s="46">
        <v>1</v>
      </c>
      <c r="Q652" s="45" t="s">
        <v>23</v>
      </c>
    </row>
    <row r="653" spans="4:17" hidden="1" x14ac:dyDescent="0.4">
      <c r="D653" s="45" t="s">
        <v>152</v>
      </c>
      <c r="E653" s="45" t="s">
        <v>66</v>
      </c>
      <c r="F653" s="45" t="s">
        <v>153</v>
      </c>
      <c r="G653" s="45" t="s">
        <v>154</v>
      </c>
      <c r="H653" s="50" t="s">
        <v>1</v>
      </c>
      <c r="I653" s="49">
        <v>46078</v>
      </c>
      <c r="J653" s="45" t="s">
        <v>220</v>
      </c>
      <c r="K653" s="45" t="s">
        <v>444</v>
      </c>
      <c r="L653" s="48" t="s">
        <v>225</v>
      </c>
      <c r="M653" s="47">
        <v>0</v>
      </c>
      <c r="N653" s="47">
        <v>5</v>
      </c>
      <c r="O653" s="46">
        <v>0</v>
      </c>
      <c r="Q653" s="45" t="s">
        <v>23</v>
      </c>
    </row>
    <row r="654" spans="4:17" hidden="1" x14ac:dyDescent="0.4">
      <c r="D654" s="45" t="s">
        <v>160</v>
      </c>
      <c r="E654" s="45" t="s">
        <v>81</v>
      </c>
      <c r="F654" s="45" t="s">
        <v>161</v>
      </c>
      <c r="G654" s="45" t="s">
        <v>162</v>
      </c>
      <c r="H654" s="50" t="s">
        <v>1</v>
      </c>
      <c r="I654" s="49">
        <v>46078</v>
      </c>
      <c r="J654" s="45" t="s">
        <v>220</v>
      </c>
      <c r="K654" s="45" t="s">
        <v>444</v>
      </c>
      <c r="L654" s="48" t="s">
        <v>231</v>
      </c>
      <c r="M654" s="47">
        <v>5</v>
      </c>
      <c r="N654" s="47">
        <v>5</v>
      </c>
      <c r="O654" s="46">
        <v>1</v>
      </c>
      <c r="Q654" s="45" t="s">
        <v>23</v>
      </c>
    </row>
    <row r="655" spans="4:17" hidden="1" x14ac:dyDescent="0.4">
      <c r="D655" s="45" t="s">
        <v>163</v>
      </c>
      <c r="E655" s="45" t="s">
        <v>164</v>
      </c>
      <c r="F655" s="45" t="s">
        <v>165</v>
      </c>
      <c r="G655" s="45" t="s">
        <v>166</v>
      </c>
      <c r="H655" s="50" t="s">
        <v>1</v>
      </c>
      <c r="I655" s="49">
        <v>46078</v>
      </c>
      <c r="J655" s="45" t="s">
        <v>220</v>
      </c>
      <c r="K655" s="45" t="s">
        <v>444</v>
      </c>
      <c r="L655" s="48" t="s">
        <v>224</v>
      </c>
      <c r="M655" s="47">
        <v>4.2</v>
      </c>
      <c r="N655" s="47">
        <v>5</v>
      </c>
      <c r="O655" s="46">
        <v>0.84000000000000008</v>
      </c>
      <c r="Q655" s="45" t="s">
        <v>23</v>
      </c>
    </row>
    <row r="656" spans="4:17" hidden="1" x14ac:dyDescent="0.4">
      <c r="D656" s="45" t="s">
        <v>168</v>
      </c>
      <c r="E656" s="45" t="s">
        <v>169</v>
      </c>
      <c r="F656" s="45" t="s">
        <v>170</v>
      </c>
      <c r="G656" s="45" t="s">
        <v>171</v>
      </c>
      <c r="H656" s="50" t="s">
        <v>1</v>
      </c>
      <c r="I656" s="49">
        <v>46078</v>
      </c>
      <c r="J656" s="45" t="s">
        <v>220</v>
      </c>
      <c r="K656" s="45" t="s">
        <v>444</v>
      </c>
      <c r="L656" s="48" t="s">
        <v>228</v>
      </c>
      <c r="M656" s="47">
        <v>5</v>
      </c>
      <c r="N656" s="47">
        <v>5</v>
      </c>
      <c r="O656" s="46">
        <v>1</v>
      </c>
      <c r="Q656" s="45" t="s">
        <v>23</v>
      </c>
    </row>
    <row r="657" spans="4:17" hidden="1" x14ac:dyDescent="0.4">
      <c r="D657" s="45" t="s">
        <v>173</v>
      </c>
      <c r="E657" s="45" t="s">
        <v>174</v>
      </c>
      <c r="F657" s="45" t="s">
        <v>175</v>
      </c>
      <c r="G657" s="45" t="s">
        <v>176</v>
      </c>
      <c r="H657" s="50" t="s">
        <v>1</v>
      </c>
      <c r="I657" s="49">
        <v>46078</v>
      </c>
      <c r="J657" s="45" t="s">
        <v>220</v>
      </c>
      <c r="K657" s="45" t="s">
        <v>444</v>
      </c>
      <c r="L657" s="48" t="s">
        <v>221</v>
      </c>
      <c r="M657" s="47">
        <v>5</v>
      </c>
      <c r="N657" s="47">
        <v>5</v>
      </c>
      <c r="O657" s="46">
        <v>1</v>
      </c>
      <c r="Q657" s="45" t="s">
        <v>23</v>
      </c>
    </row>
    <row r="658" spans="4:17" hidden="1" x14ac:dyDescent="0.4">
      <c r="D658" s="45" t="s">
        <v>178</v>
      </c>
      <c r="E658" s="45" t="s">
        <v>179</v>
      </c>
      <c r="F658" s="45" t="s">
        <v>180</v>
      </c>
      <c r="G658" s="45" t="s">
        <v>181</v>
      </c>
      <c r="H658" s="50" t="s">
        <v>1</v>
      </c>
      <c r="I658" s="49">
        <v>46078</v>
      </c>
      <c r="J658" s="45" t="s">
        <v>220</v>
      </c>
      <c r="K658" s="45" t="s">
        <v>444</v>
      </c>
      <c r="L658" s="48" t="s">
        <v>235</v>
      </c>
      <c r="M658" s="47">
        <v>5</v>
      </c>
      <c r="N658" s="47">
        <v>5</v>
      </c>
      <c r="O658" s="46">
        <v>1</v>
      </c>
      <c r="Q658" s="45" t="s">
        <v>23</v>
      </c>
    </row>
    <row r="659" spans="4:17" hidden="1" x14ac:dyDescent="0.4">
      <c r="D659" s="45" t="s">
        <v>187</v>
      </c>
      <c r="E659" s="45" t="s">
        <v>188</v>
      </c>
      <c r="F659" s="45" t="s">
        <v>189</v>
      </c>
      <c r="G659" s="45" t="s">
        <v>190</v>
      </c>
      <c r="H659" s="50" t="s">
        <v>1</v>
      </c>
      <c r="I659" s="49">
        <v>46078</v>
      </c>
      <c r="J659" s="45" t="s">
        <v>220</v>
      </c>
      <c r="K659" s="45" t="s">
        <v>444</v>
      </c>
      <c r="L659" s="48" t="s">
        <v>236</v>
      </c>
      <c r="M659" s="47">
        <v>5</v>
      </c>
      <c r="N659" s="47">
        <v>5</v>
      </c>
      <c r="O659" s="46">
        <v>1</v>
      </c>
      <c r="Q659" s="45" t="s">
        <v>23</v>
      </c>
    </row>
    <row r="660" spans="4:17" hidden="1" x14ac:dyDescent="0.4">
      <c r="D660" s="45" t="s">
        <v>192</v>
      </c>
      <c r="E660" s="45" t="s">
        <v>193</v>
      </c>
      <c r="F660" s="45" t="s">
        <v>194</v>
      </c>
      <c r="G660" s="45" t="s">
        <v>195</v>
      </c>
      <c r="H660" s="50" t="s">
        <v>1</v>
      </c>
      <c r="I660" s="49">
        <v>46078</v>
      </c>
      <c r="J660" s="45" t="s">
        <v>220</v>
      </c>
      <c r="K660" s="45" t="s">
        <v>444</v>
      </c>
      <c r="L660" s="48" t="s">
        <v>236</v>
      </c>
      <c r="M660" s="47">
        <v>5</v>
      </c>
      <c r="N660" s="47">
        <v>5</v>
      </c>
      <c r="O660" s="46">
        <v>1</v>
      </c>
      <c r="Q660" s="45" t="s">
        <v>23</v>
      </c>
    </row>
    <row r="661" spans="4:17" hidden="1" x14ac:dyDescent="0.4">
      <c r="D661" s="45" t="s">
        <v>197</v>
      </c>
      <c r="E661" s="45" t="s">
        <v>198</v>
      </c>
      <c r="F661" s="45" t="s">
        <v>199</v>
      </c>
      <c r="G661" s="45" t="s">
        <v>200</v>
      </c>
      <c r="H661" s="50" t="s">
        <v>1</v>
      </c>
      <c r="I661" s="49">
        <v>46078</v>
      </c>
      <c r="J661" s="45" t="s">
        <v>220</v>
      </c>
      <c r="K661" s="45" t="s">
        <v>444</v>
      </c>
      <c r="L661" s="48" t="s">
        <v>231</v>
      </c>
      <c r="M661" s="47">
        <v>5</v>
      </c>
      <c r="N661" s="47">
        <v>5</v>
      </c>
      <c r="O661" s="46">
        <v>1</v>
      </c>
      <c r="Q661" s="45" t="s">
        <v>23</v>
      </c>
    </row>
    <row r="662" spans="4:17" hidden="1" x14ac:dyDescent="0.4">
      <c r="D662" s="45" t="s">
        <v>201</v>
      </c>
      <c r="E662" s="45" t="s">
        <v>143</v>
      </c>
      <c r="F662" s="45" t="s">
        <v>202</v>
      </c>
      <c r="G662" s="45" t="s">
        <v>203</v>
      </c>
      <c r="H662" s="50" t="s">
        <v>1</v>
      </c>
      <c r="I662" s="49">
        <v>46078</v>
      </c>
      <c r="J662" s="45" t="s">
        <v>220</v>
      </c>
      <c r="K662" s="45" t="s">
        <v>444</v>
      </c>
      <c r="L662" s="48" t="s">
        <v>225</v>
      </c>
      <c r="M662" s="47">
        <v>0</v>
      </c>
      <c r="N662" s="47">
        <v>5</v>
      </c>
      <c r="O662" s="46">
        <v>0</v>
      </c>
      <c r="Q662" s="45" t="s">
        <v>23</v>
      </c>
    </row>
    <row r="663" spans="4:17" hidden="1" x14ac:dyDescent="0.4">
      <c r="D663" s="45" t="s">
        <v>205</v>
      </c>
      <c r="E663" s="45" t="s">
        <v>206</v>
      </c>
      <c r="F663" s="45" t="s">
        <v>207</v>
      </c>
      <c r="G663" s="45" t="s">
        <v>208</v>
      </c>
      <c r="H663" s="50" t="s">
        <v>1</v>
      </c>
      <c r="I663" s="49">
        <v>46078</v>
      </c>
      <c r="J663" s="45" t="s">
        <v>220</v>
      </c>
      <c r="K663" s="45" t="s">
        <v>444</v>
      </c>
      <c r="L663" s="48" t="s">
        <v>236</v>
      </c>
      <c r="M663" s="47">
        <v>5</v>
      </c>
      <c r="N663" s="47">
        <v>5</v>
      </c>
      <c r="O663" s="46">
        <v>1</v>
      </c>
      <c r="Q663" s="45" t="s">
        <v>23</v>
      </c>
    </row>
    <row r="664" spans="4:17" hidden="1" x14ac:dyDescent="0.4">
      <c r="D664" s="45" t="s">
        <v>210</v>
      </c>
      <c r="E664" s="45" t="s">
        <v>211</v>
      </c>
      <c r="F664" s="45" t="s">
        <v>212</v>
      </c>
      <c r="G664" s="45" t="s">
        <v>213</v>
      </c>
      <c r="H664" s="50" t="s">
        <v>1</v>
      </c>
      <c r="I664" s="49">
        <v>46078</v>
      </c>
      <c r="J664" s="45" t="s">
        <v>220</v>
      </c>
      <c r="K664" s="45" t="s">
        <v>444</v>
      </c>
      <c r="L664" s="48" t="s">
        <v>225</v>
      </c>
      <c r="M664" s="47">
        <v>0</v>
      </c>
      <c r="N664" s="47">
        <v>5</v>
      </c>
      <c r="O664" s="46">
        <v>0</v>
      </c>
      <c r="Q664" s="45" t="s">
        <v>23</v>
      </c>
    </row>
    <row r="665" spans="4:17" hidden="1" x14ac:dyDescent="0.4">
      <c r="D665" s="45" t="s">
        <v>215</v>
      </c>
      <c r="E665" s="45" t="s">
        <v>216</v>
      </c>
      <c r="F665" s="45" t="s">
        <v>217</v>
      </c>
      <c r="G665" s="45" t="s">
        <v>218</v>
      </c>
      <c r="H665" s="50" t="s">
        <v>1</v>
      </c>
      <c r="I665" s="49">
        <v>46078</v>
      </c>
      <c r="J665" s="45" t="s">
        <v>220</v>
      </c>
      <c r="K665" s="45" t="s">
        <v>444</v>
      </c>
      <c r="L665" s="48" t="s">
        <v>233</v>
      </c>
      <c r="M665" s="47">
        <v>5</v>
      </c>
      <c r="N665" s="47">
        <v>5</v>
      </c>
      <c r="O665" s="46">
        <v>1</v>
      </c>
      <c r="Q665" s="45" t="s">
        <v>23</v>
      </c>
    </row>
    <row r="666" spans="4:17" hidden="1" x14ac:dyDescent="0.4">
      <c r="D666" s="45" t="s">
        <v>24</v>
      </c>
      <c r="E666" s="45" t="s">
        <v>25</v>
      </c>
      <c r="F666" s="45" t="s">
        <v>26</v>
      </c>
      <c r="G666" s="45" t="s">
        <v>27</v>
      </c>
      <c r="H666" s="50" t="s">
        <v>2</v>
      </c>
      <c r="I666" s="49">
        <v>46078</v>
      </c>
      <c r="J666" s="45" t="s">
        <v>220</v>
      </c>
      <c r="K666" s="45" t="s">
        <v>444</v>
      </c>
      <c r="L666" s="48" t="s">
        <v>237</v>
      </c>
      <c r="M666" s="47">
        <v>5</v>
      </c>
      <c r="N666" s="47">
        <v>5</v>
      </c>
      <c r="O666" s="46">
        <v>1</v>
      </c>
      <c r="Q666" s="45" t="s">
        <v>23</v>
      </c>
    </row>
    <row r="667" spans="4:17" hidden="1" x14ac:dyDescent="0.4">
      <c r="D667" s="45" t="s">
        <v>31</v>
      </c>
      <c r="E667" s="45" t="s">
        <v>32</v>
      </c>
      <c r="F667" s="45" t="s">
        <v>33</v>
      </c>
      <c r="G667" s="45" t="s">
        <v>34</v>
      </c>
      <c r="H667" s="50" t="s">
        <v>2</v>
      </c>
      <c r="I667" s="49">
        <v>46078</v>
      </c>
      <c r="J667" s="45" t="s">
        <v>220</v>
      </c>
      <c r="K667" s="45" t="s">
        <v>444</v>
      </c>
      <c r="L667" s="48" t="s">
        <v>238</v>
      </c>
      <c r="M667" s="47">
        <v>1</v>
      </c>
      <c r="N667" s="47">
        <v>5</v>
      </c>
      <c r="O667" s="46">
        <v>0.2</v>
      </c>
      <c r="Q667" s="45" t="s">
        <v>23</v>
      </c>
    </row>
    <row r="668" spans="4:17" hidden="1" x14ac:dyDescent="0.4">
      <c r="D668" s="45" t="s">
        <v>36</v>
      </c>
      <c r="E668" s="45" t="s">
        <v>37</v>
      </c>
      <c r="F668" s="45" t="s">
        <v>38</v>
      </c>
      <c r="G668" s="45" t="s">
        <v>39</v>
      </c>
      <c r="H668" s="50" t="s">
        <v>2</v>
      </c>
      <c r="I668" s="49">
        <v>46078</v>
      </c>
      <c r="J668" s="45" t="s">
        <v>220</v>
      </c>
      <c r="K668" s="45" t="s">
        <v>444</v>
      </c>
      <c r="L668" s="48" t="s">
        <v>239</v>
      </c>
      <c r="M668" s="47">
        <v>3</v>
      </c>
      <c r="N668" s="47">
        <v>5</v>
      </c>
      <c r="O668" s="46">
        <v>0.6</v>
      </c>
      <c r="Q668" s="45" t="s">
        <v>23</v>
      </c>
    </row>
    <row r="669" spans="4:17" hidden="1" x14ac:dyDescent="0.4">
      <c r="D669" s="45" t="s">
        <v>41</v>
      </c>
      <c r="E669" s="45" t="s">
        <v>42</v>
      </c>
      <c r="F669" s="45" t="s">
        <v>43</v>
      </c>
      <c r="G669" s="45" t="s">
        <v>44</v>
      </c>
      <c r="H669" s="50" t="s">
        <v>2</v>
      </c>
      <c r="I669" s="49">
        <v>46078</v>
      </c>
      <c r="J669" s="45" t="s">
        <v>220</v>
      </c>
      <c r="K669" s="45" t="s">
        <v>444</v>
      </c>
      <c r="L669" s="48" t="s">
        <v>240</v>
      </c>
      <c r="M669" s="47">
        <v>5</v>
      </c>
      <c r="N669" s="47">
        <v>5</v>
      </c>
      <c r="O669" s="46">
        <v>1</v>
      </c>
      <c r="Q669" s="45" t="s">
        <v>23</v>
      </c>
    </row>
    <row r="670" spans="4:17" hidden="1" x14ac:dyDescent="0.4">
      <c r="D670" s="45" t="s">
        <v>46</v>
      </c>
      <c r="E670" s="45" t="s">
        <v>47</v>
      </c>
      <c r="F670" s="45" t="s">
        <v>48</v>
      </c>
      <c r="G670" s="45" t="s">
        <v>49</v>
      </c>
      <c r="H670" s="50" t="s">
        <v>2</v>
      </c>
      <c r="I670" s="49">
        <v>46078</v>
      </c>
      <c r="J670" s="45" t="s">
        <v>220</v>
      </c>
      <c r="K670" s="45" t="s">
        <v>444</v>
      </c>
      <c r="L670" s="48" t="s">
        <v>240</v>
      </c>
      <c r="M670" s="47">
        <v>5</v>
      </c>
      <c r="N670" s="47">
        <v>5</v>
      </c>
      <c r="O670" s="46">
        <v>1</v>
      </c>
      <c r="Q670" s="45" t="s">
        <v>23</v>
      </c>
    </row>
    <row r="671" spans="4:17" hidden="1" x14ac:dyDescent="0.4">
      <c r="D671" s="45" t="s">
        <v>51</v>
      </c>
      <c r="E671" s="45" t="s">
        <v>52</v>
      </c>
      <c r="F671" s="45" t="s">
        <v>53</v>
      </c>
      <c r="G671" s="45" t="s">
        <v>54</v>
      </c>
      <c r="H671" s="50" t="s">
        <v>2</v>
      </c>
      <c r="I671" s="49">
        <v>46078</v>
      </c>
      <c r="J671" s="45" t="s">
        <v>220</v>
      </c>
      <c r="K671" s="45" t="s">
        <v>444</v>
      </c>
      <c r="L671" s="48" t="s">
        <v>225</v>
      </c>
      <c r="M671" s="47">
        <v>0</v>
      </c>
      <c r="N671" s="47">
        <v>5</v>
      </c>
      <c r="O671" s="46">
        <v>0</v>
      </c>
      <c r="Q671" s="45" t="s">
        <v>23</v>
      </c>
    </row>
    <row r="672" spans="4:17" hidden="1" x14ac:dyDescent="0.4">
      <c r="D672" s="45" t="s">
        <v>56</v>
      </c>
      <c r="E672" s="45" t="s">
        <v>52</v>
      </c>
      <c r="F672" s="45" t="s">
        <v>57</v>
      </c>
      <c r="G672" s="45" t="s">
        <v>58</v>
      </c>
      <c r="H672" s="50" t="s">
        <v>2</v>
      </c>
      <c r="I672" s="49">
        <v>46078</v>
      </c>
      <c r="J672" s="45" t="s">
        <v>220</v>
      </c>
      <c r="K672" s="45" t="s">
        <v>444</v>
      </c>
      <c r="L672" s="48" t="s">
        <v>241</v>
      </c>
      <c r="M672" s="47">
        <v>5</v>
      </c>
      <c r="N672" s="47">
        <v>5</v>
      </c>
      <c r="O672" s="46">
        <v>1</v>
      </c>
      <c r="Q672" s="45" t="s">
        <v>23</v>
      </c>
    </row>
    <row r="673" spans="4:17" hidden="1" x14ac:dyDescent="0.4">
      <c r="D673" s="45" t="s">
        <v>60</v>
      </c>
      <c r="E673" s="45" t="s">
        <v>61</v>
      </c>
      <c r="F673" s="45" t="s">
        <v>62</v>
      </c>
      <c r="G673" s="45" t="s">
        <v>63</v>
      </c>
      <c r="H673" s="50" t="s">
        <v>2</v>
      </c>
      <c r="I673" s="49">
        <v>46078</v>
      </c>
      <c r="J673" s="45" t="s">
        <v>220</v>
      </c>
      <c r="K673" s="45" t="s">
        <v>444</v>
      </c>
      <c r="L673" s="48" t="s">
        <v>242</v>
      </c>
      <c r="M673" s="47">
        <v>3.5</v>
      </c>
      <c r="N673" s="47">
        <v>5</v>
      </c>
      <c r="O673" s="46">
        <v>0.7</v>
      </c>
      <c r="Q673" s="45" t="s">
        <v>23</v>
      </c>
    </row>
    <row r="674" spans="4:17" hidden="1" x14ac:dyDescent="0.4">
      <c r="D674" s="45" t="s">
        <v>65</v>
      </c>
      <c r="E674" s="45" t="s">
        <v>66</v>
      </c>
      <c r="F674" s="45" t="s">
        <v>67</v>
      </c>
      <c r="G674" s="45" t="s">
        <v>68</v>
      </c>
      <c r="H674" s="50" t="s">
        <v>2</v>
      </c>
      <c r="I674" s="49">
        <v>46078</v>
      </c>
      <c r="J674" s="45" t="s">
        <v>220</v>
      </c>
      <c r="K674" s="45" t="s">
        <v>444</v>
      </c>
      <c r="L674" s="48" t="s">
        <v>243</v>
      </c>
      <c r="M674" s="47">
        <v>5</v>
      </c>
      <c r="N674" s="47">
        <v>5</v>
      </c>
      <c r="O674" s="46">
        <v>1</v>
      </c>
      <c r="Q674" s="45" t="s">
        <v>23</v>
      </c>
    </row>
    <row r="675" spans="4:17" hidden="1" x14ac:dyDescent="0.4">
      <c r="D675" s="45" t="s">
        <v>70</v>
      </c>
      <c r="E675" s="45" t="s">
        <v>71</v>
      </c>
      <c r="F675" s="45" t="s">
        <v>72</v>
      </c>
      <c r="G675" s="45" t="s">
        <v>73</v>
      </c>
      <c r="H675" s="50" t="s">
        <v>2</v>
      </c>
      <c r="I675" s="49">
        <v>46078</v>
      </c>
      <c r="J675" s="45" t="s">
        <v>220</v>
      </c>
      <c r="K675" s="45" t="s">
        <v>444</v>
      </c>
      <c r="L675" s="48" t="s">
        <v>243</v>
      </c>
      <c r="M675" s="47">
        <v>5</v>
      </c>
      <c r="N675" s="47">
        <v>5</v>
      </c>
      <c r="O675" s="46">
        <v>1</v>
      </c>
      <c r="Q675" s="45" t="s">
        <v>23</v>
      </c>
    </row>
    <row r="676" spans="4:17" hidden="1" x14ac:dyDescent="0.4">
      <c r="D676" s="45" t="s">
        <v>75</v>
      </c>
      <c r="E676" s="45" t="s">
        <v>76</v>
      </c>
      <c r="F676" s="45" t="s">
        <v>77</v>
      </c>
      <c r="G676" s="45" t="s">
        <v>78</v>
      </c>
      <c r="H676" s="50" t="s">
        <v>2</v>
      </c>
      <c r="I676" s="49">
        <v>46078</v>
      </c>
      <c r="J676" s="45" t="s">
        <v>220</v>
      </c>
      <c r="K676" s="45" t="s">
        <v>444</v>
      </c>
      <c r="L676" s="48" t="s">
        <v>244</v>
      </c>
      <c r="M676" s="47">
        <v>5</v>
      </c>
      <c r="N676" s="47">
        <v>5</v>
      </c>
      <c r="O676" s="46">
        <v>1</v>
      </c>
      <c r="Q676" s="45" t="s">
        <v>23</v>
      </c>
    </row>
    <row r="677" spans="4:17" hidden="1" x14ac:dyDescent="0.4">
      <c r="D677" s="45" t="s">
        <v>80</v>
      </c>
      <c r="E677" s="45" t="s">
        <v>81</v>
      </c>
      <c r="F677" s="45" t="s">
        <v>82</v>
      </c>
      <c r="G677" s="45" t="s">
        <v>83</v>
      </c>
      <c r="H677" s="50" t="s">
        <v>2</v>
      </c>
      <c r="I677" s="49">
        <v>46078</v>
      </c>
      <c r="J677" s="45" t="s">
        <v>220</v>
      </c>
      <c r="K677" s="45" t="s">
        <v>444</v>
      </c>
      <c r="L677" s="48" t="s">
        <v>245</v>
      </c>
      <c r="M677" s="47">
        <v>5</v>
      </c>
      <c r="N677" s="47">
        <v>5</v>
      </c>
      <c r="O677" s="46">
        <v>1</v>
      </c>
      <c r="Q677" s="45" t="s">
        <v>23</v>
      </c>
    </row>
    <row r="678" spans="4:17" hidden="1" x14ac:dyDescent="0.4">
      <c r="D678" s="45" t="s">
        <v>85</v>
      </c>
      <c r="E678" s="45" t="s">
        <v>86</v>
      </c>
      <c r="F678" s="45" t="s">
        <v>87</v>
      </c>
      <c r="G678" s="45" t="s">
        <v>88</v>
      </c>
      <c r="H678" s="50" t="s">
        <v>2</v>
      </c>
      <c r="I678" s="49">
        <v>46078</v>
      </c>
      <c r="J678" s="45" t="s">
        <v>220</v>
      </c>
      <c r="K678" s="45" t="s">
        <v>444</v>
      </c>
      <c r="L678" s="48" t="s">
        <v>246</v>
      </c>
      <c r="M678" s="47">
        <v>5</v>
      </c>
      <c r="N678" s="47">
        <v>5</v>
      </c>
      <c r="O678" s="46">
        <v>1</v>
      </c>
      <c r="Q678" s="45" t="s">
        <v>23</v>
      </c>
    </row>
    <row r="679" spans="4:17" hidden="1" x14ac:dyDescent="0.4">
      <c r="D679" s="45" t="s">
        <v>89</v>
      </c>
      <c r="E679" s="45" t="s">
        <v>90</v>
      </c>
      <c r="F679" s="45" t="s">
        <v>91</v>
      </c>
      <c r="G679" s="45" t="s">
        <v>92</v>
      </c>
      <c r="H679" s="50" t="s">
        <v>2</v>
      </c>
      <c r="I679" s="49">
        <v>46078</v>
      </c>
      <c r="J679" s="45" t="s">
        <v>220</v>
      </c>
      <c r="K679" s="45" t="s">
        <v>444</v>
      </c>
      <c r="L679" s="48" t="s">
        <v>247</v>
      </c>
      <c r="M679" s="47">
        <v>1</v>
      </c>
      <c r="N679" s="47">
        <v>5</v>
      </c>
      <c r="O679" s="46">
        <v>0.2</v>
      </c>
      <c r="Q679" s="45" t="s">
        <v>23</v>
      </c>
    </row>
    <row r="680" spans="4:17" hidden="1" x14ac:dyDescent="0.4">
      <c r="D680" s="45" t="s">
        <v>94</v>
      </c>
      <c r="E680" s="45" t="s">
        <v>95</v>
      </c>
      <c r="F680" s="45" t="s">
        <v>96</v>
      </c>
      <c r="G680" s="45" t="s">
        <v>97</v>
      </c>
      <c r="H680" s="50" t="s">
        <v>2</v>
      </c>
      <c r="I680" s="49">
        <v>46078</v>
      </c>
      <c r="J680" s="45" t="s">
        <v>220</v>
      </c>
      <c r="K680" s="45" t="s">
        <v>444</v>
      </c>
      <c r="L680" s="48" t="s">
        <v>248</v>
      </c>
      <c r="M680" s="47">
        <v>5</v>
      </c>
      <c r="N680" s="47">
        <v>5</v>
      </c>
      <c r="O680" s="46">
        <v>1</v>
      </c>
      <c r="Q680" s="45" t="s">
        <v>23</v>
      </c>
    </row>
    <row r="681" spans="4:17" hidden="1" x14ac:dyDescent="0.4">
      <c r="D681" s="45" t="s">
        <v>99</v>
      </c>
      <c r="E681" s="45" t="s">
        <v>100</v>
      </c>
      <c r="F681" s="45" t="s">
        <v>101</v>
      </c>
      <c r="G681" s="45" t="s">
        <v>102</v>
      </c>
      <c r="H681" s="50" t="s">
        <v>2</v>
      </c>
      <c r="I681" s="49">
        <v>46078</v>
      </c>
      <c r="J681" s="45" t="s">
        <v>220</v>
      </c>
      <c r="K681" s="45" t="s">
        <v>444</v>
      </c>
      <c r="L681" s="48" t="s">
        <v>241</v>
      </c>
      <c r="M681" s="47">
        <v>5</v>
      </c>
      <c r="N681" s="47">
        <v>5</v>
      </c>
      <c r="O681" s="46">
        <v>1</v>
      </c>
      <c r="Q681" s="45" t="s">
        <v>23</v>
      </c>
    </row>
    <row r="682" spans="4:17" hidden="1" x14ac:dyDescent="0.4">
      <c r="D682" s="45" t="s">
        <v>104</v>
      </c>
      <c r="E682" s="45" t="s">
        <v>86</v>
      </c>
      <c r="F682" s="45" t="s">
        <v>105</v>
      </c>
      <c r="G682" s="45" t="s">
        <v>106</v>
      </c>
      <c r="H682" s="50" t="s">
        <v>2</v>
      </c>
      <c r="I682" s="49">
        <v>46078</v>
      </c>
      <c r="J682" s="45" t="s">
        <v>220</v>
      </c>
      <c r="K682" s="45" t="s">
        <v>444</v>
      </c>
      <c r="L682" s="48" t="s">
        <v>246</v>
      </c>
      <c r="M682" s="47">
        <v>5</v>
      </c>
      <c r="N682" s="47">
        <v>5</v>
      </c>
      <c r="O682" s="46">
        <v>1</v>
      </c>
      <c r="Q682" s="45" t="s">
        <v>23</v>
      </c>
    </row>
    <row r="683" spans="4:17" hidden="1" x14ac:dyDescent="0.4">
      <c r="D683" s="45" t="s">
        <v>107</v>
      </c>
      <c r="E683" s="45" t="s">
        <v>108</v>
      </c>
      <c r="F683" s="45" t="s">
        <v>109</v>
      </c>
      <c r="G683" s="45" t="s">
        <v>110</v>
      </c>
      <c r="H683" s="50" t="s">
        <v>2</v>
      </c>
      <c r="I683" s="49">
        <v>46078</v>
      </c>
      <c r="J683" s="45" t="s">
        <v>220</v>
      </c>
      <c r="K683" s="45" t="s">
        <v>444</v>
      </c>
      <c r="L683" s="48" t="s">
        <v>249</v>
      </c>
      <c r="M683" s="47">
        <v>5</v>
      </c>
      <c r="N683" s="47">
        <v>5</v>
      </c>
      <c r="O683" s="46">
        <v>1</v>
      </c>
      <c r="Q683" s="45" t="s">
        <v>23</v>
      </c>
    </row>
    <row r="684" spans="4:17" hidden="1" x14ac:dyDescent="0.4">
      <c r="D684" s="45" t="s">
        <v>112</v>
      </c>
      <c r="E684" s="45" t="s">
        <v>113</v>
      </c>
      <c r="F684" s="45" t="s">
        <v>114</v>
      </c>
      <c r="G684" s="45" t="s">
        <v>115</v>
      </c>
      <c r="H684" s="50" t="s">
        <v>2</v>
      </c>
      <c r="I684" s="49">
        <v>46078</v>
      </c>
      <c r="J684" s="45" t="s">
        <v>220</v>
      </c>
      <c r="K684" s="45" t="s">
        <v>444</v>
      </c>
      <c r="L684" s="48" t="s">
        <v>250</v>
      </c>
      <c r="M684" s="47">
        <v>2</v>
      </c>
      <c r="N684" s="47">
        <v>5</v>
      </c>
      <c r="O684" s="46">
        <v>0.4</v>
      </c>
      <c r="Q684" s="45" t="s">
        <v>23</v>
      </c>
    </row>
    <row r="685" spans="4:17" hidden="1" x14ac:dyDescent="0.4">
      <c r="D685" s="45" t="s">
        <v>117</v>
      </c>
      <c r="E685" s="45" t="s">
        <v>118</v>
      </c>
      <c r="F685" s="45" t="s">
        <v>119</v>
      </c>
      <c r="G685" s="45" t="s">
        <v>120</v>
      </c>
      <c r="H685" s="50" t="s">
        <v>2</v>
      </c>
      <c r="I685" s="49">
        <v>46078</v>
      </c>
      <c r="J685" s="45" t="s">
        <v>220</v>
      </c>
      <c r="K685" s="45" t="s">
        <v>444</v>
      </c>
      <c r="L685" s="48" t="s">
        <v>249</v>
      </c>
      <c r="M685" s="47">
        <v>5</v>
      </c>
      <c r="N685" s="47">
        <v>5</v>
      </c>
      <c r="O685" s="46">
        <v>1</v>
      </c>
      <c r="Q685" s="45" t="s">
        <v>23</v>
      </c>
    </row>
    <row r="686" spans="4:17" hidden="1" x14ac:dyDescent="0.4">
      <c r="D686" s="45" t="s">
        <v>122</v>
      </c>
      <c r="E686" s="45" t="s">
        <v>123</v>
      </c>
      <c r="F686" s="45" t="s">
        <v>124</v>
      </c>
      <c r="G686" s="45" t="s">
        <v>125</v>
      </c>
      <c r="H686" s="50" t="s">
        <v>2</v>
      </c>
      <c r="I686" s="49">
        <v>46078</v>
      </c>
      <c r="J686" s="45" t="s">
        <v>220</v>
      </c>
      <c r="K686" s="45" t="s">
        <v>444</v>
      </c>
      <c r="L686" s="48" t="s">
        <v>241</v>
      </c>
      <c r="M686" s="47">
        <v>5</v>
      </c>
      <c r="N686" s="47">
        <v>5</v>
      </c>
      <c r="O686" s="46">
        <v>1</v>
      </c>
      <c r="Q686" s="45" t="s">
        <v>23</v>
      </c>
    </row>
    <row r="687" spans="4:17" hidden="1" x14ac:dyDescent="0.4">
      <c r="D687" s="45" t="s">
        <v>127</v>
      </c>
      <c r="E687" s="45" t="s">
        <v>128</v>
      </c>
      <c r="F687" s="45" t="s">
        <v>129</v>
      </c>
      <c r="G687" s="45" t="s">
        <v>130</v>
      </c>
      <c r="H687" s="50" t="s">
        <v>2</v>
      </c>
      <c r="I687" s="49">
        <v>46078</v>
      </c>
      <c r="J687" s="45" t="s">
        <v>220</v>
      </c>
      <c r="K687" s="45" t="s">
        <v>444</v>
      </c>
      <c r="L687" s="48" t="s">
        <v>225</v>
      </c>
      <c r="M687" s="47">
        <v>0</v>
      </c>
      <c r="N687" s="47">
        <v>5</v>
      </c>
      <c r="O687" s="46">
        <v>0</v>
      </c>
      <c r="Q687" s="45" t="s">
        <v>23</v>
      </c>
    </row>
    <row r="688" spans="4:17" hidden="1" x14ac:dyDescent="0.4">
      <c r="D688" s="45" t="s">
        <v>132</v>
      </c>
      <c r="E688" s="45" t="s">
        <v>133</v>
      </c>
      <c r="F688" s="45" t="s">
        <v>134</v>
      </c>
      <c r="G688" s="45" t="s">
        <v>135</v>
      </c>
      <c r="H688" s="50" t="s">
        <v>2</v>
      </c>
      <c r="I688" s="49">
        <v>46078</v>
      </c>
      <c r="J688" s="45" t="s">
        <v>220</v>
      </c>
      <c r="K688" s="45" t="s">
        <v>444</v>
      </c>
      <c r="L688" s="48" t="s">
        <v>225</v>
      </c>
      <c r="M688" s="47">
        <v>0</v>
      </c>
      <c r="N688" s="47">
        <v>5</v>
      </c>
      <c r="O688" s="46">
        <v>0</v>
      </c>
      <c r="Q688" s="45" t="s">
        <v>23</v>
      </c>
    </row>
    <row r="689" spans="4:17" hidden="1" x14ac:dyDescent="0.4">
      <c r="D689" s="45" t="s">
        <v>137</v>
      </c>
      <c r="E689" s="45" t="s">
        <v>138</v>
      </c>
      <c r="F689" s="45" t="s">
        <v>139</v>
      </c>
      <c r="G689" s="45" t="s">
        <v>140</v>
      </c>
      <c r="H689" s="50" t="s">
        <v>2</v>
      </c>
      <c r="I689" s="49">
        <v>46078</v>
      </c>
      <c r="J689" s="45" t="s">
        <v>220</v>
      </c>
      <c r="K689" s="45" t="s">
        <v>444</v>
      </c>
      <c r="L689" s="48" t="s">
        <v>251</v>
      </c>
      <c r="M689" s="47">
        <v>5</v>
      </c>
      <c r="N689" s="47">
        <v>5</v>
      </c>
      <c r="O689" s="46">
        <v>1</v>
      </c>
      <c r="Q689" s="45" t="s">
        <v>23</v>
      </c>
    </row>
    <row r="690" spans="4:17" hidden="1" x14ac:dyDescent="0.4">
      <c r="D690" s="45" t="s">
        <v>142</v>
      </c>
      <c r="E690" s="45" t="s">
        <v>143</v>
      </c>
      <c r="F690" s="45" t="s">
        <v>144</v>
      </c>
      <c r="G690" s="45" t="s">
        <v>145</v>
      </c>
      <c r="H690" s="50" t="s">
        <v>2</v>
      </c>
      <c r="I690" s="49">
        <v>46078</v>
      </c>
      <c r="J690" s="45" t="s">
        <v>220</v>
      </c>
      <c r="K690" s="45" t="s">
        <v>444</v>
      </c>
      <c r="L690" s="48" t="s">
        <v>251</v>
      </c>
      <c r="M690" s="47">
        <v>5</v>
      </c>
      <c r="N690" s="47">
        <v>5</v>
      </c>
      <c r="O690" s="46">
        <v>1</v>
      </c>
      <c r="Q690" s="45" t="s">
        <v>23</v>
      </c>
    </row>
    <row r="691" spans="4:17" hidden="1" x14ac:dyDescent="0.4">
      <c r="D691" s="45" t="s">
        <v>147</v>
      </c>
      <c r="E691" s="45" t="s">
        <v>148</v>
      </c>
      <c r="F691" s="45" t="s">
        <v>149</v>
      </c>
      <c r="G691" s="45" t="s">
        <v>150</v>
      </c>
      <c r="H691" s="50" t="s">
        <v>2</v>
      </c>
      <c r="I691" s="49">
        <v>46078</v>
      </c>
      <c r="J691" s="45" t="s">
        <v>220</v>
      </c>
      <c r="K691" s="45" t="s">
        <v>444</v>
      </c>
      <c r="L691" s="48" t="s">
        <v>252</v>
      </c>
      <c r="M691" s="47">
        <v>4</v>
      </c>
      <c r="N691" s="47">
        <v>5</v>
      </c>
      <c r="O691" s="46">
        <v>0.8</v>
      </c>
      <c r="Q691" s="45" t="s">
        <v>23</v>
      </c>
    </row>
    <row r="692" spans="4:17" hidden="1" x14ac:dyDescent="0.4">
      <c r="D692" s="45" t="s">
        <v>152</v>
      </c>
      <c r="E692" s="45" t="s">
        <v>66</v>
      </c>
      <c r="F692" s="45" t="s">
        <v>153</v>
      </c>
      <c r="G692" s="45" t="s">
        <v>154</v>
      </c>
      <c r="H692" s="50" t="s">
        <v>2</v>
      </c>
      <c r="I692" s="49">
        <v>46078</v>
      </c>
      <c r="J692" s="45" t="s">
        <v>220</v>
      </c>
      <c r="K692" s="45" t="s">
        <v>444</v>
      </c>
      <c r="L692" s="48" t="s">
        <v>225</v>
      </c>
      <c r="M692" s="47">
        <v>0</v>
      </c>
      <c r="N692" s="47">
        <v>5</v>
      </c>
      <c r="O692" s="46">
        <v>0</v>
      </c>
      <c r="Q692" s="45" t="s">
        <v>23</v>
      </c>
    </row>
    <row r="693" spans="4:17" hidden="1" x14ac:dyDescent="0.4">
      <c r="D693" s="45" t="s">
        <v>160</v>
      </c>
      <c r="E693" s="45" t="s">
        <v>81</v>
      </c>
      <c r="F693" s="45" t="s">
        <v>161</v>
      </c>
      <c r="G693" s="45" t="s">
        <v>162</v>
      </c>
      <c r="H693" s="50" t="s">
        <v>2</v>
      </c>
      <c r="I693" s="49">
        <v>46078</v>
      </c>
      <c r="J693" s="45" t="s">
        <v>220</v>
      </c>
      <c r="K693" s="45" t="s">
        <v>444</v>
      </c>
      <c r="L693" s="48" t="s">
        <v>253</v>
      </c>
      <c r="M693" s="47">
        <v>4</v>
      </c>
      <c r="N693" s="47">
        <v>5</v>
      </c>
      <c r="O693" s="46">
        <v>0.8</v>
      </c>
      <c r="Q693" s="45" t="s">
        <v>23</v>
      </c>
    </row>
    <row r="694" spans="4:17" hidden="1" x14ac:dyDescent="0.4">
      <c r="D694" s="45" t="s">
        <v>163</v>
      </c>
      <c r="E694" s="45" t="s">
        <v>164</v>
      </c>
      <c r="F694" s="45" t="s">
        <v>165</v>
      </c>
      <c r="G694" s="45" t="s">
        <v>166</v>
      </c>
      <c r="H694" s="50" t="s">
        <v>2</v>
      </c>
      <c r="I694" s="49">
        <v>46078</v>
      </c>
      <c r="J694" s="45" t="s">
        <v>220</v>
      </c>
      <c r="K694" s="45" t="s">
        <v>444</v>
      </c>
      <c r="L694" s="48" t="s">
        <v>240</v>
      </c>
      <c r="M694" s="47">
        <v>5</v>
      </c>
      <c r="N694" s="47">
        <v>5</v>
      </c>
      <c r="O694" s="46">
        <v>1</v>
      </c>
      <c r="Q694" s="45" t="s">
        <v>23</v>
      </c>
    </row>
    <row r="695" spans="4:17" hidden="1" x14ac:dyDescent="0.4">
      <c r="D695" s="45" t="s">
        <v>168</v>
      </c>
      <c r="E695" s="45" t="s">
        <v>169</v>
      </c>
      <c r="F695" s="45" t="s">
        <v>170</v>
      </c>
      <c r="G695" s="45" t="s">
        <v>171</v>
      </c>
      <c r="H695" s="50" t="s">
        <v>2</v>
      </c>
      <c r="I695" s="49">
        <v>46078</v>
      </c>
      <c r="J695" s="45" t="s">
        <v>220</v>
      </c>
      <c r="K695" s="45" t="s">
        <v>444</v>
      </c>
      <c r="L695" s="48" t="s">
        <v>243</v>
      </c>
      <c r="M695" s="47">
        <v>5</v>
      </c>
      <c r="N695" s="47">
        <v>5</v>
      </c>
      <c r="O695" s="46">
        <v>1</v>
      </c>
      <c r="Q695" s="45" t="s">
        <v>23</v>
      </c>
    </row>
    <row r="696" spans="4:17" hidden="1" x14ac:dyDescent="0.4">
      <c r="D696" s="45" t="s">
        <v>173</v>
      </c>
      <c r="E696" s="45" t="s">
        <v>174</v>
      </c>
      <c r="F696" s="45" t="s">
        <v>175</v>
      </c>
      <c r="G696" s="45" t="s">
        <v>176</v>
      </c>
      <c r="H696" s="50" t="s">
        <v>2</v>
      </c>
      <c r="I696" s="49">
        <v>46078</v>
      </c>
      <c r="J696" s="45" t="s">
        <v>220</v>
      </c>
      <c r="K696" s="45" t="s">
        <v>444</v>
      </c>
      <c r="L696" s="48" t="s">
        <v>237</v>
      </c>
      <c r="M696" s="47">
        <v>5</v>
      </c>
      <c r="N696" s="47">
        <v>5</v>
      </c>
      <c r="O696" s="46">
        <v>1</v>
      </c>
      <c r="Q696" s="45" t="s">
        <v>23</v>
      </c>
    </row>
    <row r="697" spans="4:17" hidden="1" x14ac:dyDescent="0.4">
      <c r="D697" s="45" t="s">
        <v>178</v>
      </c>
      <c r="E697" s="45" t="s">
        <v>179</v>
      </c>
      <c r="F697" s="45" t="s">
        <v>180</v>
      </c>
      <c r="G697" s="45" t="s">
        <v>181</v>
      </c>
      <c r="H697" s="50" t="s">
        <v>2</v>
      </c>
      <c r="I697" s="49">
        <v>46078</v>
      </c>
      <c r="J697" s="45" t="s">
        <v>220</v>
      </c>
      <c r="K697" s="45" t="s">
        <v>444</v>
      </c>
      <c r="L697" s="48" t="s">
        <v>254</v>
      </c>
      <c r="M697" s="47">
        <v>5</v>
      </c>
      <c r="N697" s="47">
        <v>5</v>
      </c>
      <c r="O697" s="46">
        <v>1</v>
      </c>
      <c r="Q697" s="45" t="s">
        <v>23</v>
      </c>
    </row>
    <row r="698" spans="4:17" hidden="1" x14ac:dyDescent="0.4">
      <c r="D698" s="45" t="s">
        <v>187</v>
      </c>
      <c r="E698" s="45" t="s">
        <v>188</v>
      </c>
      <c r="F698" s="45" t="s">
        <v>189</v>
      </c>
      <c r="G698" s="45" t="s">
        <v>190</v>
      </c>
      <c r="H698" s="50" t="s">
        <v>2</v>
      </c>
      <c r="I698" s="49">
        <v>46078</v>
      </c>
      <c r="J698" s="45" t="s">
        <v>220</v>
      </c>
      <c r="K698" s="45" t="s">
        <v>444</v>
      </c>
      <c r="L698" s="48" t="s">
        <v>255</v>
      </c>
      <c r="M698" s="47">
        <v>5</v>
      </c>
      <c r="N698" s="47">
        <v>5</v>
      </c>
      <c r="O698" s="46">
        <v>1</v>
      </c>
      <c r="Q698" s="45" t="s">
        <v>23</v>
      </c>
    </row>
    <row r="699" spans="4:17" hidden="1" x14ac:dyDescent="0.4">
      <c r="D699" s="45" t="s">
        <v>192</v>
      </c>
      <c r="E699" s="45" t="s">
        <v>193</v>
      </c>
      <c r="F699" s="45" t="s">
        <v>194</v>
      </c>
      <c r="G699" s="45" t="s">
        <v>195</v>
      </c>
      <c r="H699" s="50" t="s">
        <v>2</v>
      </c>
      <c r="I699" s="49">
        <v>46078</v>
      </c>
      <c r="J699" s="45" t="s">
        <v>220</v>
      </c>
      <c r="K699" s="45" t="s">
        <v>444</v>
      </c>
      <c r="L699" s="48" t="s">
        <v>255</v>
      </c>
      <c r="M699" s="47">
        <v>5</v>
      </c>
      <c r="N699" s="47">
        <v>5</v>
      </c>
      <c r="O699" s="46">
        <v>1</v>
      </c>
      <c r="Q699" s="45" t="s">
        <v>23</v>
      </c>
    </row>
    <row r="700" spans="4:17" hidden="1" x14ac:dyDescent="0.4">
      <c r="D700" s="45" t="s">
        <v>197</v>
      </c>
      <c r="E700" s="45" t="s">
        <v>198</v>
      </c>
      <c r="F700" s="45" t="s">
        <v>199</v>
      </c>
      <c r="G700" s="45" t="s">
        <v>200</v>
      </c>
      <c r="H700" s="50" t="s">
        <v>2</v>
      </c>
      <c r="I700" s="49">
        <v>46078</v>
      </c>
      <c r="J700" s="45" t="s">
        <v>220</v>
      </c>
      <c r="K700" s="45" t="s">
        <v>444</v>
      </c>
      <c r="L700" s="48" t="s">
        <v>256</v>
      </c>
      <c r="M700" s="47">
        <v>4</v>
      </c>
      <c r="N700" s="47">
        <v>5</v>
      </c>
      <c r="O700" s="46">
        <v>0.8</v>
      </c>
      <c r="Q700" s="45" t="s">
        <v>23</v>
      </c>
    </row>
    <row r="701" spans="4:17" hidden="1" x14ac:dyDescent="0.4">
      <c r="D701" s="45" t="s">
        <v>201</v>
      </c>
      <c r="E701" s="45" t="s">
        <v>143</v>
      </c>
      <c r="F701" s="45" t="s">
        <v>202</v>
      </c>
      <c r="G701" s="45" t="s">
        <v>203</v>
      </c>
      <c r="H701" s="50" t="s">
        <v>2</v>
      </c>
      <c r="I701" s="49">
        <v>46078</v>
      </c>
      <c r="J701" s="45" t="s">
        <v>220</v>
      </c>
      <c r="K701" s="45" t="s">
        <v>444</v>
      </c>
      <c r="L701" s="48" t="s">
        <v>225</v>
      </c>
      <c r="M701" s="47">
        <v>0</v>
      </c>
      <c r="N701" s="47">
        <v>5</v>
      </c>
      <c r="O701" s="46">
        <v>0</v>
      </c>
      <c r="Q701" s="45" t="s">
        <v>23</v>
      </c>
    </row>
    <row r="702" spans="4:17" hidden="1" x14ac:dyDescent="0.4">
      <c r="D702" s="45" t="s">
        <v>205</v>
      </c>
      <c r="E702" s="45" t="s">
        <v>206</v>
      </c>
      <c r="F702" s="45" t="s">
        <v>207</v>
      </c>
      <c r="G702" s="45" t="s">
        <v>208</v>
      </c>
      <c r="H702" s="50" t="s">
        <v>2</v>
      </c>
      <c r="I702" s="49">
        <v>46078</v>
      </c>
      <c r="J702" s="45" t="s">
        <v>220</v>
      </c>
      <c r="K702" s="45" t="s">
        <v>444</v>
      </c>
      <c r="L702" s="48" t="s">
        <v>255</v>
      </c>
      <c r="M702" s="47">
        <v>5</v>
      </c>
      <c r="N702" s="47">
        <v>5</v>
      </c>
      <c r="O702" s="46">
        <v>1</v>
      </c>
      <c r="Q702" s="45" t="s">
        <v>23</v>
      </c>
    </row>
    <row r="703" spans="4:17" hidden="1" x14ac:dyDescent="0.4">
      <c r="D703" s="45" t="s">
        <v>210</v>
      </c>
      <c r="E703" s="45" t="s">
        <v>211</v>
      </c>
      <c r="F703" s="45" t="s">
        <v>212</v>
      </c>
      <c r="G703" s="45" t="s">
        <v>213</v>
      </c>
      <c r="H703" s="50" t="s">
        <v>2</v>
      </c>
      <c r="I703" s="49">
        <v>46078</v>
      </c>
      <c r="J703" s="45" t="s">
        <v>220</v>
      </c>
      <c r="K703" s="45" t="s">
        <v>444</v>
      </c>
      <c r="L703" s="48" t="s">
        <v>225</v>
      </c>
      <c r="M703" s="47">
        <v>0</v>
      </c>
      <c r="N703" s="47">
        <v>5</v>
      </c>
      <c r="O703" s="46">
        <v>0</v>
      </c>
      <c r="Q703" s="45" t="s">
        <v>23</v>
      </c>
    </row>
    <row r="704" spans="4:17" hidden="1" x14ac:dyDescent="0.4">
      <c r="D704" s="45" t="s">
        <v>215</v>
      </c>
      <c r="E704" s="45" t="s">
        <v>216</v>
      </c>
      <c r="F704" s="45" t="s">
        <v>217</v>
      </c>
      <c r="G704" s="45" t="s">
        <v>218</v>
      </c>
      <c r="H704" s="50" t="s">
        <v>2</v>
      </c>
      <c r="I704" s="49">
        <v>46078</v>
      </c>
      <c r="J704" s="45" t="s">
        <v>220</v>
      </c>
      <c r="K704" s="45" t="s">
        <v>444</v>
      </c>
      <c r="L704" s="48" t="s">
        <v>249</v>
      </c>
      <c r="M704" s="47">
        <v>5</v>
      </c>
      <c r="N704" s="47">
        <v>5</v>
      </c>
      <c r="O704" s="46">
        <v>1</v>
      </c>
      <c r="Q704" s="45" t="s">
        <v>23</v>
      </c>
    </row>
    <row r="705" spans="4:17" hidden="1" x14ac:dyDescent="0.4">
      <c r="D705" s="45" t="s">
        <v>24</v>
      </c>
      <c r="E705" s="45" t="s">
        <v>25</v>
      </c>
      <c r="F705" s="45" t="s">
        <v>26</v>
      </c>
      <c r="G705" s="45" t="s">
        <v>27</v>
      </c>
      <c r="H705" s="50" t="s">
        <v>3</v>
      </c>
      <c r="I705" s="49">
        <v>46071</v>
      </c>
      <c r="J705" s="45" t="s">
        <v>257</v>
      </c>
      <c r="K705" s="45" t="s">
        <v>444</v>
      </c>
      <c r="L705" s="48"/>
      <c r="M705" s="47">
        <v>50</v>
      </c>
      <c r="N705" s="47">
        <v>50</v>
      </c>
      <c r="O705" s="46">
        <v>1</v>
      </c>
      <c r="Q705" s="45" t="s">
        <v>23</v>
      </c>
    </row>
    <row r="706" spans="4:17" hidden="1" x14ac:dyDescent="0.4">
      <c r="D706" s="45" t="s">
        <v>31</v>
      </c>
      <c r="E706" s="45" t="s">
        <v>32</v>
      </c>
      <c r="F706" s="45" t="s">
        <v>33</v>
      </c>
      <c r="G706" s="45" t="s">
        <v>34</v>
      </c>
      <c r="H706" s="50" t="s">
        <v>3</v>
      </c>
      <c r="I706" s="49">
        <v>46071</v>
      </c>
      <c r="J706" s="45" t="s">
        <v>257</v>
      </c>
      <c r="K706" s="45" t="s">
        <v>444</v>
      </c>
      <c r="L706" s="48"/>
      <c r="M706" s="47">
        <v>0</v>
      </c>
      <c r="N706" s="47">
        <v>50</v>
      </c>
      <c r="O706" s="46">
        <v>0</v>
      </c>
      <c r="Q706" s="45" t="s">
        <v>23</v>
      </c>
    </row>
    <row r="707" spans="4:17" hidden="1" x14ac:dyDescent="0.4">
      <c r="D707" s="45" t="s">
        <v>36</v>
      </c>
      <c r="E707" s="45" t="s">
        <v>37</v>
      </c>
      <c r="F707" s="45" t="s">
        <v>38</v>
      </c>
      <c r="G707" s="45" t="s">
        <v>39</v>
      </c>
      <c r="H707" s="50" t="s">
        <v>3</v>
      </c>
      <c r="I707" s="49">
        <v>46071</v>
      </c>
      <c r="J707" s="45" t="s">
        <v>257</v>
      </c>
      <c r="K707" s="45" t="s">
        <v>444</v>
      </c>
      <c r="L707" s="48"/>
      <c r="M707" s="47">
        <v>50</v>
      </c>
      <c r="N707" s="47">
        <v>50</v>
      </c>
      <c r="O707" s="46">
        <v>1</v>
      </c>
      <c r="Q707" s="45" t="s">
        <v>23</v>
      </c>
    </row>
    <row r="708" spans="4:17" hidden="1" x14ac:dyDescent="0.4">
      <c r="D708" s="45" t="s">
        <v>41</v>
      </c>
      <c r="E708" s="45" t="s">
        <v>42</v>
      </c>
      <c r="F708" s="45" t="s">
        <v>43</v>
      </c>
      <c r="G708" s="45" t="s">
        <v>44</v>
      </c>
      <c r="H708" s="50" t="s">
        <v>3</v>
      </c>
      <c r="I708" s="49">
        <v>46071</v>
      </c>
      <c r="J708" s="45" t="s">
        <v>257</v>
      </c>
      <c r="K708" s="45" t="s">
        <v>444</v>
      </c>
      <c r="L708" s="48"/>
      <c r="M708" s="47">
        <v>50</v>
      </c>
      <c r="N708" s="47">
        <v>50</v>
      </c>
      <c r="O708" s="46">
        <v>1</v>
      </c>
      <c r="Q708" s="45" t="s">
        <v>23</v>
      </c>
    </row>
    <row r="709" spans="4:17" hidden="1" x14ac:dyDescent="0.4">
      <c r="D709" s="45" t="s">
        <v>46</v>
      </c>
      <c r="E709" s="45" t="s">
        <v>47</v>
      </c>
      <c r="F709" s="45" t="s">
        <v>48</v>
      </c>
      <c r="G709" s="45" t="s">
        <v>49</v>
      </c>
      <c r="H709" s="50" t="s">
        <v>3</v>
      </c>
      <c r="I709" s="49">
        <v>46071</v>
      </c>
      <c r="J709" s="45" t="s">
        <v>257</v>
      </c>
      <c r="K709" s="45" t="s">
        <v>444</v>
      </c>
      <c r="L709" s="48"/>
      <c r="M709" s="47">
        <v>50</v>
      </c>
      <c r="N709" s="47">
        <v>50</v>
      </c>
      <c r="O709" s="46">
        <v>1</v>
      </c>
      <c r="Q709" s="45" t="s">
        <v>23</v>
      </c>
    </row>
    <row r="710" spans="4:17" hidden="1" x14ac:dyDescent="0.4">
      <c r="D710" s="45" t="s">
        <v>51</v>
      </c>
      <c r="E710" s="45" t="s">
        <v>52</v>
      </c>
      <c r="F710" s="45" t="s">
        <v>53</v>
      </c>
      <c r="G710" s="45" t="s">
        <v>54</v>
      </c>
      <c r="H710" s="50" t="s">
        <v>3</v>
      </c>
      <c r="I710" s="49">
        <v>46071</v>
      </c>
      <c r="J710" s="45" t="s">
        <v>257</v>
      </c>
      <c r="K710" s="45" t="s">
        <v>444</v>
      </c>
      <c r="L710" s="48"/>
      <c r="M710" s="47">
        <v>50</v>
      </c>
      <c r="N710" s="47">
        <v>50</v>
      </c>
      <c r="O710" s="46">
        <v>1</v>
      </c>
      <c r="Q710" s="45" t="s">
        <v>23</v>
      </c>
    </row>
    <row r="711" spans="4:17" hidden="1" x14ac:dyDescent="0.4">
      <c r="D711" s="45" t="s">
        <v>56</v>
      </c>
      <c r="E711" s="45" t="s">
        <v>52</v>
      </c>
      <c r="F711" s="45" t="s">
        <v>57</v>
      </c>
      <c r="G711" s="45" t="s">
        <v>58</v>
      </c>
      <c r="H711" s="50" t="s">
        <v>3</v>
      </c>
      <c r="I711" s="49">
        <v>46071</v>
      </c>
      <c r="J711" s="45" t="s">
        <v>257</v>
      </c>
      <c r="K711" s="45" t="s">
        <v>444</v>
      </c>
      <c r="L711" s="48"/>
      <c r="M711" s="47">
        <v>50</v>
      </c>
      <c r="N711" s="47">
        <v>50</v>
      </c>
      <c r="O711" s="46">
        <v>1</v>
      </c>
      <c r="Q711" s="45" t="s">
        <v>23</v>
      </c>
    </row>
    <row r="712" spans="4:17" hidden="1" x14ac:dyDescent="0.4">
      <c r="D712" s="45" t="s">
        <v>60</v>
      </c>
      <c r="E712" s="45" t="s">
        <v>61</v>
      </c>
      <c r="F712" s="45" t="s">
        <v>62</v>
      </c>
      <c r="G712" s="45" t="s">
        <v>63</v>
      </c>
      <c r="H712" s="50" t="s">
        <v>3</v>
      </c>
      <c r="I712" s="49">
        <v>46071</v>
      </c>
      <c r="J712" s="45" t="s">
        <v>257</v>
      </c>
      <c r="K712" s="45" t="s">
        <v>444</v>
      </c>
      <c r="L712" s="48"/>
      <c r="M712" s="47">
        <v>50</v>
      </c>
      <c r="N712" s="47">
        <v>50</v>
      </c>
      <c r="O712" s="46">
        <v>1</v>
      </c>
      <c r="Q712" s="45" t="s">
        <v>23</v>
      </c>
    </row>
    <row r="713" spans="4:17" hidden="1" x14ac:dyDescent="0.4">
      <c r="D713" s="45" t="s">
        <v>65</v>
      </c>
      <c r="E713" s="45" t="s">
        <v>66</v>
      </c>
      <c r="F713" s="45" t="s">
        <v>67</v>
      </c>
      <c r="G713" s="45" t="s">
        <v>68</v>
      </c>
      <c r="H713" s="50" t="s">
        <v>3</v>
      </c>
      <c r="I713" s="49">
        <v>46071</v>
      </c>
      <c r="J713" s="45" t="s">
        <v>257</v>
      </c>
      <c r="K713" s="45" t="s">
        <v>444</v>
      </c>
      <c r="L713" s="48"/>
      <c r="M713" s="47">
        <v>50</v>
      </c>
      <c r="N713" s="47">
        <v>50</v>
      </c>
      <c r="O713" s="46">
        <v>1</v>
      </c>
      <c r="Q713" s="45" t="s">
        <v>23</v>
      </c>
    </row>
    <row r="714" spans="4:17" hidden="1" x14ac:dyDescent="0.4">
      <c r="D714" s="45" t="s">
        <v>70</v>
      </c>
      <c r="E714" s="45" t="s">
        <v>71</v>
      </c>
      <c r="F714" s="45" t="s">
        <v>72</v>
      </c>
      <c r="G714" s="45" t="s">
        <v>73</v>
      </c>
      <c r="H714" s="50" t="s">
        <v>3</v>
      </c>
      <c r="I714" s="49">
        <v>46071</v>
      </c>
      <c r="J714" s="45" t="s">
        <v>257</v>
      </c>
      <c r="K714" s="45" t="s">
        <v>444</v>
      </c>
      <c r="L714" s="48"/>
      <c r="M714" s="47">
        <v>50</v>
      </c>
      <c r="N714" s="47">
        <v>50</v>
      </c>
      <c r="O714" s="46">
        <v>1</v>
      </c>
      <c r="Q714" s="45" t="s">
        <v>23</v>
      </c>
    </row>
    <row r="715" spans="4:17" hidden="1" x14ac:dyDescent="0.4">
      <c r="D715" s="45" t="s">
        <v>75</v>
      </c>
      <c r="E715" s="45" t="s">
        <v>76</v>
      </c>
      <c r="F715" s="45" t="s">
        <v>77</v>
      </c>
      <c r="G715" s="45" t="s">
        <v>78</v>
      </c>
      <c r="H715" s="50" t="s">
        <v>3</v>
      </c>
      <c r="I715" s="49">
        <v>46071</v>
      </c>
      <c r="J715" s="45" t="s">
        <v>257</v>
      </c>
      <c r="K715" s="45" t="s">
        <v>444</v>
      </c>
      <c r="L715" s="48"/>
      <c r="M715" s="47">
        <v>50</v>
      </c>
      <c r="N715" s="47">
        <v>50</v>
      </c>
      <c r="O715" s="46">
        <v>1</v>
      </c>
      <c r="Q715" s="45" t="s">
        <v>23</v>
      </c>
    </row>
    <row r="716" spans="4:17" hidden="1" x14ac:dyDescent="0.4">
      <c r="D716" s="45" t="s">
        <v>80</v>
      </c>
      <c r="E716" s="45" t="s">
        <v>81</v>
      </c>
      <c r="F716" s="45" t="s">
        <v>82</v>
      </c>
      <c r="G716" s="45" t="s">
        <v>83</v>
      </c>
      <c r="H716" s="50" t="s">
        <v>3</v>
      </c>
      <c r="I716" s="49">
        <v>46071</v>
      </c>
      <c r="J716" s="45" t="s">
        <v>257</v>
      </c>
      <c r="K716" s="45" t="s">
        <v>444</v>
      </c>
      <c r="L716" s="48"/>
      <c r="M716" s="47">
        <v>0</v>
      </c>
      <c r="N716" s="47">
        <v>50</v>
      </c>
      <c r="O716" s="46">
        <v>0</v>
      </c>
      <c r="Q716" s="45" t="s">
        <v>23</v>
      </c>
    </row>
    <row r="717" spans="4:17" hidden="1" x14ac:dyDescent="0.4">
      <c r="D717" s="45" t="s">
        <v>85</v>
      </c>
      <c r="E717" s="45" t="s">
        <v>86</v>
      </c>
      <c r="F717" s="45" t="s">
        <v>87</v>
      </c>
      <c r="G717" s="45" t="s">
        <v>88</v>
      </c>
      <c r="H717" s="50" t="s">
        <v>3</v>
      </c>
      <c r="I717" s="49">
        <v>46071</v>
      </c>
      <c r="J717" s="45" t="s">
        <v>257</v>
      </c>
      <c r="K717" s="45" t="s">
        <v>444</v>
      </c>
      <c r="L717" s="48"/>
      <c r="M717" s="47">
        <v>0</v>
      </c>
      <c r="N717" s="47">
        <v>50</v>
      </c>
      <c r="O717" s="46">
        <v>0</v>
      </c>
      <c r="Q717" s="45" t="s">
        <v>23</v>
      </c>
    </row>
    <row r="718" spans="4:17" hidden="1" x14ac:dyDescent="0.4">
      <c r="D718" s="45" t="s">
        <v>89</v>
      </c>
      <c r="E718" s="45" t="s">
        <v>90</v>
      </c>
      <c r="F718" s="45" t="s">
        <v>91</v>
      </c>
      <c r="G718" s="45" t="s">
        <v>92</v>
      </c>
      <c r="H718" s="50" t="s">
        <v>3</v>
      </c>
      <c r="I718" s="49">
        <v>46071</v>
      </c>
      <c r="J718" s="45" t="s">
        <v>257</v>
      </c>
      <c r="K718" s="45" t="s">
        <v>444</v>
      </c>
      <c r="L718" s="48"/>
      <c r="M718" s="47">
        <v>40</v>
      </c>
      <c r="N718" s="47">
        <v>50</v>
      </c>
      <c r="O718" s="46">
        <v>0.8</v>
      </c>
      <c r="Q718" s="45" t="s">
        <v>23</v>
      </c>
    </row>
    <row r="719" spans="4:17" hidden="1" x14ac:dyDescent="0.4">
      <c r="D719" s="45" t="s">
        <v>94</v>
      </c>
      <c r="E719" s="45" t="s">
        <v>95</v>
      </c>
      <c r="F719" s="45" t="s">
        <v>96</v>
      </c>
      <c r="G719" s="45" t="s">
        <v>97</v>
      </c>
      <c r="H719" s="50" t="s">
        <v>3</v>
      </c>
      <c r="I719" s="49">
        <v>46071</v>
      </c>
      <c r="J719" s="45" t="s">
        <v>257</v>
      </c>
      <c r="K719" s="45" t="s">
        <v>444</v>
      </c>
      <c r="L719" s="48"/>
      <c r="M719" s="47">
        <v>50</v>
      </c>
      <c r="N719" s="47">
        <v>50</v>
      </c>
      <c r="O719" s="46">
        <v>1</v>
      </c>
      <c r="Q719" s="45" t="s">
        <v>23</v>
      </c>
    </row>
    <row r="720" spans="4:17" hidden="1" x14ac:dyDescent="0.4">
      <c r="D720" s="45" t="s">
        <v>99</v>
      </c>
      <c r="E720" s="45" t="s">
        <v>100</v>
      </c>
      <c r="F720" s="45" t="s">
        <v>101</v>
      </c>
      <c r="G720" s="45" t="s">
        <v>102</v>
      </c>
      <c r="H720" s="50" t="s">
        <v>3</v>
      </c>
      <c r="I720" s="49">
        <v>46071</v>
      </c>
      <c r="J720" s="45" t="s">
        <v>257</v>
      </c>
      <c r="K720" s="45" t="s">
        <v>444</v>
      </c>
      <c r="L720" s="48"/>
      <c r="M720" s="47">
        <v>50</v>
      </c>
      <c r="N720" s="47">
        <v>50</v>
      </c>
      <c r="O720" s="46">
        <v>1</v>
      </c>
      <c r="Q720" s="45" t="s">
        <v>23</v>
      </c>
    </row>
    <row r="721" spans="4:17" hidden="1" x14ac:dyDescent="0.4">
      <c r="D721" s="45" t="s">
        <v>104</v>
      </c>
      <c r="E721" s="45" t="s">
        <v>86</v>
      </c>
      <c r="F721" s="45" t="s">
        <v>105</v>
      </c>
      <c r="G721" s="45" t="s">
        <v>106</v>
      </c>
      <c r="H721" s="50" t="s">
        <v>3</v>
      </c>
      <c r="I721" s="49">
        <v>46071</v>
      </c>
      <c r="J721" s="45" t="s">
        <v>257</v>
      </c>
      <c r="K721" s="45" t="s">
        <v>444</v>
      </c>
      <c r="L721" s="48"/>
      <c r="M721" s="47">
        <v>50</v>
      </c>
      <c r="N721" s="47">
        <v>50</v>
      </c>
      <c r="O721" s="46">
        <v>1</v>
      </c>
      <c r="Q721" s="45" t="s">
        <v>23</v>
      </c>
    </row>
    <row r="722" spans="4:17" hidden="1" x14ac:dyDescent="0.4">
      <c r="D722" s="45" t="s">
        <v>107</v>
      </c>
      <c r="E722" s="45" t="s">
        <v>108</v>
      </c>
      <c r="F722" s="45" t="s">
        <v>109</v>
      </c>
      <c r="G722" s="45" t="s">
        <v>110</v>
      </c>
      <c r="H722" s="50" t="s">
        <v>3</v>
      </c>
      <c r="I722" s="49">
        <v>46071</v>
      </c>
      <c r="J722" s="45" t="s">
        <v>257</v>
      </c>
      <c r="K722" s="45" t="s">
        <v>444</v>
      </c>
      <c r="L722" s="48"/>
      <c r="M722" s="47">
        <v>50</v>
      </c>
      <c r="N722" s="47">
        <v>50</v>
      </c>
      <c r="O722" s="46">
        <v>1</v>
      </c>
      <c r="Q722" s="45" t="s">
        <v>23</v>
      </c>
    </row>
    <row r="723" spans="4:17" hidden="1" x14ac:dyDescent="0.4">
      <c r="D723" s="45" t="s">
        <v>112</v>
      </c>
      <c r="E723" s="45" t="s">
        <v>113</v>
      </c>
      <c r="F723" s="45" t="s">
        <v>114</v>
      </c>
      <c r="G723" s="45" t="s">
        <v>115</v>
      </c>
      <c r="H723" s="50" t="s">
        <v>3</v>
      </c>
      <c r="I723" s="49">
        <v>46071</v>
      </c>
      <c r="J723" s="45" t="s">
        <v>257</v>
      </c>
      <c r="K723" s="45" t="s">
        <v>444</v>
      </c>
      <c r="L723" s="48"/>
      <c r="M723" s="47">
        <v>50</v>
      </c>
      <c r="N723" s="47">
        <v>50</v>
      </c>
      <c r="O723" s="46">
        <v>1</v>
      </c>
      <c r="Q723" s="45" t="s">
        <v>23</v>
      </c>
    </row>
    <row r="724" spans="4:17" hidden="1" x14ac:dyDescent="0.4">
      <c r="D724" s="45" t="s">
        <v>117</v>
      </c>
      <c r="E724" s="45" t="s">
        <v>118</v>
      </c>
      <c r="F724" s="45" t="s">
        <v>119</v>
      </c>
      <c r="G724" s="45" t="s">
        <v>120</v>
      </c>
      <c r="H724" s="50" t="s">
        <v>3</v>
      </c>
      <c r="I724" s="49">
        <v>46071</v>
      </c>
      <c r="J724" s="45" t="s">
        <v>257</v>
      </c>
      <c r="K724" s="45" t="s">
        <v>444</v>
      </c>
      <c r="L724" s="48"/>
      <c r="M724" s="47">
        <v>50</v>
      </c>
      <c r="N724" s="47">
        <v>50</v>
      </c>
      <c r="O724" s="46">
        <v>1</v>
      </c>
      <c r="Q724" s="45" t="s">
        <v>23</v>
      </c>
    </row>
    <row r="725" spans="4:17" hidden="1" x14ac:dyDescent="0.4">
      <c r="D725" s="45" t="s">
        <v>122</v>
      </c>
      <c r="E725" s="45" t="s">
        <v>123</v>
      </c>
      <c r="F725" s="45" t="s">
        <v>124</v>
      </c>
      <c r="G725" s="45" t="s">
        <v>125</v>
      </c>
      <c r="H725" s="50" t="s">
        <v>3</v>
      </c>
      <c r="I725" s="49">
        <v>46071</v>
      </c>
      <c r="J725" s="45" t="s">
        <v>257</v>
      </c>
      <c r="K725" s="45" t="s">
        <v>444</v>
      </c>
      <c r="L725" s="48"/>
      <c r="M725" s="47">
        <v>50</v>
      </c>
      <c r="N725" s="47">
        <v>50</v>
      </c>
      <c r="O725" s="46">
        <v>1</v>
      </c>
      <c r="Q725" s="45" t="s">
        <v>23</v>
      </c>
    </row>
    <row r="726" spans="4:17" hidden="1" x14ac:dyDescent="0.4">
      <c r="D726" s="45" t="s">
        <v>127</v>
      </c>
      <c r="E726" s="45" t="s">
        <v>128</v>
      </c>
      <c r="F726" s="45" t="s">
        <v>129</v>
      </c>
      <c r="G726" s="45" t="s">
        <v>130</v>
      </c>
      <c r="H726" s="50" t="s">
        <v>3</v>
      </c>
      <c r="I726" s="49">
        <v>46071</v>
      </c>
      <c r="J726" s="45" t="s">
        <v>257</v>
      </c>
      <c r="K726" s="45" t="s">
        <v>444</v>
      </c>
      <c r="L726" s="48"/>
      <c r="M726" s="47">
        <v>50</v>
      </c>
      <c r="N726" s="47">
        <v>50</v>
      </c>
      <c r="O726" s="46">
        <v>1</v>
      </c>
      <c r="Q726" s="45" t="s">
        <v>23</v>
      </c>
    </row>
    <row r="727" spans="4:17" hidden="1" x14ac:dyDescent="0.4">
      <c r="D727" s="45" t="s">
        <v>132</v>
      </c>
      <c r="E727" s="45" t="s">
        <v>133</v>
      </c>
      <c r="F727" s="45" t="s">
        <v>134</v>
      </c>
      <c r="G727" s="45" t="s">
        <v>135</v>
      </c>
      <c r="H727" s="50" t="s">
        <v>3</v>
      </c>
      <c r="I727" s="49">
        <v>46071</v>
      </c>
      <c r="J727" s="45" t="s">
        <v>257</v>
      </c>
      <c r="K727" s="45" t="s">
        <v>444</v>
      </c>
      <c r="L727" s="48"/>
      <c r="M727" s="47">
        <v>50</v>
      </c>
      <c r="N727" s="47">
        <v>50</v>
      </c>
      <c r="O727" s="46">
        <v>1</v>
      </c>
      <c r="Q727" s="45" t="s">
        <v>23</v>
      </c>
    </row>
    <row r="728" spans="4:17" hidden="1" x14ac:dyDescent="0.4">
      <c r="D728" s="45" t="s">
        <v>137</v>
      </c>
      <c r="E728" s="45" t="s">
        <v>138</v>
      </c>
      <c r="F728" s="45" t="s">
        <v>139</v>
      </c>
      <c r="G728" s="45" t="s">
        <v>140</v>
      </c>
      <c r="H728" s="50" t="s">
        <v>3</v>
      </c>
      <c r="I728" s="49">
        <v>46071</v>
      </c>
      <c r="J728" s="45" t="s">
        <v>257</v>
      </c>
      <c r="K728" s="45" t="s">
        <v>444</v>
      </c>
      <c r="L728" s="48"/>
      <c r="M728" s="47">
        <v>50</v>
      </c>
      <c r="N728" s="47">
        <v>50</v>
      </c>
      <c r="O728" s="46">
        <v>1</v>
      </c>
      <c r="Q728" s="45" t="s">
        <v>23</v>
      </c>
    </row>
    <row r="729" spans="4:17" hidden="1" x14ac:dyDescent="0.4">
      <c r="D729" s="45" t="s">
        <v>142</v>
      </c>
      <c r="E729" s="45" t="s">
        <v>143</v>
      </c>
      <c r="F729" s="45" t="s">
        <v>144</v>
      </c>
      <c r="G729" s="45" t="s">
        <v>145</v>
      </c>
      <c r="H729" s="50" t="s">
        <v>3</v>
      </c>
      <c r="I729" s="49">
        <v>46071</v>
      </c>
      <c r="J729" s="45" t="s">
        <v>257</v>
      </c>
      <c r="K729" s="45" t="s">
        <v>444</v>
      </c>
      <c r="L729" s="48"/>
      <c r="M729" s="47">
        <v>50</v>
      </c>
      <c r="N729" s="47">
        <v>50</v>
      </c>
      <c r="O729" s="46">
        <v>1</v>
      </c>
      <c r="Q729" s="45" t="s">
        <v>23</v>
      </c>
    </row>
    <row r="730" spans="4:17" hidden="1" x14ac:dyDescent="0.4">
      <c r="D730" s="45" t="s">
        <v>147</v>
      </c>
      <c r="E730" s="45" t="s">
        <v>148</v>
      </c>
      <c r="F730" s="45" t="s">
        <v>149</v>
      </c>
      <c r="G730" s="45" t="s">
        <v>150</v>
      </c>
      <c r="H730" s="50" t="s">
        <v>3</v>
      </c>
      <c r="I730" s="49">
        <v>46071</v>
      </c>
      <c r="J730" s="45" t="s">
        <v>257</v>
      </c>
      <c r="K730" s="45" t="s">
        <v>444</v>
      </c>
      <c r="L730" s="48"/>
      <c r="M730" s="47">
        <v>50</v>
      </c>
      <c r="N730" s="47">
        <v>50</v>
      </c>
      <c r="O730" s="46">
        <v>1</v>
      </c>
      <c r="Q730" s="45" t="s">
        <v>23</v>
      </c>
    </row>
    <row r="731" spans="4:17" hidden="1" x14ac:dyDescent="0.4">
      <c r="D731" s="45" t="s">
        <v>152</v>
      </c>
      <c r="E731" s="45" t="s">
        <v>66</v>
      </c>
      <c r="F731" s="45" t="s">
        <v>153</v>
      </c>
      <c r="G731" s="45" t="s">
        <v>154</v>
      </c>
      <c r="H731" s="50" t="s">
        <v>3</v>
      </c>
      <c r="I731" s="49">
        <v>46071</v>
      </c>
      <c r="J731" s="45" t="s">
        <v>257</v>
      </c>
      <c r="K731" s="45" t="s">
        <v>444</v>
      </c>
      <c r="L731" s="48"/>
      <c r="M731" s="47">
        <v>50</v>
      </c>
      <c r="N731" s="47">
        <v>50</v>
      </c>
      <c r="O731" s="46">
        <v>1</v>
      </c>
      <c r="Q731" s="45" t="s">
        <v>23</v>
      </c>
    </row>
    <row r="732" spans="4:17" hidden="1" x14ac:dyDescent="0.4">
      <c r="D732" s="45" t="s">
        <v>160</v>
      </c>
      <c r="E732" s="45" t="s">
        <v>81</v>
      </c>
      <c r="F732" s="45" t="s">
        <v>161</v>
      </c>
      <c r="G732" s="45" t="s">
        <v>162</v>
      </c>
      <c r="H732" s="50" t="s">
        <v>3</v>
      </c>
      <c r="I732" s="49">
        <v>46071</v>
      </c>
      <c r="J732" s="45" t="s">
        <v>257</v>
      </c>
      <c r="K732" s="45" t="s">
        <v>444</v>
      </c>
      <c r="L732" s="48"/>
      <c r="M732" s="47">
        <v>50</v>
      </c>
      <c r="N732" s="47">
        <v>50</v>
      </c>
      <c r="O732" s="46">
        <v>1</v>
      </c>
      <c r="Q732" s="45" t="s">
        <v>23</v>
      </c>
    </row>
    <row r="733" spans="4:17" hidden="1" x14ac:dyDescent="0.4">
      <c r="D733" s="45" t="s">
        <v>163</v>
      </c>
      <c r="E733" s="45" t="s">
        <v>164</v>
      </c>
      <c r="F733" s="45" t="s">
        <v>165</v>
      </c>
      <c r="G733" s="45" t="s">
        <v>166</v>
      </c>
      <c r="H733" s="50" t="s">
        <v>3</v>
      </c>
      <c r="I733" s="49">
        <v>46071</v>
      </c>
      <c r="J733" s="45" t="s">
        <v>257</v>
      </c>
      <c r="K733" s="45" t="s">
        <v>444</v>
      </c>
      <c r="L733" s="48"/>
      <c r="M733" s="47">
        <v>50</v>
      </c>
      <c r="N733" s="47">
        <v>50</v>
      </c>
      <c r="O733" s="46">
        <v>1</v>
      </c>
      <c r="Q733" s="45" t="s">
        <v>23</v>
      </c>
    </row>
    <row r="734" spans="4:17" hidden="1" x14ac:dyDescent="0.4">
      <c r="D734" s="45" t="s">
        <v>168</v>
      </c>
      <c r="E734" s="45" t="s">
        <v>169</v>
      </c>
      <c r="F734" s="45" t="s">
        <v>170</v>
      </c>
      <c r="G734" s="45" t="s">
        <v>171</v>
      </c>
      <c r="H734" s="50" t="s">
        <v>3</v>
      </c>
      <c r="I734" s="49">
        <v>46071</v>
      </c>
      <c r="J734" s="45" t="s">
        <v>257</v>
      </c>
      <c r="K734" s="45" t="s">
        <v>444</v>
      </c>
      <c r="L734" s="48"/>
      <c r="M734" s="47">
        <v>50</v>
      </c>
      <c r="N734" s="47">
        <v>50</v>
      </c>
      <c r="O734" s="46">
        <v>1</v>
      </c>
      <c r="Q734" s="45" t="s">
        <v>23</v>
      </c>
    </row>
    <row r="735" spans="4:17" hidden="1" x14ac:dyDescent="0.4">
      <c r="D735" s="45" t="s">
        <v>173</v>
      </c>
      <c r="E735" s="45" t="s">
        <v>174</v>
      </c>
      <c r="F735" s="45" t="s">
        <v>175</v>
      </c>
      <c r="G735" s="45" t="s">
        <v>176</v>
      </c>
      <c r="H735" s="50" t="s">
        <v>3</v>
      </c>
      <c r="I735" s="49">
        <v>46071</v>
      </c>
      <c r="J735" s="45" t="s">
        <v>257</v>
      </c>
      <c r="K735" s="45" t="s">
        <v>444</v>
      </c>
      <c r="L735" s="48"/>
      <c r="M735" s="47">
        <v>50</v>
      </c>
      <c r="N735" s="47">
        <v>50</v>
      </c>
      <c r="O735" s="46">
        <v>1</v>
      </c>
      <c r="Q735" s="45" t="s">
        <v>23</v>
      </c>
    </row>
    <row r="736" spans="4:17" hidden="1" x14ac:dyDescent="0.4">
      <c r="D736" s="45" t="s">
        <v>178</v>
      </c>
      <c r="E736" s="45" t="s">
        <v>179</v>
      </c>
      <c r="F736" s="45" t="s">
        <v>180</v>
      </c>
      <c r="G736" s="45" t="s">
        <v>181</v>
      </c>
      <c r="H736" s="50" t="s">
        <v>3</v>
      </c>
      <c r="I736" s="49">
        <v>46071</v>
      </c>
      <c r="J736" s="45" t="s">
        <v>257</v>
      </c>
      <c r="K736" s="45" t="s">
        <v>444</v>
      </c>
      <c r="L736" s="48"/>
      <c r="M736" s="47">
        <v>50</v>
      </c>
      <c r="N736" s="47">
        <v>50</v>
      </c>
      <c r="O736" s="46">
        <v>1</v>
      </c>
      <c r="Q736" s="45" t="s">
        <v>23</v>
      </c>
    </row>
    <row r="737" spans="4:17" hidden="1" x14ac:dyDescent="0.4">
      <c r="D737" s="45" t="s">
        <v>187</v>
      </c>
      <c r="E737" s="45" t="s">
        <v>188</v>
      </c>
      <c r="F737" s="45" t="s">
        <v>189</v>
      </c>
      <c r="G737" s="45" t="s">
        <v>190</v>
      </c>
      <c r="H737" s="50" t="s">
        <v>3</v>
      </c>
      <c r="I737" s="49">
        <v>46071</v>
      </c>
      <c r="J737" s="45" t="s">
        <v>257</v>
      </c>
      <c r="K737" s="45" t="s">
        <v>444</v>
      </c>
      <c r="L737" s="48"/>
      <c r="M737" s="47">
        <v>50</v>
      </c>
      <c r="N737" s="47">
        <v>50</v>
      </c>
      <c r="O737" s="46">
        <v>1</v>
      </c>
      <c r="Q737" s="45" t="s">
        <v>23</v>
      </c>
    </row>
    <row r="738" spans="4:17" hidden="1" x14ac:dyDescent="0.4">
      <c r="D738" s="45" t="s">
        <v>192</v>
      </c>
      <c r="E738" s="45" t="s">
        <v>193</v>
      </c>
      <c r="F738" s="45" t="s">
        <v>194</v>
      </c>
      <c r="G738" s="45" t="s">
        <v>195</v>
      </c>
      <c r="H738" s="50" t="s">
        <v>3</v>
      </c>
      <c r="I738" s="49">
        <v>46071</v>
      </c>
      <c r="J738" s="45" t="s">
        <v>257</v>
      </c>
      <c r="K738" s="45" t="s">
        <v>444</v>
      </c>
      <c r="L738" s="48"/>
      <c r="M738" s="47">
        <v>50</v>
      </c>
      <c r="N738" s="47">
        <v>50</v>
      </c>
      <c r="O738" s="46">
        <v>1</v>
      </c>
      <c r="Q738" s="45" t="s">
        <v>23</v>
      </c>
    </row>
    <row r="739" spans="4:17" hidden="1" x14ac:dyDescent="0.4">
      <c r="D739" s="45" t="s">
        <v>197</v>
      </c>
      <c r="E739" s="45" t="s">
        <v>198</v>
      </c>
      <c r="F739" s="45" t="s">
        <v>199</v>
      </c>
      <c r="G739" s="45" t="s">
        <v>200</v>
      </c>
      <c r="H739" s="50" t="s">
        <v>3</v>
      </c>
      <c r="I739" s="49">
        <v>46071</v>
      </c>
      <c r="J739" s="45" t="s">
        <v>257</v>
      </c>
      <c r="K739" s="45" t="s">
        <v>444</v>
      </c>
      <c r="L739" s="48"/>
      <c r="M739" s="47">
        <v>50</v>
      </c>
      <c r="N739" s="47">
        <v>50</v>
      </c>
      <c r="O739" s="46">
        <v>1</v>
      </c>
      <c r="Q739" s="45" t="s">
        <v>23</v>
      </c>
    </row>
    <row r="740" spans="4:17" hidden="1" x14ac:dyDescent="0.4">
      <c r="D740" s="45" t="s">
        <v>201</v>
      </c>
      <c r="E740" s="45" t="s">
        <v>143</v>
      </c>
      <c r="F740" s="45" t="s">
        <v>202</v>
      </c>
      <c r="G740" s="45" t="s">
        <v>203</v>
      </c>
      <c r="H740" s="50" t="s">
        <v>3</v>
      </c>
      <c r="I740" s="49">
        <v>46071</v>
      </c>
      <c r="J740" s="45" t="s">
        <v>257</v>
      </c>
      <c r="K740" s="45" t="s">
        <v>444</v>
      </c>
      <c r="L740" s="48"/>
      <c r="M740" s="47">
        <v>0</v>
      </c>
      <c r="N740" s="47">
        <v>50</v>
      </c>
      <c r="O740" s="46">
        <v>0</v>
      </c>
      <c r="Q740" s="45" t="s">
        <v>23</v>
      </c>
    </row>
    <row r="741" spans="4:17" hidden="1" x14ac:dyDescent="0.4">
      <c r="D741" s="45" t="s">
        <v>205</v>
      </c>
      <c r="E741" s="45" t="s">
        <v>206</v>
      </c>
      <c r="F741" s="45" t="s">
        <v>207</v>
      </c>
      <c r="G741" s="45" t="s">
        <v>208</v>
      </c>
      <c r="H741" s="50" t="s">
        <v>3</v>
      </c>
      <c r="I741" s="49">
        <v>46071</v>
      </c>
      <c r="J741" s="45" t="s">
        <v>257</v>
      </c>
      <c r="K741" s="45" t="s">
        <v>444</v>
      </c>
      <c r="L741" s="48"/>
      <c r="M741" s="47">
        <v>50</v>
      </c>
      <c r="N741" s="47">
        <v>50</v>
      </c>
      <c r="O741" s="46">
        <v>1</v>
      </c>
      <c r="Q741" s="45" t="s">
        <v>23</v>
      </c>
    </row>
    <row r="742" spans="4:17" hidden="1" x14ac:dyDescent="0.4">
      <c r="D742" s="45" t="s">
        <v>210</v>
      </c>
      <c r="E742" s="45" t="s">
        <v>211</v>
      </c>
      <c r="F742" s="45" t="s">
        <v>212</v>
      </c>
      <c r="G742" s="45" t="s">
        <v>213</v>
      </c>
      <c r="H742" s="50" t="s">
        <v>3</v>
      </c>
      <c r="I742" s="49">
        <v>46071</v>
      </c>
      <c r="J742" s="45" t="s">
        <v>257</v>
      </c>
      <c r="K742" s="45" t="s">
        <v>444</v>
      </c>
      <c r="L742" s="48"/>
      <c r="M742" s="47">
        <v>50</v>
      </c>
      <c r="N742" s="47">
        <v>50</v>
      </c>
      <c r="O742" s="46">
        <v>1</v>
      </c>
      <c r="Q742" s="45" t="s">
        <v>23</v>
      </c>
    </row>
    <row r="743" spans="4:17" hidden="1" x14ac:dyDescent="0.4">
      <c r="D743" s="45" t="s">
        <v>215</v>
      </c>
      <c r="E743" s="45" t="s">
        <v>216</v>
      </c>
      <c r="F743" s="45" t="s">
        <v>217</v>
      </c>
      <c r="G743" s="45" t="s">
        <v>218</v>
      </c>
      <c r="H743" s="50" t="s">
        <v>3</v>
      </c>
      <c r="I743" s="49">
        <v>46071</v>
      </c>
      <c r="J743" s="45" t="s">
        <v>257</v>
      </c>
      <c r="K743" s="45" t="s">
        <v>444</v>
      </c>
      <c r="L743" s="48"/>
      <c r="M743" s="47">
        <v>50</v>
      </c>
      <c r="N743" s="47">
        <v>50</v>
      </c>
      <c r="O743" s="46">
        <v>1</v>
      </c>
      <c r="Q743" s="45" t="s">
        <v>23</v>
      </c>
    </row>
    <row r="744" spans="4:17" hidden="1" x14ac:dyDescent="0.4">
      <c r="D744" s="45" t="s">
        <v>24</v>
      </c>
      <c r="E744" s="45" t="s">
        <v>25</v>
      </c>
      <c r="F744" s="45" t="s">
        <v>26</v>
      </c>
      <c r="G744" s="45" t="s">
        <v>27</v>
      </c>
      <c r="H744" s="50" t="s">
        <v>4</v>
      </c>
      <c r="I744" s="49">
        <v>46078</v>
      </c>
      <c r="J744" s="45" t="s">
        <v>258</v>
      </c>
      <c r="K744" s="45" t="s">
        <v>444</v>
      </c>
      <c r="L744" s="48" t="s">
        <v>259</v>
      </c>
      <c r="M744" s="47">
        <v>50</v>
      </c>
      <c r="N744" s="47">
        <v>50</v>
      </c>
      <c r="O744" s="46">
        <v>1</v>
      </c>
      <c r="Q744" s="45" t="s">
        <v>23</v>
      </c>
    </row>
    <row r="745" spans="4:17" hidden="1" x14ac:dyDescent="0.4">
      <c r="D745" s="45" t="s">
        <v>31</v>
      </c>
      <c r="E745" s="45" t="s">
        <v>32</v>
      </c>
      <c r="F745" s="45" t="s">
        <v>33</v>
      </c>
      <c r="G745" s="45" t="s">
        <v>34</v>
      </c>
      <c r="H745" s="50" t="s">
        <v>4</v>
      </c>
      <c r="I745" s="49">
        <v>46078</v>
      </c>
      <c r="J745" s="45" t="s">
        <v>258</v>
      </c>
      <c r="K745" s="45" t="s">
        <v>444</v>
      </c>
      <c r="L745" s="48" t="s">
        <v>260</v>
      </c>
      <c r="M745" s="47">
        <v>35</v>
      </c>
      <c r="N745" s="47">
        <v>50</v>
      </c>
      <c r="O745" s="46">
        <v>0.7</v>
      </c>
      <c r="Q745" s="45" t="s">
        <v>23</v>
      </c>
    </row>
    <row r="746" spans="4:17" hidden="1" x14ac:dyDescent="0.4">
      <c r="D746" s="45" t="s">
        <v>36</v>
      </c>
      <c r="E746" s="45" t="s">
        <v>37</v>
      </c>
      <c r="F746" s="45" t="s">
        <v>38</v>
      </c>
      <c r="G746" s="45" t="s">
        <v>39</v>
      </c>
      <c r="H746" s="50" t="s">
        <v>4</v>
      </c>
      <c r="I746" s="49">
        <v>46078</v>
      </c>
      <c r="J746" s="45" t="s">
        <v>258</v>
      </c>
      <c r="K746" s="45" t="s">
        <v>444</v>
      </c>
      <c r="L746" s="48" t="s">
        <v>261</v>
      </c>
      <c r="M746" s="47">
        <v>40</v>
      </c>
      <c r="N746" s="47">
        <v>50</v>
      </c>
      <c r="O746" s="46">
        <v>0.8</v>
      </c>
      <c r="Q746" s="45" t="s">
        <v>23</v>
      </c>
    </row>
    <row r="747" spans="4:17" hidden="1" x14ac:dyDescent="0.4">
      <c r="D747" s="45" t="s">
        <v>41</v>
      </c>
      <c r="E747" s="45" t="s">
        <v>42</v>
      </c>
      <c r="F747" s="45" t="s">
        <v>43</v>
      </c>
      <c r="G747" s="45" t="s">
        <v>44</v>
      </c>
      <c r="H747" s="50" t="s">
        <v>4</v>
      </c>
      <c r="I747" s="49">
        <v>46078</v>
      </c>
      <c r="J747" s="45" t="s">
        <v>258</v>
      </c>
      <c r="K747" s="45" t="s">
        <v>444</v>
      </c>
      <c r="L747" s="48" t="s">
        <v>262</v>
      </c>
      <c r="M747" s="47">
        <v>30</v>
      </c>
      <c r="N747" s="47">
        <v>50</v>
      </c>
      <c r="O747" s="46">
        <v>0.6</v>
      </c>
      <c r="Q747" s="45" t="s">
        <v>23</v>
      </c>
    </row>
    <row r="748" spans="4:17" hidden="1" x14ac:dyDescent="0.4">
      <c r="D748" s="45" t="s">
        <v>46</v>
      </c>
      <c r="E748" s="45" t="s">
        <v>47</v>
      </c>
      <c r="F748" s="45" t="s">
        <v>48</v>
      </c>
      <c r="G748" s="45" t="s">
        <v>49</v>
      </c>
      <c r="H748" s="50" t="s">
        <v>4</v>
      </c>
      <c r="I748" s="49">
        <v>46078</v>
      </c>
      <c r="J748" s="45" t="s">
        <v>258</v>
      </c>
      <c r="K748" s="45" t="s">
        <v>444</v>
      </c>
      <c r="L748" s="48" t="s">
        <v>262</v>
      </c>
      <c r="M748" s="47">
        <v>30</v>
      </c>
      <c r="N748" s="47">
        <v>50</v>
      </c>
      <c r="O748" s="46">
        <v>0.6</v>
      </c>
      <c r="Q748" s="45" t="s">
        <v>23</v>
      </c>
    </row>
    <row r="749" spans="4:17" hidden="1" x14ac:dyDescent="0.4">
      <c r="D749" s="45" t="s">
        <v>51</v>
      </c>
      <c r="E749" s="45" t="s">
        <v>52</v>
      </c>
      <c r="F749" s="45" t="s">
        <v>53</v>
      </c>
      <c r="G749" s="45" t="s">
        <v>54</v>
      </c>
      <c r="H749" s="50" t="s">
        <v>4</v>
      </c>
      <c r="I749" s="49">
        <v>46078</v>
      </c>
      <c r="J749" s="45" t="s">
        <v>258</v>
      </c>
      <c r="K749" s="45" t="s">
        <v>444</v>
      </c>
      <c r="L749" s="48" t="s">
        <v>263</v>
      </c>
      <c r="M749" s="47">
        <v>0</v>
      </c>
      <c r="N749" s="47">
        <v>50</v>
      </c>
      <c r="O749" s="46">
        <v>0</v>
      </c>
      <c r="Q749" s="45" t="s">
        <v>23</v>
      </c>
    </row>
    <row r="750" spans="4:17" hidden="1" x14ac:dyDescent="0.4">
      <c r="D750" s="45" t="s">
        <v>56</v>
      </c>
      <c r="E750" s="45" t="s">
        <v>52</v>
      </c>
      <c r="F750" s="45" t="s">
        <v>57</v>
      </c>
      <c r="G750" s="45" t="s">
        <v>58</v>
      </c>
      <c r="H750" s="50" t="s">
        <v>4</v>
      </c>
      <c r="I750" s="49">
        <v>46078</v>
      </c>
      <c r="J750" s="45" t="s">
        <v>258</v>
      </c>
      <c r="K750" s="45" t="s">
        <v>444</v>
      </c>
      <c r="L750" s="48" t="s">
        <v>264</v>
      </c>
      <c r="M750" s="47">
        <v>50</v>
      </c>
      <c r="N750" s="47">
        <v>50</v>
      </c>
      <c r="O750" s="46">
        <v>1</v>
      </c>
      <c r="Q750" s="45" t="s">
        <v>23</v>
      </c>
    </row>
    <row r="751" spans="4:17" hidden="1" x14ac:dyDescent="0.4">
      <c r="D751" s="45" t="s">
        <v>60</v>
      </c>
      <c r="E751" s="45" t="s">
        <v>61</v>
      </c>
      <c r="F751" s="45" t="s">
        <v>62</v>
      </c>
      <c r="G751" s="45" t="s">
        <v>63</v>
      </c>
      <c r="H751" s="50" t="s">
        <v>4</v>
      </c>
      <c r="I751" s="49">
        <v>46078</v>
      </c>
      <c r="J751" s="45" t="s">
        <v>258</v>
      </c>
      <c r="K751" s="45" t="s">
        <v>444</v>
      </c>
      <c r="L751" s="48" t="s">
        <v>265</v>
      </c>
      <c r="M751" s="47">
        <v>10</v>
      </c>
      <c r="N751" s="47">
        <v>50</v>
      </c>
      <c r="O751" s="46">
        <v>0.2</v>
      </c>
      <c r="Q751" s="45" t="s">
        <v>23</v>
      </c>
    </row>
    <row r="752" spans="4:17" hidden="1" x14ac:dyDescent="0.4">
      <c r="D752" s="45" t="s">
        <v>65</v>
      </c>
      <c r="E752" s="45" t="s">
        <v>66</v>
      </c>
      <c r="F752" s="45" t="s">
        <v>67</v>
      </c>
      <c r="G752" s="45" t="s">
        <v>68</v>
      </c>
      <c r="H752" s="50" t="s">
        <v>4</v>
      </c>
      <c r="I752" s="49">
        <v>46078</v>
      </c>
      <c r="J752" s="45" t="s">
        <v>258</v>
      </c>
      <c r="K752" s="45" t="s">
        <v>444</v>
      </c>
      <c r="L752" s="48" t="s">
        <v>266</v>
      </c>
      <c r="M752" s="47">
        <v>50</v>
      </c>
      <c r="N752" s="47">
        <v>50</v>
      </c>
      <c r="O752" s="46">
        <v>1</v>
      </c>
      <c r="Q752" s="45" t="s">
        <v>23</v>
      </c>
    </row>
    <row r="753" spans="4:17" hidden="1" x14ac:dyDescent="0.4">
      <c r="D753" s="45" t="s">
        <v>70</v>
      </c>
      <c r="E753" s="45" t="s">
        <v>71</v>
      </c>
      <c r="F753" s="45" t="s">
        <v>72</v>
      </c>
      <c r="G753" s="45" t="s">
        <v>73</v>
      </c>
      <c r="H753" s="50" t="s">
        <v>4</v>
      </c>
      <c r="I753" s="49">
        <v>46078</v>
      </c>
      <c r="J753" s="45" t="s">
        <v>258</v>
      </c>
      <c r="K753" s="45" t="s">
        <v>444</v>
      </c>
      <c r="L753" s="48" t="s">
        <v>266</v>
      </c>
      <c r="M753" s="47">
        <v>50</v>
      </c>
      <c r="N753" s="47">
        <v>50</v>
      </c>
      <c r="O753" s="46">
        <v>1</v>
      </c>
      <c r="Q753" s="45" t="s">
        <v>23</v>
      </c>
    </row>
    <row r="754" spans="4:17" hidden="1" x14ac:dyDescent="0.4">
      <c r="D754" s="45" t="s">
        <v>75</v>
      </c>
      <c r="E754" s="45" t="s">
        <v>76</v>
      </c>
      <c r="F754" s="45" t="s">
        <v>77</v>
      </c>
      <c r="G754" s="45" t="s">
        <v>78</v>
      </c>
      <c r="H754" s="50" t="s">
        <v>4</v>
      </c>
      <c r="I754" s="49">
        <v>46078</v>
      </c>
      <c r="J754" s="45" t="s">
        <v>258</v>
      </c>
      <c r="K754" s="45" t="s">
        <v>444</v>
      </c>
      <c r="L754" s="48" t="s">
        <v>267</v>
      </c>
      <c r="M754" s="47">
        <v>55</v>
      </c>
      <c r="N754" s="47">
        <v>50</v>
      </c>
      <c r="O754" s="46">
        <v>1.1000000000000001</v>
      </c>
      <c r="Q754" s="45" t="s">
        <v>23</v>
      </c>
    </row>
    <row r="755" spans="4:17" hidden="1" x14ac:dyDescent="0.4">
      <c r="D755" s="45" t="s">
        <v>80</v>
      </c>
      <c r="E755" s="45" t="s">
        <v>81</v>
      </c>
      <c r="F755" s="45" t="s">
        <v>82</v>
      </c>
      <c r="G755" s="45" t="s">
        <v>83</v>
      </c>
      <c r="H755" s="50" t="s">
        <v>4</v>
      </c>
      <c r="I755" s="49">
        <v>46078</v>
      </c>
      <c r="J755" s="45" t="s">
        <v>258</v>
      </c>
      <c r="K755" s="45" t="s">
        <v>444</v>
      </c>
      <c r="L755" s="48" t="s">
        <v>261</v>
      </c>
      <c r="M755" s="47">
        <v>40</v>
      </c>
      <c r="N755" s="47">
        <v>50</v>
      </c>
      <c r="O755" s="46">
        <v>0.8</v>
      </c>
      <c r="Q755" s="45" t="s">
        <v>23</v>
      </c>
    </row>
    <row r="756" spans="4:17" hidden="1" x14ac:dyDescent="0.4">
      <c r="D756" s="45" t="s">
        <v>85</v>
      </c>
      <c r="E756" s="45" t="s">
        <v>86</v>
      </c>
      <c r="F756" s="45" t="s">
        <v>87</v>
      </c>
      <c r="G756" s="45" t="s">
        <v>88</v>
      </c>
      <c r="H756" s="50" t="s">
        <v>4</v>
      </c>
      <c r="I756" s="49">
        <v>46078</v>
      </c>
      <c r="J756" s="45" t="s">
        <v>258</v>
      </c>
      <c r="K756" s="45" t="s">
        <v>444</v>
      </c>
      <c r="L756" s="48" t="s">
        <v>268</v>
      </c>
      <c r="M756" s="47">
        <v>55</v>
      </c>
      <c r="N756" s="47">
        <v>50</v>
      </c>
      <c r="O756" s="46">
        <v>1.1000000000000001</v>
      </c>
      <c r="Q756" s="45" t="s">
        <v>23</v>
      </c>
    </row>
    <row r="757" spans="4:17" hidden="1" x14ac:dyDescent="0.4">
      <c r="D757" s="45" t="s">
        <v>89</v>
      </c>
      <c r="E757" s="45" t="s">
        <v>90</v>
      </c>
      <c r="F757" s="45" t="s">
        <v>91</v>
      </c>
      <c r="G757" s="45" t="s">
        <v>92</v>
      </c>
      <c r="H757" s="50" t="s">
        <v>4</v>
      </c>
      <c r="I757" s="49">
        <v>46078</v>
      </c>
      <c r="J757" s="45" t="s">
        <v>258</v>
      </c>
      <c r="K757" s="45" t="s">
        <v>444</v>
      </c>
      <c r="L757" s="48" t="s">
        <v>263</v>
      </c>
      <c r="M757" s="47">
        <v>0</v>
      </c>
      <c r="N757" s="47">
        <v>50</v>
      </c>
      <c r="O757" s="46">
        <v>0</v>
      </c>
      <c r="Q757" s="45" t="s">
        <v>23</v>
      </c>
    </row>
    <row r="758" spans="4:17" hidden="1" x14ac:dyDescent="0.4">
      <c r="D758" s="45" t="s">
        <v>94</v>
      </c>
      <c r="E758" s="45" t="s">
        <v>95</v>
      </c>
      <c r="F758" s="45" t="s">
        <v>96</v>
      </c>
      <c r="G758" s="45" t="s">
        <v>97</v>
      </c>
      <c r="H758" s="50" t="s">
        <v>4</v>
      </c>
      <c r="I758" s="49">
        <v>46078</v>
      </c>
      <c r="J758" s="45" t="s">
        <v>258</v>
      </c>
      <c r="K758" s="45" t="s">
        <v>444</v>
      </c>
      <c r="L758" s="48" t="s">
        <v>269</v>
      </c>
      <c r="M758" s="47">
        <v>0</v>
      </c>
      <c r="N758" s="47">
        <v>50</v>
      </c>
      <c r="O758" s="46">
        <v>0</v>
      </c>
      <c r="Q758" s="45" t="s">
        <v>23</v>
      </c>
    </row>
    <row r="759" spans="4:17" hidden="1" x14ac:dyDescent="0.4">
      <c r="D759" s="45" t="s">
        <v>99</v>
      </c>
      <c r="E759" s="45" t="s">
        <v>100</v>
      </c>
      <c r="F759" s="45" t="s">
        <v>101</v>
      </c>
      <c r="G759" s="45" t="s">
        <v>102</v>
      </c>
      <c r="H759" s="50" t="s">
        <v>4</v>
      </c>
      <c r="I759" s="49">
        <v>46078</v>
      </c>
      <c r="J759" s="45" t="s">
        <v>258</v>
      </c>
      <c r="K759" s="45" t="s">
        <v>444</v>
      </c>
      <c r="L759" s="48" t="s">
        <v>264</v>
      </c>
      <c r="M759" s="47">
        <v>50</v>
      </c>
      <c r="N759" s="47">
        <v>50</v>
      </c>
      <c r="O759" s="46">
        <v>1</v>
      </c>
      <c r="Q759" s="45" t="s">
        <v>23</v>
      </c>
    </row>
    <row r="760" spans="4:17" hidden="1" x14ac:dyDescent="0.4">
      <c r="D760" s="45" t="s">
        <v>104</v>
      </c>
      <c r="E760" s="45" t="s">
        <v>86</v>
      </c>
      <c r="F760" s="45" t="s">
        <v>105</v>
      </c>
      <c r="G760" s="45" t="s">
        <v>106</v>
      </c>
      <c r="H760" s="50" t="s">
        <v>4</v>
      </c>
      <c r="I760" s="49">
        <v>46078</v>
      </c>
      <c r="J760" s="45" t="s">
        <v>258</v>
      </c>
      <c r="K760" s="45" t="s">
        <v>444</v>
      </c>
      <c r="L760" s="48" t="s">
        <v>268</v>
      </c>
      <c r="M760" s="47">
        <v>55</v>
      </c>
      <c r="N760" s="47">
        <v>50</v>
      </c>
      <c r="O760" s="46">
        <v>1.1000000000000001</v>
      </c>
      <c r="Q760" s="45" t="s">
        <v>23</v>
      </c>
    </row>
    <row r="761" spans="4:17" hidden="1" x14ac:dyDescent="0.4">
      <c r="D761" s="45" t="s">
        <v>107</v>
      </c>
      <c r="E761" s="45" t="s">
        <v>108</v>
      </c>
      <c r="F761" s="45" t="s">
        <v>109</v>
      </c>
      <c r="G761" s="45" t="s">
        <v>110</v>
      </c>
      <c r="H761" s="50" t="s">
        <v>4</v>
      </c>
      <c r="I761" s="49">
        <v>46078</v>
      </c>
      <c r="J761" s="45" t="s">
        <v>258</v>
      </c>
      <c r="K761" s="45" t="s">
        <v>444</v>
      </c>
      <c r="L761" s="48" t="s">
        <v>270</v>
      </c>
      <c r="M761" s="47">
        <v>55</v>
      </c>
      <c r="N761" s="47">
        <v>50</v>
      </c>
      <c r="O761" s="46">
        <v>1.1000000000000001</v>
      </c>
      <c r="Q761" s="45" t="s">
        <v>23</v>
      </c>
    </row>
    <row r="762" spans="4:17" hidden="1" x14ac:dyDescent="0.4">
      <c r="D762" s="45" t="s">
        <v>112</v>
      </c>
      <c r="E762" s="45" t="s">
        <v>113</v>
      </c>
      <c r="F762" s="45" t="s">
        <v>114</v>
      </c>
      <c r="G762" s="45" t="s">
        <v>115</v>
      </c>
      <c r="H762" s="50" t="s">
        <v>4</v>
      </c>
      <c r="I762" s="49">
        <v>46078</v>
      </c>
      <c r="J762" s="45" t="s">
        <v>258</v>
      </c>
      <c r="K762" s="45" t="s">
        <v>444</v>
      </c>
      <c r="L762" s="48" t="s">
        <v>271</v>
      </c>
      <c r="M762" s="47">
        <v>38</v>
      </c>
      <c r="N762" s="47">
        <v>50</v>
      </c>
      <c r="O762" s="46">
        <v>0.76</v>
      </c>
      <c r="Q762" s="45" t="s">
        <v>23</v>
      </c>
    </row>
    <row r="763" spans="4:17" hidden="1" x14ac:dyDescent="0.4">
      <c r="D763" s="45" t="s">
        <v>117</v>
      </c>
      <c r="E763" s="45" t="s">
        <v>118</v>
      </c>
      <c r="F763" s="45" t="s">
        <v>119</v>
      </c>
      <c r="G763" s="45" t="s">
        <v>120</v>
      </c>
      <c r="H763" s="50" t="s">
        <v>4</v>
      </c>
      <c r="I763" s="49">
        <v>46078</v>
      </c>
      <c r="J763" s="45" t="s">
        <v>258</v>
      </c>
      <c r="K763" s="45" t="s">
        <v>444</v>
      </c>
      <c r="L763" s="48" t="s">
        <v>270</v>
      </c>
      <c r="M763" s="47">
        <v>55</v>
      </c>
      <c r="N763" s="47">
        <v>50</v>
      </c>
      <c r="O763" s="46">
        <v>1.1000000000000001</v>
      </c>
      <c r="Q763" s="45" t="s">
        <v>23</v>
      </c>
    </row>
    <row r="764" spans="4:17" hidden="1" x14ac:dyDescent="0.4">
      <c r="D764" s="45" t="s">
        <v>122</v>
      </c>
      <c r="E764" s="45" t="s">
        <v>123</v>
      </c>
      <c r="F764" s="45" t="s">
        <v>124</v>
      </c>
      <c r="G764" s="45" t="s">
        <v>125</v>
      </c>
      <c r="H764" s="50" t="s">
        <v>4</v>
      </c>
      <c r="I764" s="49">
        <v>46078</v>
      </c>
      <c r="J764" s="45" t="s">
        <v>258</v>
      </c>
      <c r="K764" s="45" t="s">
        <v>444</v>
      </c>
      <c r="L764" s="48" t="s">
        <v>264</v>
      </c>
      <c r="M764" s="47">
        <v>50</v>
      </c>
      <c r="N764" s="47">
        <v>50</v>
      </c>
      <c r="O764" s="46">
        <v>1</v>
      </c>
      <c r="Q764" s="45" t="s">
        <v>23</v>
      </c>
    </row>
    <row r="765" spans="4:17" hidden="1" x14ac:dyDescent="0.4">
      <c r="D765" s="45" t="s">
        <v>127</v>
      </c>
      <c r="E765" s="45" t="s">
        <v>128</v>
      </c>
      <c r="F765" s="45" t="s">
        <v>129</v>
      </c>
      <c r="G765" s="45" t="s">
        <v>130</v>
      </c>
      <c r="H765" s="50" t="s">
        <v>4</v>
      </c>
      <c r="I765" s="49">
        <v>46078</v>
      </c>
      <c r="J765" s="45" t="s">
        <v>258</v>
      </c>
      <c r="K765" s="45" t="s">
        <v>444</v>
      </c>
      <c r="L765" s="48" t="s">
        <v>267</v>
      </c>
      <c r="M765" s="47">
        <v>55</v>
      </c>
      <c r="N765" s="47">
        <v>50</v>
      </c>
      <c r="O765" s="46">
        <v>1.1000000000000001</v>
      </c>
      <c r="Q765" s="45" t="s">
        <v>23</v>
      </c>
    </row>
    <row r="766" spans="4:17" hidden="1" x14ac:dyDescent="0.4">
      <c r="D766" s="45" t="s">
        <v>132</v>
      </c>
      <c r="E766" s="45" t="s">
        <v>133</v>
      </c>
      <c r="F766" s="45" t="s">
        <v>134</v>
      </c>
      <c r="G766" s="45" t="s">
        <v>135</v>
      </c>
      <c r="H766" s="50" t="s">
        <v>4</v>
      </c>
      <c r="I766" s="49">
        <v>46078</v>
      </c>
      <c r="J766" s="45" t="s">
        <v>258</v>
      </c>
      <c r="K766" s="45" t="s">
        <v>444</v>
      </c>
      <c r="L766" s="48" t="s">
        <v>267</v>
      </c>
      <c r="M766" s="47">
        <v>55</v>
      </c>
      <c r="N766" s="47">
        <v>50</v>
      </c>
      <c r="O766" s="46">
        <v>1.1000000000000001</v>
      </c>
      <c r="Q766" s="45" t="s">
        <v>23</v>
      </c>
    </row>
    <row r="767" spans="4:17" hidden="1" x14ac:dyDescent="0.4">
      <c r="D767" s="45" t="s">
        <v>137</v>
      </c>
      <c r="E767" s="45" t="s">
        <v>138</v>
      </c>
      <c r="F767" s="45" t="s">
        <v>139</v>
      </c>
      <c r="G767" s="45" t="s">
        <v>140</v>
      </c>
      <c r="H767" s="50" t="s">
        <v>4</v>
      </c>
      <c r="I767" s="49">
        <v>46078</v>
      </c>
      <c r="J767" s="45" t="s">
        <v>258</v>
      </c>
      <c r="K767" s="45" t="s">
        <v>444</v>
      </c>
      <c r="L767" s="48" t="s">
        <v>272</v>
      </c>
      <c r="M767" s="47">
        <v>55</v>
      </c>
      <c r="N767" s="47">
        <v>50</v>
      </c>
      <c r="O767" s="46">
        <v>1.1000000000000001</v>
      </c>
      <c r="Q767" s="45" t="s">
        <v>23</v>
      </c>
    </row>
    <row r="768" spans="4:17" hidden="1" x14ac:dyDescent="0.4">
      <c r="D768" s="45" t="s">
        <v>142</v>
      </c>
      <c r="E768" s="45" t="s">
        <v>143</v>
      </c>
      <c r="F768" s="45" t="s">
        <v>144</v>
      </c>
      <c r="G768" s="45" t="s">
        <v>145</v>
      </c>
      <c r="H768" s="50" t="s">
        <v>4</v>
      </c>
      <c r="I768" s="49">
        <v>46078</v>
      </c>
      <c r="J768" s="45" t="s">
        <v>258</v>
      </c>
      <c r="K768" s="45" t="s">
        <v>444</v>
      </c>
      <c r="L768" s="48" t="s">
        <v>272</v>
      </c>
      <c r="M768" s="47">
        <v>55</v>
      </c>
      <c r="N768" s="47">
        <v>50</v>
      </c>
      <c r="O768" s="46">
        <v>1.1000000000000001</v>
      </c>
      <c r="Q768" s="45" t="s">
        <v>23</v>
      </c>
    </row>
    <row r="769" spans="4:17" hidden="1" x14ac:dyDescent="0.4">
      <c r="D769" s="45" t="s">
        <v>147</v>
      </c>
      <c r="E769" s="45" t="s">
        <v>148</v>
      </c>
      <c r="F769" s="45" t="s">
        <v>149</v>
      </c>
      <c r="G769" s="45" t="s">
        <v>150</v>
      </c>
      <c r="H769" s="50" t="s">
        <v>4</v>
      </c>
      <c r="I769" s="49">
        <v>46078</v>
      </c>
      <c r="J769" s="45" t="s">
        <v>258</v>
      </c>
      <c r="K769" s="45" t="s">
        <v>444</v>
      </c>
      <c r="L769" s="48" t="s">
        <v>273</v>
      </c>
      <c r="M769" s="47">
        <v>41</v>
      </c>
      <c r="N769" s="47">
        <v>50</v>
      </c>
      <c r="O769" s="46">
        <v>0.82</v>
      </c>
      <c r="Q769" s="45" t="s">
        <v>23</v>
      </c>
    </row>
    <row r="770" spans="4:17" hidden="1" x14ac:dyDescent="0.4">
      <c r="D770" s="45" t="s">
        <v>152</v>
      </c>
      <c r="E770" s="45" t="s">
        <v>66</v>
      </c>
      <c r="F770" s="45" t="s">
        <v>153</v>
      </c>
      <c r="G770" s="45" t="s">
        <v>154</v>
      </c>
      <c r="H770" s="50" t="s">
        <v>4</v>
      </c>
      <c r="I770" s="49">
        <v>46078</v>
      </c>
      <c r="J770" s="45" t="s">
        <v>258</v>
      </c>
      <c r="K770" s="45" t="s">
        <v>444</v>
      </c>
      <c r="L770" s="48" t="s">
        <v>271</v>
      </c>
      <c r="M770" s="47">
        <v>38</v>
      </c>
      <c r="N770" s="47">
        <v>50</v>
      </c>
      <c r="O770" s="46">
        <v>0.76</v>
      </c>
      <c r="Q770" s="45" t="s">
        <v>23</v>
      </c>
    </row>
    <row r="771" spans="4:17" hidden="1" x14ac:dyDescent="0.4">
      <c r="D771" s="45" t="s">
        <v>160</v>
      </c>
      <c r="E771" s="45" t="s">
        <v>81</v>
      </c>
      <c r="F771" s="45" t="s">
        <v>161</v>
      </c>
      <c r="G771" s="45" t="s">
        <v>162</v>
      </c>
      <c r="H771" s="50" t="s">
        <v>4</v>
      </c>
      <c r="I771" s="49">
        <v>46078</v>
      </c>
      <c r="J771" s="45" t="s">
        <v>258</v>
      </c>
      <c r="K771" s="45" t="s">
        <v>444</v>
      </c>
      <c r="L771" s="48" t="s">
        <v>269</v>
      </c>
      <c r="M771" s="47">
        <v>0</v>
      </c>
      <c r="N771" s="47">
        <v>50</v>
      </c>
      <c r="O771" s="46">
        <v>0</v>
      </c>
      <c r="Q771" s="45" t="s">
        <v>23</v>
      </c>
    </row>
    <row r="772" spans="4:17" hidden="1" x14ac:dyDescent="0.4">
      <c r="D772" s="45" t="s">
        <v>163</v>
      </c>
      <c r="E772" s="45" t="s">
        <v>164</v>
      </c>
      <c r="F772" s="45" t="s">
        <v>165</v>
      </c>
      <c r="G772" s="45" t="s">
        <v>166</v>
      </c>
      <c r="H772" s="50" t="s">
        <v>4</v>
      </c>
      <c r="I772" s="49">
        <v>46078</v>
      </c>
      <c r="J772" s="45" t="s">
        <v>258</v>
      </c>
      <c r="K772" s="45" t="s">
        <v>444</v>
      </c>
      <c r="L772" s="48" t="s">
        <v>262</v>
      </c>
      <c r="M772" s="47">
        <v>30</v>
      </c>
      <c r="N772" s="47">
        <v>50</v>
      </c>
      <c r="O772" s="46">
        <v>0.6</v>
      </c>
      <c r="Q772" s="45" t="s">
        <v>23</v>
      </c>
    </row>
    <row r="773" spans="4:17" hidden="1" x14ac:dyDescent="0.4">
      <c r="D773" s="45" t="s">
        <v>168</v>
      </c>
      <c r="E773" s="45" t="s">
        <v>169</v>
      </c>
      <c r="F773" s="45" t="s">
        <v>170</v>
      </c>
      <c r="G773" s="45" t="s">
        <v>171</v>
      </c>
      <c r="H773" s="50" t="s">
        <v>4</v>
      </c>
      <c r="I773" s="49">
        <v>46078</v>
      </c>
      <c r="J773" s="45" t="s">
        <v>258</v>
      </c>
      <c r="K773" s="45" t="s">
        <v>444</v>
      </c>
      <c r="L773" s="48" t="s">
        <v>266</v>
      </c>
      <c r="M773" s="47">
        <v>50</v>
      </c>
      <c r="N773" s="47">
        <v>50</v>
      </c>
      <c r="O773" s="46">
        <v>1</v>
      </c>
      <c r="Q773" s="45" t="s">
        <v>23</v>
      </c>
    </row>
    <row r="774" spans="4:17" hidden="1" x14ac:dyDescent="0.4">
      <c r="D774" s="45" t="s">
        <v>173</v>
      </c>
      <c r="E774" s="45" t="s">
        <v>174</v>
      </c>
      <c r="F774" s="45" t="s">
        <v>175</v>
      </c>
      <c r="G774" s="45" t="s">
        <v>176</v>
      </c>
      <c r="H774" s="50" t="s">
        <v>4</v>
      </c>
      <c r="I774" s="49">
        <v>46078</v>
      </c>
      <c r="J774" s="45" t="s">
        <v>258</v>
      </c>
      <c r="K774" s="45" t="s">
        <v>444</v>
      </c>
      <c r="L774" s="48" t="s">
        <v>259</v>
      </c>
      <c r="M774" s="47">
        <v>50</v>
      </c>
      <c r="N774" s="47">
        <v>50</v>
      </c>
      <c r="O774" s="46">
        <v>1</v>
      </c>
      <c r="Q774" s="45" t="s">
        <v>23</v>
      </c>
    </row>
    <row r="775" spans="4:17" hidden="1" x14ac:dyDescent="0.4">
      <c r="D775" s="45" t="s">
        <v>178</v>
      </c>
      <c r="E775" s="45" t="s">
        <v>179</v>
      </c>
      <c r="F775" s="45" t="s">
        <v>180</v>
      </c>
      <c r="G775" s="45" t="s">
        <v>181</v>
      </c>
      <c r="H775" s="50" t="s">
        <v>4</v>
      </c>
      <c r="I775" s="49">
        <v>46078</v>
      </c>
      <c r="J775" s="45" t="s">
        <v>258</v>
      </c>
      <c r="K775" s="45" t="s">
        <v>444</v>
      </c>
      <c r="L775" s="48" t="s">
        <v>273</v>
      </c>
      <c r="M775" s="47">
        <v>41</v>
      </c>
      <c r="N775" s="47">
        <v>50</v>
      </c>
      <c r="O775" s="46">
        <v>0.82</v>
      </c>
      <c r="Q775" s="45" t="s">
        <v>23</v>
      </c>
    </row>
    <row r="776" spans="4:17" hidden="1" x14ac:dyDescent="0.4">
      <c r="D776" s="45" t="s">
        <v>187</v>
      </c>
      <c r="E776" s="45" t="s">
        <v>188</v>
      </c>
      <c r="F776" s="45" t="s">
        <v>189</v>
      </c>
      <c r="G776" s="45" t="s">
        <v>190</v>
      </c>
      <c r="H776" s="50" t="s">
        <v>4</v>
      </c>
      <c r="I776" s="49">
        <v>46078</v>
      </c>
      <c r="J776" s="45" t="s">
        <v>258</v>
      </c>
      <c r="K776" s="45" t="s">
        <v>444</v>
      </c>
      <c r="L776" s="48" t="s">
        <v>274</v>
      </c>
      <c r="M776" s="47">
        <v>40</v>
      </c>
      <c r="N776" s="47">
        <v>50</v>
      </c>
      <c r="O776" s="46">
        <v>0.8</v>
      </c>
      <c r="Q776" s="45" t="s">
        <v>23</v>
      </c>
    </row>
    <row r="777" spans="4:17" hidden="1" x14ac:dyDescent="0.4">
      <c r="D777" s="45" t="s">
        <v>192</v>
      </c>
      <c r="E777" s="45" t="s">
        <v>193</v>
      </c>
      <c r="F777" s="45" t="s">
        <v>194</v>
      </c>
      <c r="G777" s="45" t="s">
        <v>195</v>
      </c>
      <c r="H777" s="50" t="s">
        <v>4</v>
      </c>
      <c r="I777" s="49">
        <v>46078</v>
      </c>
      <c r="J777" s="45" t="s">
        <v>258</v>
      </c>
      <c r="K777" s="45" t="s">
        <v>444</v>
      </c>
      <c r="L777" s="48" t="s">
        <v>274</v>
      </c>
      <c r="M777" s="47">
        <v>40</v>
      </c>
      <c r="N777" s="47">
        <v>50</v>
      </c>
      <c r="O777" s="46">
        <v>0.8</v>
      </c>
      <c r="Q777" s="45" t="s">
        <v>23</v>
      </c>
    </row>
    <row r="778" spans="4:17" hidden="1" x14ac:dyDescent="0.4">
      <c r="D778" s="45" t="s">
        <v>197</v>
      </c>
      <c r="E778" s="45" t="s">
        <v>198</v>
      </c>
      <c r="F778" s="45" t="s">
        <v>199</v>
      </c>
      <c r="G778" s="45" t="s">
        <v>200</v>
      </c>
      <c r="H778" s="50" t="s">
        <v>4</v>
      </c>
      <c r="I778" s="49">
        <v>46078</v>
      </c>
      <c r="J778" s="45" t="s">
        <v>258</v>
      </c>
      <c r="K778" s="45" t="s">
        <v>444</v>
      </c>
      <c r="L778" s="48" t="s">
        <v>269</v>
      </c>
      <c r="M778" s="47">
        <v>0</v>
      </c>
      <c r="N778" s="47">
        <v>50</v>
      </c>
      <c r="O778" s="46">
        <v>0</v>
      </c>
      <c r="Q778" s="45" t="s">
        <v>23</v>
      </c>
    </row>
    <row r="779" spans="4:17" hidden="1" x14ac:dyDescent="0.4">
      <c r="D779" s="45" t="s">
        <v>201</v>
      </c>
      <c r="E779" s="45" t="s">
        <v>143</v>
      </c>
      <c r="F779" s="45" t="s">
        <v>202</v>
      </c>
      <c r="G779" s="45" t="s">
        <v>203</v>
      </c>
      <c r="H779" s="50" t="s">
        <v>4</v>
      </c>
      <c r="I779" s="49">
        <v>46078</v>
      </c>
      <c r="J779" s="45" t="s">
        <v>258</v>
      </c>
      <c r="K779" s="45" t="s">
        <v>444</v>
      </c>
      <c r="L779" s="48" t="s">
        <v>263</v>
      </c>
      <c r="M779" s="47">
        <v>0</v>
      </c>
      <c r="N779" s="47">
        <v>50</v>
      </c>
      <c r="O779" s="46">
        <v>0</v>
      </c>
      <c r="Q779" s="45" t="s">
        <v>23</v>
      </c>
    </row>
    <row r="780" spans="4:17" hidden="1" x14ac:dyDescent="0.4">
      <c r="D780" s="45" t="s">
        <v>205</v>
      </c>
      <c r="E780" s="45" t="s">
        <v>206</v>
      </c>
      <c r="F780" s="45" t="s">
        <v>207</v>
      </c>
      <c r="G780" s="45" t="s">
        <v>208</v>
      </c>
      <c r="H780" s="50" t="s">
        <v>4</v>
      </c>
      <c r="I780" s="49">
        <v>46078</v>
      </c>
      <c r="J780" s="45" t="s">
        <v>258</v>
      </c>
      <c r="K780" s="45" t="s">
        <v>444</v>
      </c>
      <c r="L780" s="48" t="s">
        <v>274</v>
      </c>
      <c r="M780" s="47">
        <v>40</v>
      </c>
      <c r="N780" s="47">
        <v>50</v>
      </c>
      <c r="O780" s="46">
        <v>0.8</v>
      </c>
      <c r="Q780" s="45" t="s">
        <v>23</v>
      </c>
    </row>
    <row r="781" spans="4:17" hidden="1" x14ac:dyDescent="0.4">
      <c r="D781" s="45" t="s">
        <v>210</v>
      </c>
      <c r="E781" s="45" t="s">
        <v>211</v>
      </c>
      <c r="F781" s="45" t="s">
        <v>212</v>
      </c>
      <c r="G781" s="45" t="s">
        <v>213</v>
      </c>
      <c r="H781" s="50" t="s">
        <v>4</v>
      </c>
      <c r="I781" s="49">
        <v>46078</v>
      </c>
      <c r="J781" s="45" t="s">
        <v>258</v>
      </c>
      <c r="K781" s="45" t="s">
        <v>444</v>
      </c>
      <c r="L781" s="48" t="s">
        <v>275</v>
      </c>
      <c r="M781" s="47">
        <v>45</v>
      </c>
      <c r="N781" s="47">
        <v>50</v>
      </c>
      <c r="O781" s="46">
        <v>0.9</v>
      </c>
      <c r="Q781" s="45" t="s">
        <v>23</v>
      </c>
    </row>
    <row r="782" spans="4:17" hidden="1" x14ac:dyDescent="0.4">
      <c r="D782" s="45" t="s">
        <v>215</v>
      </c>
      <c r="E782" s="45" t="s">
        <v>216</v>
      </c>
      <c r="F782" s="45" t="s">
        <v>217</v>
      </c>
      <c r="G782" s="45" t="s">
        <v>218</v>
      </c>
      <c r="H782" s="50" t="s">
        <v>4</v>
      </c>
      <c r="I782" s="49">
        <v>46078</v>
      </c>
      <c r="J782" s="45" t="s">
        <v>258</v>
      </c>
      <c r="K782" s="45" t="s">
        <v>444</v>
      </c>
      <c r="L782" s="48" t="s">
        <v>270</v>
      </c>
      <c r="M782" s="47">
        <v>55</v>
      </c>
      <c r="N782" s="47">
        <v>50</v>
      </c>
      <c r="O782" s="46">
        <v>1.1000000000000001</v>
      </c>
      <c r="Q782" s="45" t="s">
        <v>23</v>
      </c>
    </row>
    <row r="783" spans="4:17" hidden="1" x14ac:dyDescent="0.4">
      <c r="D783" s="45" t="s">
        <v>24</v>
      </c>
      <c r="E783" s="45" t="s">
        <v>25</v>
      </c>
      <c r="F783" s="45" t="s">
        <v>26</v>
      </c>
      <c r="G783" s="45" t="s">
        <v>27</v>
      </c>
      <c r="H783" s="50" t="s">
        <v>5</v>
      </c>
      <c r="I783" s="49">
        <v>46070</v>
      </c>
      <c r="J783" s="45" t="s">
        <v>276</v>
      </c>
      <c r="K783" s="45" t="s">
        <v>444</v>
      </c>
      <c r="L783" s="48" t="s">
        <v>277</v>
      </c>
      <c r="M783" s="47">
        <v>50</v>
      </c>
      <c r="N783" s="47">
        <v>50</v>
      </c>
      <c r="O783" s="46">
        <v>1</v>
      </c>
      <c r="Q783" s="45" t="s">
        <v>23</v>
      </c>
    </row>
    <row r="784" spans="4:17" hidden="1" x14ac:dyDescent="0.4">
      <c r="D784" s="45" t="s">
        <v>31</v>
      </c>
      <c r="E784" s="45" t="s">
        <v>32</v>
      </c>
      <c r="F784" s="45" t="s">
        <v>33</v>
      </c>
      <c r="G784" s="45" t="s">
        <v>34</v>
      </c>
      <c r="H784" s="50" t="s">
        <v>5</v>
      </c>
      <c r="I784" s="49">
        <v>46070</v>
      </c>
      <c r="J784" s="45" t="s">
        <v>276</v>
      </c>
      <c r="K784" s="45" t="s">
        <v>444</v>
      </c>
      <c r="L784" s="48" t="s">
        <v>278</v>
      </c>
      <c r="M784" s="47">
        <v>35</v>
      </c>
      <c r="N784" s="47">
        <v>50</v>
      </c>
      <c r="O784" s="46">
        <v>0.7</v>
      </c>
      <c r="Q784" s="45" t="s">
        <v>23</v>
      </c>
    </row>
    <row r="785" spans="4:17" hidden="1" x14ac:dyDescent="0.4">
      <c r="D785" s="45" t="s">
        <v>36</v>
      </c>
      <c r="E785" s="45" t="s">
        <v>37</v>
      </c>
      <c r="F785" s="45" t="s">
        <v>38</v>
      </c>
      <c r="G785" s="45" t="s">
        <v>39</v>
      </c>
      <c r="H785" s="50" t="s">
        <v>5</v>
      </c>
      <c r="I785" s="49">
        <v>46070</v>
      </c>
      <c r="J785" s="45" t="s">
        <v>276</v>
      </c>
      <c r="K785" s="45" t="s">
        <v>444</v>
      </c>
      <c r="L785" s="48" t="s">
        <v>279</v>
      </c>
      <c r="M785" s="47">
        <v>46</v>
      </c>
      <c r="N785" s="47">
        <v>50</v>
      </c>
      <c r="O785" s="46">
        <v>0.92</v>
      </c>
      <c r="Q785" s="45" t="s">
        <v>23</v>
      </c>
    </row>
    <row r="786" spans="4:17" hidden="1" x14ac:dyDescent="0.4">
      <c r="D786" s="45" t="s">
        <v>41</v>
      </c>
      <c r="E786" s="45" t="s">
        <v>42</v>
      </c>
      <c r="F786" s="45" t="s">
        <v>43</v>
      </c>
      <c r="G786" s="45" t="s">
        <v>44</v>
      </c>
      <c r="H786" s="50" t="s">
        <v>5</v>
      </c>
      <c r="I786" s="49">
        <v>46070</v>
      </c>
      <c r="J786" s="45" t="s">
        <v>276</v>
      </c>
      <c r="K786" s="45" t="s">
        <v>444</v>
      </c>
      <c r="L786" s="48" t="s">
        <v>280</v>
      </c>
      <c r="M786" s="47">
        <v>45</v>
      </c>
      <c r="N786" s="47">
        <v>50</v>
      </c>
      <c r="O786" s="46">
        <v>0.9</v>
      </c>
      <c r="Q786" s="45" t="s">
        <v>23</v>
      </c>
    </row>
    <row r="787" spans="4:17" hidden="1" x14ac:dyDescent="0.4">
      <c r="D787" s="45" t="s">
        <v>46</v>
      </c>
      <c r="E787" s="45" t="s">
        <v>47</v>
      </c>
      <c r="F787" s="45" t="s">
        <v>48</v>
      </c>
      <c r="G787" s="45" t="s">
        <v>49</v>
      </c>
      <c r="H787" s="50" t="s">
        <v>5</v>
      </c>
      <c r="I787" s="49">
        <v>46070</v>
      </c>
      <c r="J787" s="45" t="s">
        <v>276</v>
      </c>
      <c r="K787" s="45" t="s">
        <v>444</v>
      </c>
      <c r="L787" s="48" t="s">
        <v>281</v>
      </c>
      <c r="M787" s="47">
        <v>45</v>
      </c>
      <c r="N787" s="47">
        <v>50</v>
      </c>
      <c r="O787" s="46">
        <v>0.9</v>
      </c>
      <c r="Q787" s="45" t="s">
        <v>23</v>
      </c>
    </row>
    <row r="788" spans="4:17" hidden="1" x14ac:dyDescent="0.4">
      <c r="D788" s="45" t="s">
        <v>51</v>
      </c>
      <c r="E788" s="45" t="s">
        <v>52</v>
      </c>
      <c r="F788" s="45" t="s">
        <v>53</v>
      </c>
      <c r="G788" s="45" t="s">
        <v>54</v>
      </c>
      <c r="H788" s="50" t="s">
        <v>5</v>
      </c>
      <c r="I788" s="49">
        <v>46070</v>
      </c>
      <c r="J788" s="45" t="s">
        <v>276</v>
      </c>
      <c r="K788" s="45" t="s">
        <v>444</v>
      </c>
      <c r="L788" s="48" t="s">
        <v>282</v>
      </c>
      <c r="M788" s="47">
        <v>50</v>
      </c>
      <c r="N788" s="47">
        <v>50</v>
      </c>
      <c r="O788" s="46">
        <v>1</v>
      </c>
      <c r="Q788" s="45" t="s">
        <v>23</v>
      </c>
    </row>
    <row r="789" spans="4:17" hidden="1" x14ac:dyDescent="0.4">
      <c r="D789" s="45" t="s">
        <v>56</v>
      </c>
      <c r="E789" s="45" t="s">
        <v>52</v>
      </c>
      <c r="F789" s="45" t="s">
        <v>57</v>
      </c>
      <c r="G789" s="45" t="s">
        <v>58</v>
      </c>
      <c r="H789" s="50" t="s">
        <v>5</v>
      </c>
      <c r="I789" s="49">
        <v>46070</v>
      </c>
      <c r="J789" s="45" t="s">
        <v>276</v>
      </c>
      <c r="K789" s="45" t="s">
        <v>444</v>
      </c>
      <c r="L789" s="48" t="s">
        <v>283</v>
      </c>
      <c r="M789" s="47">
        <v>50</v>
      </c>
      <c r="N789" s="47">
        <v>50</v>
      </c>
      <c r="O789" s="46">
        <v>1</v>
      </c>
      <c r="Q789" s="45" t="s">
        <v>23</v>
      </c>
    </row>
    <row r="790" spans="4:17" hidden="1" x14ac:dyDescent="0.4">
      <c r="D790" s="45" t="s">
        <v>60</v>
      </c>
      <c r="E790" s="45" t="s">
        <v>61</v>
      </c>
      <c r="F790" s="45" t="s">
        <v>62</v>
      </c>
      <c r="G790" s="45" t="s">
        <v>63</v>
      </c>
      <c r="H790" s="50" t="s">
        <v>5</v>
      </c>
      <c r="I790" s="49">
        <v>46070</v>
      </c>
      <c r="J790" s="45" t="s">
        <v>276</v>
      </c>
      <c r="K790" s="45" t="s">
        <v>444</v>
      </c>
      <c r="L790" s="48" t="s">
        <v>284</v>
      </c>
      <c r="M790" s="47">
        <v>35</v>
      </c>
      <c r="N790" s="47">
        <v>50</v>
      </c>
      <c r="O790" s="46">
        <v>0.7</v>
      </c>
      <c r="Q790" s="45" t="s">
        <v>23</v>
      </c>
    </row>
    <row r="791" spans="4:17" hidden="1" x14ac:dyDescent="0.4">
      <c r="D791" s="45" t="s">
        <v>65</v>
      </c>
      <c r="E791" s="45" t="s">
        <v>66</v>
      </c>
      <c r="F791" s="45" t="s">
        <v>67</v>
      </c>
      <c r="G791" s="45" t="s">
        <v>68</v>
      </c>
      <c r="H791" s="50" t="s">
        <v>5</v>
      </c>
      <c r="I791" s="49">
        <v>46070</v>
      </c>
      <c r="J791" s="45" t="s">
        <v>276</v>
      </c>
      <c r="K791" s="45" t="s">
        <v>444</v>
      </c>
      <c r="L791" s="48" t="s">
        <v>285</v>
      </c>
      <c r="M791" s="47">
        <v>48</v>
      </c>
      <c r="N791" s="47">
        <v>50</v>
      </c>
      <c r="O791" s="46">
        <v>0.96</v>
      </c>
      <c r="Q791" s="45" t="s">
        <v>23</v>
      </c>
    </row>
    <row r="792" spans="4:17" hidden="1" x14ac:dyDescent="0.4">
      <c r="D792" s="45" t="s">
        <v>70</v>
      </c>
      <c r="E792" s="45" t="s">
        <v>71</v>
      </c>
      <c r="F792" s="45" t="s">
        <v>72</v>
      </c>
      <c r="G792" s="45" t="s">
        <v>73</v>
      </c>
      <c r="H792" s="50" t="s">
        <v>5</v>
      </c>
      <c r="I792" s="49">
        <v>46070</v>
      </c>
      <c r="J792" s="45" t="s">
        <v>276</v>
      </c>
      <c r="K792" s="45" t="s">
        <v>444</v>
      </c>
      <c r="L792" s="48" t="s">
        <v>285</v>
      </c>
      <c r="M792" s="47">
        <v>48</v>
      </c>
      <c r="N792" s="47">
        <v>50</v>
      </c>
      <c r="O792" s="46">
        <v>0.96</v>
      </c>
      <c r="Q792" s="45" t="s">
        <v>23</v>
      </c>
    </row>
    <row r="793" spans="4:17" hidden="1" x14ac:dyDescent="0.4">
      <c r="D793" s="45" t="s">
        <v>75</v>
      </c>
      <c r="E793" s="45" t="s">
        <v>76</v>
      </c>
      <c r="F793" s="45" t="s">
        <v>77</v>
      </c>
      <c r="G793" s="45" t="s">
        <v>78</v>
      </c>
      <c r="H793" s="50" t="s">
        <v>5</v>
      </c>
      <c r="I793" s="49">
        <v>46070</v>
      </c>
      <c r="J793" s="45" t="s">
        <v>276</v>
      </c>
      <c r="K793" s="45" t="s">
        <v>444</v>
      </c>
      <c r="L793" s="48" t="s">
        <v>286</v>
      </c>
      <c r="M793" s="47">
        <v>36</v>
      </c>
      <c r="N793" s="47">
        <v>50</v>
      </c>
      <c r="O793" s="46">
        <v>0.72</v>
      </c>
      <c r="Q793" s="45" t="s">
        <v>23</v>
      </c>
    </row>
    <row r="794" spans="4:17" hidden="1" x14ac:dyDescent="0.4">
      <c r="D794" s="45" t="s">
        <v>80</v>
      </c>
      <c r="E794" s="45" t="s">
        <v>81</v>
      </c>
      <c r="F794" s="45" t="s">
        <v>82</v>
      </c>
      <c r="G794" s="45" t="s">
        <v>83</v>
      </c>
      <c r="H794" s="50" t="s">
        <v>5</v>
      </c>
      <c r="I794" s="49">
        <v>46070</v>
      </c>
      <c r="J794" s="45" t="s">
        <v>276</v>
      </c>
      <c r="K794" s="45" t="s">
        <v>444</v>
      </c>
      <c r="L794" s="48" t="s">
        <v>287</v>
      </c>
      <c r="M794" s="47">
        <v>46</v>
      </c>
      <c r="N794" s="47">
        <v>50</v>
      </c>
      <c r="O794" s="46">
        <v>0.92</v>
      </c>
      <c r="Q794" s="45" t="s">
        <v>23</v>
      </c>
    </row>
    <row r="795" spans="4:17" hidden="1" x14ac:dyDescent="0.4">
      <c r="D795" s="45" t="s">
        <v>85</v>
      </c>
      <c r="E795" s="45" t="s">
        <v>86</v>
      </c>
      <c r="F795" s="45" t="s">
        <v>87</v>
      </c>
      <c r="G795" s="45" t="s">
        <v>88</v>
      </c>
      <c r="H795" s="50" t="s">
        <v>5</v>
      </c>
      <c r="I795" s="49">
        <v>46070</v>
      </c>
      <c r="J795" s="45" t="s">
        <v>276</v>
      </c>
      <c r="K795" s="45" t="s">
        <v>444</v>
      </c>
      <c r="L795" s="48" t="s">
        <v>288</v>
      </c>
      <c r="M795" s="47">
        <v>50</v>
      </c>
      <c r="N795" s="47">
        <v>50</v>
      </c>
      <c r="O795" s="46">
        <v>1</v>
      </c>
      <c r="Q795" s="45" t="s">
        <v>23</v>
      </c>
    </row>
    <row r="796" spans="4:17" hidden="1" x14ac:dyDescent="0.4">
      <c r="D796" s="45" t="s">
        <v>89</v>
      </c>
      <c r="E796" s="45" t="s">
        <v>90</v>
      </c>
      <c r="F796" s="45" t="s">
        <v>91</v>
      </c>
      <c r="G796" s="45" t="s">
        <v>92</v>
      </c>
      <c r="H796" s="50" t="s">
        <v>5</v>
      </c>
      <c r="I796" s="49">
        <v>46070</v>
      </c>
      <c r="J796" s="45" t="s">
        <v>276</v>
      </c>
      <c r="K796" s="45" t="s">
        <v>444</v>
      </c>
      <c r="L796" s="48" t="s">
        <v>289</v>
      </c>
      <c r="M796" s="47">
        <v>35</v>
      </c>
      <c r="N796" s="47">
        <v>50</v>
      </c>
      <c r="O796" s="46">
        <v>0.7</v>
      </c>
      <c r="Q796" s="45" t="s">
        <v>23</v>
      </c>
    </row>
    <row r="797" spans="4:17" hidden="1" x14ac:dyDescent="0.4">
      <c r="D797" s="45" t="s">
        <v>94</v>
      </c>
      <c r="E797" s="45" t="s">
        <v>95</v>
      </c>
      <c r="F797" s="45" t="s">
        <v>96</v>
      </c>
      <c r="G797" s="45" t="s">
        <v>97</v>
      </c>
      <c r="H797" s="50" t="s">
        <v>5</v>
      </c>
      <c r="I797" s="49">
        <v>46070</v>
      </c>
      <c r="J797" s="45" t="s">
        <v>276</v>
      </c>
      <c r="K797" s="45" t="s">
        <v>444</v>
      </c>
      <c r="L797" s="48" t="s">
        <v>290</v>
      </c>
      <c r="M797" s="47">
        <v>50</v>
      </c>
      <c r="N797" s="47">
        <v>50</v>
      </c>
      <c r="O797" s="46">
        <v>1</v>
      </c>
      <c r="Q797" s="45" t="s">
        <v>23</v>
      </c>
    </row>
    <row r="798" spans="4:17" hidden="1" x14ac:dyDescent="0.4">
      <c r="D798" s="45" t="s">
        <v>99</v>
      </c>
      <c r="E798" s="45" t="s">
        <v>100</v>
      </c>
      <c r="F798" s="45" t="s">
        <v>101</v>
      </c>
      <c r="G798" s="45" t="s">
        <v>102</v>
      </c>
      <c r="H798" s="50" t="s">
        <v>5</v>
      </c>
      <c r="I798" s="49">
        <v>46070</v>
      </c>
      <c r="J798" s="45" t="s">
        <v>276</v>
      </c>
      <c r="K798" s="45" t="s">
        <v>444</v>
      </c>
      <c r="L798" s="48" t="s">
        <v>291</v>
      </c>
      <c r="M798" s="47">
        <v>50</v>
      </c>
      <c r="N798" s="47">
        <v>50</v>
      </c>
      <c r="O798" s="46">
        <v>1</v>
      </c>
      <c r="Q798" s="45" t="s">
        <v>23</v>
      </c>
    </row>
    <row r="799" spans="4:17" hidden="1" x14ac:dyDescent="0.4">
      <c r="D799" s="45" t="s">
        <v>104</v>
      </c>
      <c r="E799" s="45" t="s">
        <v>86</v>
      </c>
      <c r="F799" s="45" t="s">
        <v>105</v>
      </c>
      <c r="G799" s="45" t="s">
        <v>106</v>
      </c>
      <c r="H799" s="50" t="s">
        <v>5</v>
      </c>
      <c r="I799" s="49">
        <v>46070</v>
      </c>
      <c r="J799" s="45" t="s">
        <v>276</v>
      </c>
      <c r="K799" s="45" t="s">
        <v>444</v>
      </c>
      <c r="L799" s="48" t="s">
        <v>292</v>
      </c>
      <c r="M799" s="47">
        <v>40</v>
      </c>
      <c r="N799" s="47">
        <v>50</v>
      </c>
      <c r="O799" s="46">
        <v>0.8</v>
      </c>
      <c r="Q799" s="45" t="s">
        <v>23</v>
      </c>
    </row>
    <row r="800" spans="4:17" hidden="1" x14ac:dyDescent="0.4">
      <c r="D800" s="45" t="s">
        <v>107</v>
      </c>
      <c r="E800" s="45" t="s">
        <v>108</v>
      </c>
      <c r="F800" s="45" t="s">
        <v>109</v>
      </c>
      <c r="G800" s="45" t="s">
        <v>110</v>
      </c>
      <c r="H800" s="50" t="s">
        <v>5</v>
      </c>
      <c r="I800" s="49">
        <v>46070</v>
      </c>
      <c r="J800" s="45" t="s">
        <v>276</v>
      </c>
      <c r="K800" s="45" t="s">
        <v>444</v>
      </c>
      <c r="L800" s="48" t="s">
        <v>293</v>
      </c>
      <c r="M800" s="47">
        <v>36</v>
      </c>
      <c r="N800" s="47">
        <v>50</v>
      </c>
      <c r="O800" s="46">
        <v>0.72</v>
      </c>
      <c r="Q800" s="45" t="s">
        <v>23</v>
      </c>
    </row>
    <row r="801" spans="4:17" hidden="1" x14ac:dyDescent="0.4">
      <c r="D801" s="45" t="s">
        <v>112</v>
      </c>
      <c r="E801" s="45" t="s">
        <v>113</v>
      </c>
      <c r="F801" s="45" t="s">
        <v>114</v>
      </c>
      <c r="G801" s="45" t="s">
        <v>115</v>
      </c>
      <c r="H801" s="50" t="s">
        <v>5</v>
      </c>
      <c r="I801" s="49">
        <v>46070</v>
      </c>
      <c r="J801" s="45" t="s">
        <v>276</v>
      </c>
      <c r="K801" s="45" t="s">
        <v>444</v>
      </c>
      <c r="L801" s="48"/>
      <c r="M801" s="47">
        <v>0</v>
      </c>
      <c r="N801" s="47">
        <v>50</v>
      </c>
      <c r="O801" s="46">
        <v>0</v>
      </c>
      <c r="Q801" s="45" t="s">
        <v>23</v>
      </c>
    </row>
    <row r="802" spans="4:17" hidden="1" x14ac:dyDescent="0.4">
      <c r="D802" s="45" t="s">
        <v>117</v>
      </c>
      <c r="E802" s="45" t="s">
        <v>118</v>
      </c>
      <c r="F802" s="45" t="s">
        <v>119</v>
      </c>
      <c r="G802" s="45" t="s">
        <v>120</v>
      </c>
      <c r="H802" s="50" t="s">
        <v>5</v>
      </c>
      <c r="I802" s="49">
        <v>46070</v>
      </c>
      <c r="J802" s="45" t="s">
        <v>276</v>
      </c>
      <c r="K802" s="45" t="s">
        <v>444</v>
      </c>
      <c r="L802" s="48" t="s">
        <v>293</v>
      </c>
      <c r="M802" s="47">
        <v>36</v>
      </c>
      <c r="N802" s="47">
        <v>50</v>
      </c>
      <c r="O802" s="46">
        <v>0.72</v>
      </c>
      <c r="Q802" s="45" t="s">
        <v>23</v>
      </c>
    </row>
    <row r="803" spans="4:17" hidden="1" x14ac:dyDescent="0.4">
      <c r="D803" s="45" t="s">
        <v>122</v>
      </c>
      <c r="E803" s="45" t="s">
        <v>123</v>
      </c>
      <c r="F803" s="45" t="s">
        <v>124</v>
      </c>
      <c r="G803" s="45" t="s">
        <v>125</v>
      </c>
      <c r="H803" s="50" t="s">
        <v>5</v>
      </c>
      <c r="I803" s="49">
        <v>46070</v>
      </c>
      <c r="J803" s="45" t="s">
        <v>276</v>
      </c>
      <c r="K803" s="45" t="s">
        <v>444</v>
      </c>
      <c r="L803" s="48" t="s">
        <v>283</v>
      </c>
      <c r="M803" s="47">
        <v>50</v>
      </c>
      <c r="N803" s="47">
        <v>50</v>
      </c>
      <c r="O803" s="46">
        <v>1</v>
      </c>
      <c r="Q803" s="45" t="s">
        <v>23</v>
      </c>
    </row>
    <row r="804" spans="4:17" hidden="1" x14ac:dyDescent="0.4">
      <c r="D804" s="45" t="s">
        <v>127</v>
      </c>
      <c r="E804" s="45" t="s">
        <v>128</v>
      </c>
      <c r="F804" s="45" t="s">
        <v>129</v>
      </c>
      <c r="G804" s="45" t="s">
        <v>130</v>
      </c>
      <c r="H804" s="50" t="s">
        <v>5</v>
      </c>
      <c r="I804" s="49">
        <v>46070</v>
      </c>
      <c r="J804" s="45" t="s">
        <v>276</v>
      </c>
      <c r="K804" s="45" t="s">
        <v>444</v>
      </c>
      <c r="L804" s="48" t="s">
        <v>294</v>
      </c>
      <c r="M804" s="47">
        <v>36</v>
      </c>
      <c r="N804" s="47">
        <v>50</v>
      </c>
      <c r="O804" s="46">
        <v>0.72</v>
      </c>
      <c r="Q804" s="45" t="s">
        <v>23</v>
      </c>
    </row>
    <row r="805" spans="4:17" hidden="1" x14ac:dyDescent="0.4">
      <c r="D805" s="45" t="s">
        <v>132</v>
      </c>
      <c r="E805" s="45" t="s">
        <v>133</v>
      </c>
      <c r="F805" s="45" t="s">
        <v>134</v>
      </c>
      <c r="G805" s="45" t="s">
        <v>135</v>
      </c>
      <c r="H805" s="50" t="s">
        <v>5</v>
      </c>
      <c r="I805" s="49">
        <v>46070</v>
      </c>
      <c r="J805" s="45" t="s">
        <v>276</v>
      </c>
      <c r="K805" s="45" t="s">
        <v>444</v>
      </c>
      <c r="L805" s="48" t="s">
        <v>294</v>
      </c>
      <c r="M805" s="47">
        <v>36</v>
      </c>
      <c r="N805" s="47">
        <v>50</v>
      </c>
      <c r="O805" s="46">
        <v>0.72</v>
      </c>
      <c r="Q805" s="45" t="s">
        <v>23</v>
      </c>
    </row>
    <row r="806" spans="4:17" hidden="1" x14ac:dyDescent="0.4">
      <c r="D806" s="45" t="s">
        <v>137</v>
      </c>
      <c r="E806" s="45" t="s">
        <v>138</v>
      </c>
      <c r="F806" s="45" t="s">
        <v>139</v>
      </c>
      <c r="G806" s="45" t="s">
        <v>140</v>
      </c>
      <c r="H806" s="50" t="s">
        <v>5</v>
      </c>
      <c r="I806" s="49">
        <v>46070</v>
      </c>
      <c r="J806" s="45" t="s">
        <v>276</v>
      </c>
      <c r="K806" s="45" t="s">
        <v>444</v>
      </c>
      <c r="L806" s="48" t="s">
        <v>295</v>
      </c>
      <c r="M806" s="47">
        <v>50</v>
      </c>
      <c r="N806" s="47">
        <v>50</v>
      </c>
      <c r="O806" s="46">
        <v>1</v>
      </c>
      <c r="Q806" s="45" t="s">
        <v>23</v>
      </c>
    </row>
    <row r="807" spans="4:17" hidden="1" x14ac:dyDescent="0.4">
      <c r="D807" s="45" t="s">
        <v>142</v>
      </c>
      <c r="E807" s="45" t="s">
        <v>143</v>
      </c>
      <c r="F807" s="45" t="s">
        <v>144</v>
      </c>
      <c r="G807" s="45" t="s">
        <v>145</v>
      </c>
      <c r="H807" s="50" t="s">
        <v>5</v>
      </c>
      <c r="I807" s="49">
        <v>46070</v>
      </c>
      <c r="J807" s="45" t="s">
        <v>276</v>
      </c>
      <c r="K807" s="45" t="s">
        <v>444</v>
      </c>
      <c r="L807" s="48" t="s">
        <v>296</v>
      </c>
      <c r="M807" s="47">
        <v>50</v>
      </c>
      <c r="N807" s="47">
        <v>50</v>
      </c>
      <c r="O807" s="46">
        <v>1</v>
      </c>
      <c r="Q807" s="45" t="s">
        <v>23</v>
      </c>
    </row>
    <row r="808" spans="4:17" hidden="1" x14ac:dyDescent="0.4">
      <c r="D808" s="45" t="s">
        <v>147</v>
      </c>
      <c r="E808" s="45" t="s">
        <v>148</v>
      </c>
      <c r="F808" s="45" t="s">
        <v>149</v>
      </c>
      <c r="G808" s="45" t="s">
        <v>150</v>
      </c>
      <c r="H808" s="50" t="s">
        <v>5</v>
      </c>
      <c r="I808" s="49">
        <v>46070</v>
      </c>
      <c r="J808" s="45" t="s">
        <v>276</v>
      </c>
      <c r="K808" s="45" t="s">
        <v>444</v>
      </c>
      <c r="L808" s="48" t="s">
        <v>297</v>
      </c>
      <c r="M808" s="47">
        <v>50</v>
      </c>
      <c r="N808" s="47">
        <v>50</v>
      </c>
      <c r="O808" s="46">
        <v>1</v>
      </c>
      <c r="Q808" s="45" t="s">
        <v>23</v>
      </c>
    </row>
    <row r="809" spans="4:17" hidden="1" x14ac:dyDescent="0.4">
      <c r="D809" s="45" t="s">
        <v>152</v>
      </c>
      <c r="E809" s="45" t="s">
        <v>66</v>
      </c>
      <c r="F809" s="45" t="s">
        <v>153</v>
      </c>
      <c r="G809" s="45" t="s">
        <v>154</v>
      </c>
      <c r="H809" s="50" t="s">
        <v>5</v>
      </c>
      <c r="I809" s="49">
        <v>46070</v>
      </c>
      <c r="J809" s="45" t="s">
        <v>276</v>
      </c>
      <c r="K809" s="45" t="s">
        <v>444</v>
      </c>
      <c r="L809" s="48"/>
      <c r="M809" s="47">
        <v>0</v>
      </c>
      <c r="N809" s="47">
        <v>50</v>
      </c>
      <c r="O809" s="46">
        <v>0</v>
      </c>
      <c r="Q809" s="45" t="s">
        <v>23</v>
      </c>
    </row>
    <row r="810" spans="4:17" hidden="1" x14ac:dyDescent="0.4">
      <c r="D810" s="45" t="s">
        <v>160</v>
      </c>
      <c r="E810" s="45" t="s">
        <v>81</v>
      </c>
      <c r="F810" s="45" t="s">
        <v>161</v>
      </c>
      <c r="G810" s="45" t="s">
        <v>162</v>
      </c>
      <c r="H810" s="50" t="s">
        <v>5</v>
      </c>
      <c r="I810" s="49">
        <v>46070</v>
      </c>
      <c r="J810" s="45" t="s">
        <v>276</v>
      </c>
      <c r="K810" s="45" t="s">
        <v>444</v>
      </c>
      <c r="L810" s="48" t="s">
        <v>298</v>
      </c>
      <c r="M810" s="47">
        <v>50</v>
      </c>
      <c r="N810" s="47">
        <v>50</v>
      </c>
      <c r="O810" s="46">
        <v>1</v>
      </c>
      <c r="Q810" s="45" t="s">
        <v>23</v>
      </c>
    </row>
    <row r="811" spans="4:17" hidden="1" x14ac:dyDescent="0.4">
      <c r="D811" s="45" t="s">
        <v>163</v>
      </c>
      <c r="E811" s="45" t="s">
        <v>164</v>
      </c>
      <c r="F811" s="45" t="s">
        <v>165</v>
      </c>
      <c r="G811" s="45" t="s">
        <v>166</v>
      </c>
      <c r="H811" s="50" t="s">
        <v>5</v>
      </c>
      <c r="I811" s="49">
        <v>46070</v>
      </c>
      <c r="J811" s="45" t="s">
        <v>276</v>
      </c>
      <c r="K811" s="45" t="s">
        <v>444</v>
      </c>
      <c r="L811" s="48" t="s">
        <v>280</v>
      </c>
      <c r="M811" s="47">
        <v>45</v>
      </c>
      <c r="N811" s="47">
        <v>50</v>
      </c>
      <c r="O811" s="46">
        <v>0.9</v>
      </c>
      <c r="Q811" s="45" t="s">
        <v>23</v>
      </c>
    </row>
    <row r="812" spans="4:17" hidden="1" x14ac:dyDescent="0.4">
      <c r="D812" s="45" t="s">
        <v>168</v>
      </c>
      <c r="E812" s="45" t="s">
        <v>169</v>
      </c>
      <c r="F812" s="45" t="s">
        <v>170</v>
      </c>
      <c r="G812" s="45" t="s">
        <v>171</v>
      </c>
      <c r="H812" s="50" t="s">
        <v>5</v>
      </c>
      <c r="I812" s="49">
        <v>46070</v>
      </c>
      <c r="J812" s="45" t="s">
        <v>276</v>
      </c>
      <c r="K812" s="45" t="s">
        <v>444</v>
      </c>
      <c r="L812" s="48" t="s">
        <v>299</v>
      </c>
      <c r="M812" s="47">
        <v>48</v>
      </c>
      <c r="N812" s="47">
        <v>50</v>
      </c>
      <c r="O812" s="46">
        <v>0.96</v>
      </c>
      <c r="Q812" s="45" t="s">
        <v>23</v>
      </c>
    </row>
    <row r="813" spans="4:17" hidden="1" x14ac:dyDescent="0.4">
      <c r="D813" s="45" t="s">
        <v>173</v>
      </c>
      <c r="E813" s="45" t="s">
        <v>174</v>
      </c>
      <c r="F813" s="45" t="s">
        <v>175</v>
      </c>
      <c r="G813" s="45" t="s">
        <v>176</v>
      </c>
      <c r="H813" s="50" t="s">
        <v>5</v>
      </c>
      <c r="I813" s="49">
        <v>46070</v>
      </c>
      <c r="J813" s="45" t="s">
        <v>276</v>
      </c>
      <c r="K813" s="45" t="s">
        <v>444</v>
      </c>
      <c r="L813" s="48" t="s">
        <v>300</v>
      </c>
      <c r="M813" s="47">
        <v>50</v>
      </c>
      <c r="N813" s="47">
        <v>50</v>
      </c>
      <c r="O813" s="46">
        <v>1</v>
      </c>
      <c r="Q813" s="45" t="s">
        <v>23</v>
      </c>
    </row>
    <row r="814" spans="4:17" hidden="1" x14ac:dyDescent="0.4">
      <c r="D814" s="45" t="s">
        <v>178</v>
      </c>
      <c r="E814" s="45" t="s">
        <v>179</v>
      </c>
      <c r="F814" s="45" t="s">
        <v>180</v>
      </c>
      <c r="G814" s="45" t="s">
        <v>181</v>
      </c>
      <c r="H814" s="50" t="s">
        <v>5</v>
      </c>
      <c r="I814" s="49">
        <v>46070</v>
      </c>
      <c r="J814" s="45" t="s">
        <v>276</v>
      </c>
      <c r="K814" s="45" t="s">
        <v>444</v>
      </c>
      <c r="L814" s="48" t="s">
        <v>297</v>
      </c>
      <c r="M814" s="47">
        <v>50</v>
      </c>
      <c r="N814" s="47">
        <v>50</v>
      </c>
      <c r="O814" s="46">
        <v>1</v>
      </c>
      <c r="Q814" s="45" t="s">
        <v>23</v>
      </c>
    </row>
    <row r="815" spans="4:17" hidden="1" x14ac:dyDescent="0.4">
      <c r="D815" s="45" t="s">
        <v>187</v>
      </c>
      <c r="E815" s="45" t="s">
        <v>188</v>
      </c>
      <c r="F815" s="45" t="s">
        <v>189</v>
      </c>
      <c r="G815" s="45" t="s">
        <v>190</v>
      </c>
      <c r="H815" s="50" t="s">
        <v>5</v>
      </c>
      <c r="I815" s="49">
        <v>46070</v>
      </c>
      <c r="J815" s="45" t="s">
        <v>276</v>
      </c>
      <c r="K815" s="45" t="s">
        <v>444</v>
      </c>
      <c r="L815" s="48" t="s">
        <v>301</v>
      </c>
      <c r="M815" s="47">
        <v>19</v>
      </c>
      <c r="N815" s="47">
        <v>50</v>
      </c>
      <c r="O815" s="46">
        <v>0.38</v>
      </c>
      <c r="Q815" s="45" t="s">
        <v>23</v>
      </c>
    </row>
    <row r="816" spans="4:17" hidden="1" x14ac:dyDescent="0.4">
      <c r="D816" s="45" t="s">
        <v>192</v>
      </c>
      <c r="E816" s="45" t="s">
        <v>193</v>
      </c>
      <c r="F816" s="45" t="s">
        <v>194</v>
      </c>
      <c r="G816" s="45" t="s">
        <v>195</v>
      </c>
      <c r="H816" s="50" t="s">
        <v>5</v>
      </c>
      <c r="I816" s="49">
        <v>46070</v>
      </c>
      <c r="J816" s="45" t="s">
        <v>276</v>
      </c>
      <c r="K816" s="45" t="s">
        <v>444</v>
      </c>
      <c r="L816" s="48" t="s">
        <v>297</v>
      </c>
      <c r="M816" s="47">
        <v>50</v>
      </c>
      <c r="N816" s="47">
        <v>50</v>
      </c>
      <c r="O816" s="46">
        <v>1</v>
      </c>
      <c r="Q816" s="45" t="s">
        <v>23</v>
      </c>
    </row>
    <row r="817" spans="4:17" hidden="1" x14ac:dyDescent="0.4">
      <c r="D817" s="45" t="s">
        <v>197</v>
      </c>
      <c r="E817" s="45" t="s">
        <v>198</v>
      </c>
      <c r="F817" s="45" t="s">
        <v>199</v>
      </c>
      <c r="G817" s="45" t="s">
        <v>200</v>
      </c>
      <c r="H817" s="50" t="s">
        <v>5</v>
      </c>
      <c r="I817" s="49">
        <v>46070</v>
      </c>
      <c r="J817" s="45" t="s">
        <v>276</v>
      </c>
      <c r="K817" s="45" t="s">
        <v>444</v>
      </c>
      <c r="L817" s="48" t="s">
        <v>298</v>
      </c>
      <c r="M817" s="47">
        <v>50</v>
      </c>
      <c r="N817" s="47">
        <v>50</v>
      </c>
      <c r="O817" s="46">
        <v>1</v>
      </c>
      <c r="Q817" s="45" t="s">
        <v>23</v>
      </c>
    </row>
    <row r="818" spans="4:17" hidden="1" x14ac:dyDescent="0.4">
      <c r="D818" s="45" t="s">
        <v>201</v>
      </c>
      <c r="E818" s="45" t="s">
        <v>143</v>
      </c>
      <c r="F818" s="45" t="s">
        <v>202</v>
      </c>
      <c r="G818" s="45" t="s">
        <v>203</v>
      </c>
      <c r="H818" s="50" t="s">
        <v>5</v>
      </c>
      <c r="I818" s="49">
        <v>46070</v>
      </c>
      <c r="J818" s="45" t="s">
        <v>276</v>
      </c>
      <c r="K818" s="45" t="s">
        <v>444</v>
      </c>
      <c r="L818" s="48"/>
      <c r="M818" s="47">
        <v>0</v>
      </c>
      <c r="N818" s="47">
        <v>50</v>
      </c>
      <c r="O818" s="46">
        <v>0</v>
      </c>
      <c r="Q818" s="45" t="s">
        <v>23</v>
      </c>
    </row>
    <row r="819" spans="4:17" hidden="1" x14ac:dyDescent="0.4">
      <c r="D819" s="45" t="s">
        <v>205</v>
      </c>
      <c r="E819" s="45" t="s">
        <v>206</v>
      </c>
      <c r="F819" s="45" t="s">
        <v>207</v>
      </c>
      <c r="G819" s="45" t="s">
        <v>208</v>
      </c>
      <c r="H819" s="50" t="s">
        <v>5</v>
      </c>
      <c r="I819" s="49">
        <v>46070</v>
      </c>
      <c r="J819" s="45" t="s">
        <v>276</v>
      </c>
      <c r="K819" s="45" t="s">
        <v>444</v>
      </c>
      <c r="L819" s="48" t="s">
        <v>302</v>
      </c>
      <c r="M819" s="47">
        <v>15</v>
      </c>
      <c r="N819" s="47">
        <v>50</v>
      </c>
      <c r="O819" s="46">
        <v>0.3</v>
      </c>
      <c r="Q819" s="45" t="s">
        <v>23</v>
      </c>
    </row>
    <row r="820" spans="4:17" hidden="1" x14ac:dyDescent="0.4">
      <c r="D820" s="45" t="s">
        <v>210</v>
      </c>
      <c r="E820" s="45" t="s">
        <v>211</v>
      </c>
      <c r="F820" s="45" t="s">
        <v>212</v>
      </c>
      <c r="G820" s="45" t="s">
        <v>213</v>
      </c>
      <c r="H820" s="50" t="s">
        <v>5</v>
      </c>
      <c r="I820" s="49">
        <v>46070</v>
      </c>
      <c r="J820" s="45" t="s">
        <v>276</v>
      </c>
      <c r="K820" s="45" t="s">
        <v>444</v>
      </c>
      <c r="L820" s="48" t="s">
        <v>296</v>
      </c>
      <c r="M820" s="47">
        <v>50</v>
      </c>
      <c r="N820" s="47">
        <v>50</v>
      </c>
      <c r="O820" s="46">
        <v>1</v>
      </c>
      <c r="Q820" s="45" t="s">
        <v>23</v>
      </c>
    </row>
    <row r="821" spans="4:17" hidden="1" x14ac:dyDescent="0.4">
      <c r="D821" s="45" t="s">
        <v>215</v>
      </c>
      <c r="E821" s="45" t="s">
        <v>216</v>
      </c>
      <c r="F821" s="45" t="s">
        <v>217</v>
      </c>
      <c r="G821" s="45" t="s">
        <v>218</v>
      </c>
      <c r="H821" s="50" t="s">
        <v>5</v>
      </c>
      <c r="I821" s="49">
        <v>46070</v>
      </c>
      <c r="J821" s="45" t="s">
        <v>276</v>
      </c>
      <c r="K821" s="45" t="s">
        <v>444</v>
      </c>
      <c r="L821" s="48" t="s">
        <v>303</v>
      </c>
      <c r="M821" s="47">
        <v>36</v>
      </c>
      <c r="N821" s="47">
        <v>50</v>
      </c>
      <c r="O821" s="46">
        <v>0.72</v>
      </c>
      <c r="Q821" s="45" t="s">
        <v>23</v>
      </c>
    </row>
    <row r="822" spans="4:17" hidden="1" x14ac:dyDescent="0.4">
      <c r="D822" s="45" t="s">
        <v>24</v>
      </c>
      <c r="E822" s="45" t="s">
        <v>25</v>
      </c>
      <c r="F822" s="45" t="s">
        <v>26</v>
      </c>
      <c r="G822" s="45" t="s">
        <v>27</v>
      </c>
      <c r="H822" s="50" t="s">
        <v>6</v>
      </c>
      <c r="I822" s="49">
        <v>46064</v>
      </c>
      <c r="J822" s="45" t="s">
        <v>257</v>
      </c>
      <c r="K822" s="45" t="s">
        <v>444</v>
      </c>
      <c r="L822" s="48"/>
      <c r="M822" s="47">
        <v>50</v>
      </c>
      <c r="N822" s="47">
        <v>50</v>
      </c>
      <c r="O822" s="46">
        <v>1</v>
      </c>
      <c r="Q822" s="45" t="s">
        <v>23</v>
      </c>
    </row>
    <row r="823" spans="4:17" hidden="1" x14ac:dyDescent="0.4">
      <c r="D823" s="45" t="s">
        <v>31</v>
      </c>
      <c r="E823" s="45" t="s">
        <v>32</v>
      </c>
      <c r="F823" s="45" t="s">
        <v>33</v>
      </c>
      <c r="G823" s="45" t="s">
        <v>34</v>
      </c>
      <c r="H823" s="50" t="s">
        <v>6</v>
      </c>
      <c r="I823" s="49">
        <v>46064</v>
      </c>
      <c r="J823" s="45" t="s">
        <v>257</v>
      </c>
      <c r="K823" s="45" t="s">
        <v>444</v>
      </c>
      <c r="L823" s="48"/>
      <c r="M823" s="47">
        <v>40</v>
      </c>
      <c r="N823" s="47">
        <v>50</v>
      </c>
      <c r="O823" s="46">
        <v>0.8</v>
      </c>
      <c r="Q823" s="45" t="s">
        <v>23</v>
      </c>
    </row>
    <row r="824" spans="4:17" hidden="1" x14ac:dyDescent="0.4">
      <c r="D824" s="45" t="s">
        <v>36</v>
      </c>
      <c r="E824" s="45" t="s">
        <v>37</v>
      </c>
      <c r="F824" s="45" t="s">
        <v>38</v>
      </c>
      <c r="G824" s="45" t="s">
        <v>39</v>
      </c>
      <c r="H824" s="50" t="s">
        <v>6</v>
      </c>
      <c r="I824" s="49">
        <v>46064</v>
      </c>
      <c r="J824" s="45" t="s">
        <v>257</v>
      </c>
      <c r="K824" s="45" t="s">
        <v>444</v>
      </c>
      <c r="L824" s="48"/>
      <c r="M824" s="47">
        <v>50</v>
      </c>
      <c r="N824" s="47">
        <v>50</v>
      </c>
      <c r="O824" s="46">
        <v>1</v>
      </c>
      <c r="Q824" s="45" t="s">
        <v>23</v>
      </c>
    </row>
    <row r="825" spans="4:17" hidden="1" x14ac:dyDescent="0.4">
      <c r="D825" s="45" t="s">
        <v>41</v>
      </c>
      <c r="E825" s="45" t="s">
        <v>42</v>
      </c>
      <c r="F825" s="45" t="s">
        <v>43</v>
      </c>
      <c r="G825" s="45" t="s">
        <v>44</v>
      </c>
      <c r="H825" s="50" t="s">
        <v>6</v>
      </c>
      <c r="I825" s="49">
        <v>46064</v>
      </c>
      <c r="J825" s="45" t="s">
        <v>257</v>
      </c>
      <c r="K825" s="45" t="s">
        <v>444</v>
      </c>
      <c r="L825" s="48"/>
      <c r="M825" s="47">
        <v>50</v>
      </c>
      <c r="N825" s="47">
        <v>50</v>
      </c>
      <c r="O825" s="46">
        <v>1</v>
      </c>
      <c r="Q825" s="45" t="s">
        <v>23</v>
      </c>
    </row>
    <row r="826" spans="4:17" hidden="1" x14ac:dyDescent="0.4">
      <c r="D826" s="45" t="s">
        <v>46</v>
      </c>
      <c r="E826" s="45" t="s">
        <v>47</v>
      </c>
      <c r="F826" s="45" t="s">
        <v>48</v>
      </c>
      <c r="G826" s="45" t="s">
        <v>49</v>
      </c>
      <c r="H826" s="50" t="s">
        <v>6</v>
      </c>
      <c r="I826" s="49">
        <v>46064</v>
      </c>
      <c r="J826" s="45" t="s">
        <v>257</v>
      </c>
      <c r="K826" s="45" t="s">
        <v>444</v>
      </c>
      <c r="L826" s="48"/>
      <c r="M826" s="47">
        <v>50</v>
      </c>
      <c r="N826" s="47">
        <v>50</v>
      </c>
      <c r="O826" s="46">
        <v>1</v>
      </c>
      <c r="Q826" s="45" t="s">
        <v>23</v>
      </c>
    </row>
    <row r="827" spans="4:17" hidden="1" x14ac:dyDescent="0.4">
      <c r="D827" s="45" t="s">
        <v>65</v>
      </c>
      <c r="E827" s="45" t="s">
        <v>66</v>
      </c>
      <c r="F827" s="45" t="s">
        <v>67</v>
      </c>
      <c r="G827" s="45" t="s">
        <v>68</v>
      </c>
      <c r="H827" s="50" t="s">
        <v>6</v>
      </c>
      <c r="I827" s="49">
        <v>46064</v>
      </c>
      <c r="J827" s="45" t="s">
        <v>257</v>
      </c>
      <c r="K827" s="45" t="s">
        <v>444</v>
      </c>
      <c r="L827" s="48"/>
      <c r="M827" s="47">
        <v>50</v>
      </c>
      <c r="N827" s="47">
        <v>50</v>
      </c>
      <c r="O827" s="46">
        <v>1</v>
      </c>
      <c r="Q827" s="45" t="s">
        <v>23</v>
      </c>
    </row>
    <row r="828" spans="4:17" hidden="1" x14ac:dyDescent="0.4">
      <c r="D828" s="45" t="s">
        <v>70</v>
      </c>
      <c r="E828" s="45" t="s">
        <v>71</v>
      </c>
      <c r="F828" s="45" t="s">
        <v>72</v>
      </c>
      <c r="G828" s="45" t="s">
        <v>73</v>
      </c>
      <c r="H828" s="50" t="s">
        <v>6</v>
      </c>
      <c r="I828" s="49">
        <v>46064</v>
      </c>
      <c r="J828" s="45" t="s">
        <v>257</v>
      </c>
      <c r="K828" s="45" t="s">
        <v>444</v>
      </c>
      <c r="L828" s="48"/>
      <c r="M828" s="47">
        <v>50</v>
      </c>
      <c r="N828" s="47">
        <v>50</v>
      </c>
      <c r="O828" s="46">
        <v>1</v>
      </c>
      <c r="Q828" s="45" t="s">
        <v>23</v>
      </c>
    </row>
    <row r="829" spans="4:17" hidden="1" x14ac:dyDescent="0.4">
      <c r="D829" s="45" t="s">
        <v>56</v>
      </c>
      <c r="E829" s="45" t="s">
        <v>52</v>
      </c>
      <c r="F829" s="45" t="s">
        <v>57</v>
      </c>
      <c r="G829" s="45" t="s">
        <v>58</v>
      </c>
      <c r="H829" s="50" t="s">
        <v>6</v>
      </c>
      <c r="I829" s="49">
        <v>46064</v>
      </c>
      <c r="J829" s="45" t="s">
        <v>257</v>
      </c>
      <c r="K829" s="45" t="s">
        <v>444</v>
      </c>
      <c r="L829" s="48"/>
      <c r="M829" s="47">
        <v>50</v>
      </c>
      <c r="N829" s="47">
        <v>50</v>
      </c>
      <c r="O829" s="46">
        <v>1</v>
      </c>
      <c r="Q829" s="45" t="s">
        <v>23</v>
      </c>
    </row>
    <row r="830" spans="4:17" hidden="1" x14ac:dyDescent="0.4">
      <c r="D830" s="45" t="s">
        <v>60</v>
      </c>
      <c r="E830" s="45" t="s">
        <v>61</v>
      </c>
      <c r="F830" s="45" t="s">
        <v>62</v>
      </c>
      <c r="G830" s="45" t="s">
        <v>63</v>
      </c>
      <c r="H830" s="50" t="s">
        <v>6</v>
      </c>
      <c r="I830" s="49">
        <v>46064</v>
      </c>
      <c r="J830" s="45" t="s">
        <v>257</v>
      </c>
      <c r="K830" s="45" t="s">
        <v>444</v>
      </c>
      <c r="L830" s="48"/>
      <c r="M830" s="47">
        <v>50</v>
      </c>
      <c r="N830" s="47">
        <v>50</v>
      </c>
      <c r="O830" s="46">
        <v>1</v>
      </c>
      <c r="Q830" s="45" t="s">
        <v>23</v>
      </c>
    </row>
    <row r="831" spans="4:17" hidden="1" x14ac:dyDescent="0.4">
      <c r="D831" s="45" t="s">
        <v>51</v>
      </c>
      <c r="E831" s="45" t="s">
        <v>52</v>
      </c>
      <c r="F831" s="45" t="s">
        <v>53</v>
      </c>
      <c r="G831" s="45" t="s">
        <v>54</v>
      </c>
      <c r="H831" s="50" t="s">
        <v>6</v>
      </c>
      <c r="I831" s="49">
        <v>46064</v>
      </c>
      <c r="J831" s="45" t="s">
        <v>257</v>
      </c>
      <c r="K831" s="45" t="s">
        <v>444</v>
      </c>
      <c r="L831" s="48"/>
      <c r="M831" s="47">
        <v>50</v>
      </c>
      <c r="N831" s="47">
        <v>50</v>
      </c>
      <c r="O831" s="46">
        <v>1</v>
      </c>
      <c r="Q831" s="45" t="s">
        <v>23</v>
      </c>
    </row>
    <row r="832" spans="4:17" hidden="1" x14ac:dyDescent="0.4">
      <c r="D832" s="45" t="s">
        <v>75</v>
      </c>
      <c r="E832" s="45" t="s">
        <v>76</v>
      </c>
      <c r="F832" s="45" t="s">
        <v>77</v>
      </c>
      <c r="G832" s="45" t="s">
        <v>78</v>
      </c>
      <c r="H832" s="50" t="s">
        <v>6</v>
      </c>
      <c r="I832" s="49">
        <v>46064</v>
      </c>
      <c r="J832" s="45" t="s">
        <v>257</v>
      </c>
      <c r="K832" s="45" t="s">
        <v>444</v>
      </c>
      <c r="L832" s="48"/>
      <c r="M832" s="47">
        <v>50</v>
      </c>
      <c r="N832" s="47">
        <v>50</v>
      </c>
      <c r="O832" s="46">
        <v>1</v>
      </c>
      <c r="Q832" s="45" t="s">
        <v>23</v>
      </c>
    </row>
    <row r="833" spans="4:17" hidden="1" x14ac:dyDescent="0.4">
      <c r="D833" s="45" t="s">
        <v>80</v>
      </c>
      <c r="E833" s="45" t="s">
        <v>81</v>
      </c>
      <c r="F833" s="45" t="s">
        <v>82</v>
      </c>
      <c r="G833" s="45" t="s">
        <v>83</v>
      </c>
      <c r="H833" s="50" t="s">
        <v>6</v>
      </c>
      <c r="I833" s="49">
        <v>46064</v>
      </c>
      <c r="J833" s="45" t="s">
        <v>257</v>
      </c>
      <c r="K833" s="45" t="s">
        <v>444</v>
      </c>
      <c r="L833" s="48"/>
      <c r="M833" s="47">
        <v>50</v>
      </c>
      <c r="N833" s="47">
        <v>50</v>
      </c>
      <c r="O833" s="46">
        <v>1</v>
      </c>
      <c r="Q833" s="45" t="s">
        <v>23</v>
      </c>
    </row>
    <row r="834" spans="4:17" hidden="1" x14ac:dyDescent="0.4">
      <c r="D834" s="45" t="s">
        <v>85</v>
      </c>
      <c r="E834" s="45" t="s">
        <v>86</v>
      </c>
      <c r="F834" s="45" t="s">
        <v>87</v>
      </c>
      <c r="G834" s="45" t="s">
        <v>88</v>
      </c>
      <c r="H834" s="50" t="s">
        <v>6</v>
      </c>
      <c r="I834" s="49">
        <v>46064</v>
      </c>
      <c r="J834" s="45" t="s">
        <v>257</v>
      </c>
      <c r="K834" s="45" t="s">
        <v>444</v>
      </c>
      <c r="L834" s="48"/>
      <c r="M834" s="47">
        <v>50</v>
      </c>
      <c r="N834" s="47">
        <v>50</v>
      </c>
      <c r="O834" s="46">
        <v>1</v>
      </c>
      <c r="Q834" s="45" t="s">
        <v>23</v>
      </c>
    </row>
    <row r="835" spans="4:17" hidden="1" x14ac:dyDescent="0.4">
      <c r="D835" s="45" t="s">
        <v>89</v>
      </c>
      <c r="E835" s="45" t="s">
        <v>90</v>
      </c>
      <c r="F835" s="45" t="s">
        <v>91</v>
      </c>
      <c r="G835" s="45" t="s">
        <v>92</v>
      </c>
      <c r="H835" s="50" t="s">
        <v>6</v>
      </c>
      <c r="I835" s="49">
        <v>46064</v>
      </c>
      <c r="J835" s="45" t="s">
        <v>257</v>
      </c>
      <c r="K835" s="45" t="s">
        <v>444</v>
      </c>
      <c r="L835" s="48"/>
      <c r="M835" s="47">
        <v>0</v>
      </c>
      <c r="N835" s="47">
        <v>50</v>
      </c>
      <c r="O835" s="46">
        <v>0</v>
      </c>
      <c r="Q835" s="45" t="s">
        <v>23</v>
      </c>
    </row>
    <row r="836" spans="4:17" hidden="1" x14ac:dyDescent="0.4">
      <c r="D836" s="45" t="s">
        <v>94</v>
      </c>
      <c r="E836" s="45" t="s">
        <v>95</v>
      </c>
      <c r="F836" s="45" t="s">
        <v>96</v>
      </c>
      <c r="G836" s="45" t="s">
        <v>97</v>
      </c>
      <c r="H836" s="50" t="s">
        <v>6</v>
      </c>
      <c r="I836" s="49">
        <v>46064</v>
      </c>
      <c r="J836" s="45" t="s">
        <v>257</v>
      </c>
      <c r="K836" s="45" t="s">
        <v>444</v>
      </c>
      <c r="L836" s="48"/>
      <c r="M836" s="47">
        <v>50</v>
      </c>
      <c r="N836" s="47">
        <v>50</v>
      </c>
      <c r="O836" s="46">
        <v>1</v>
      </c>
      <c r="Q836" s="45" t="s">
        <v>23</v>
      </c>
    </row>
    <row r="837" spans="4:17" hidden="1" x14ac:dyDescent="0.4">
      <c r="D837" s="45" t="s">
        <v>99</v>
      </c>
      <c r="E837" s="45" t="s">
        <v>100</v>
      </c>
      <c r="F837" s="45" t="s">
        <v>101</v>
      </c>
      <c r="G837" s="45" t="s">
        <v>102</v>
      </c>
      <c r="H837" s="50" t="s">
        <v>6</v>
      </c>
      <c r="I837" s="49">
        <v>46064</v>
      </c>
      <c r="J837" s="45" t="s">
        <v>257</v>
      </c>
      <c r="K837" s="45" t="s">
        <v>444</v>
      </c>
      <c r="L837" s="48"/>
      <c r="M837" s="47">
        <v>50</v>
      </c>
      <c r="N837" s="47">
        <v>50</v>
      </c>
      <c r="O837" s="46">
        <v>1</v>
      </c>
      <c r="Q837" s="45" t="s">
        <v>23</v>
      </c>
    </row>
    <row r="838" spans="4:17" hidden="1" x14ac:dyDescent="0.4">
      <c r="D838" s="45" t="s">
        <v>104</v>
      </c>
      <c r="E838" s="45" t="s">
        <v>86</v>
      </c>
      <c r="F838" s="45" t="s">
        <v>105</v>
      </c>
      <c r="G838" s="45" t="s">
        <v>106</v>
      </c>
      <c r="H838" s="50" t="s">
        <v>6</v>
      </c>
      <c r="I838" s="49">
        <v>46064</v>
      </c>
      <c r="J838" s="45" t="s">
        <v>257</v>
      </c>
      <c r="K838" s="45" t="s">
        <v>444</v>
      </c>
      <c r="L838" s="48"/>
      <c r="M838" s="47">
        <v>50</v>
      </c>
      <c r="N838" s="47">
        <v>50</v>
      </c>
      <c r="O838" s="46">
        <v>1</v>
      </c>
      <c r="Q838" s="45" t="s">
        <v>23</v>
      </c>
    </row>
    <row r="839" spans="4:17" hidden="1" x14ac:dyDescent="0.4">
      <c r="D839" s="45" t="s">
        <v>107</v>
      </c>
      <c r="E839" s="45" t="s">
        <v>108</v>
      </c>
      <c r="F839" s="45" t="s">
        <v>109</v>
      </c>
      <c r="G839" s="45" t="s">
        <v>110</v>
      </c>
      <c r="H839" s="50" t="s">
        <v>6</v>
      </c>
      <c r="I839" s="49">
        <v>46064</v>
      </c>
      <c r="J839" s="45" t="s">
        <v>257</v>
      </c>
      <c r="K839" s="45" t="s">
        <v>444</v>
      </c>
      <c r="L839" s="48"/>
      <c r="M839" s="47">
        <v>50</v>
      </c>
      <c r="N839" s="47">
        <v>50</v>
      </c>
      <c r="O839" s="46">
        <v>1</v>
      </c>
      <c r="Q839" s="45" t="s">
        <v>23</v>
      </c>
    </row>
    <row r="840" spans="4:17" hidden="1" x14ac:dyDescent="0.4">
      <c r="D840" s="45" t="s">
        <v>112</v>
      </c>
      <c r="E840" s="45" t="s">
        <v>113</v>
      </c>
      <c r="F840" s="45" t="s">
        <v>114</v>
      </c>
      <c r="G840" s="45" t="s">
        <v>115</v>
      </c>
      <c r="H840" s="50" t="s">
        <v>6</v>
      </c>
      <c r="I840" s="49">
        <v>46064</v>
      </c>
      <c r="J840" s="45" t="s">
        <v>257</v>
      </c>
      <c r="K840" s="45" t="s">
        <v>444</v>
      </c>
      <c r="L840" s="48"/>
      <c r="M840" s="47">
        <v>50</v>
      </c>
      <c r="N840" s="47">
        <v>50</v>
      </c>
      <c r="O840" s="46">
        <v>1</v>
      </c>
      <c r="Q840" s="45" t="s">
        <v>23</v>
      </c>
    </row>
    <row r="841" spans="4:17" hidden="1" x14ac:dyDescent="0.4">
      <c r="D841" s="45" t="s">
        <v>117</v>
      </c>
      <c r="E841" s="45" t="s">
        <v>118</v>
      </c>
      <c r="F841" s="45" t="s">
        <v>119</v>
      </c>
      <c r="G841" s="45" t="s">
        <v>120</v>
      </c>
      <c r="H841" s="50" t="s">
        <v>6</v>
      </c>
      <c r="I841" s="49">
        <v>46064</v>
      </c>
      <c r="J841" s="45" t="s">
        <v>257</v>
      </c>
      <c r="K841" s="45" t="s">
        <v>444</v>
      </c>
      <c r="L841" s="48"/>
      <c r="M841" s="47">
        <v>50</v>
      </c>
      <c r="N841" s="47">
        <v>50</v>
      </c>
      <c r="O841" s="46">
        <v>1</v>
      </c>
      <c r="Q841" s="45" t="s">
        <v>23</v>
      </c>
    </row>
    <row r="842" spans="4:17" hidden="1" x14ac:dyDescent="0.4">
      <c r="D842" s="45" t="s">
        <v>122</v>
      </c>
      <c r="E842" s="45" t="s">
        <v>123</v>
      </c>
      <c r="F842" s="45" t="s">
        <v>124</v>
      </c>
      <c r="G842" s="45" t="s">
        <v>125</v>
      </c>
      <c r="H842" s="50" t="s">
        <v>6</v>
      </c>
      <c r="I842" s="49">
        <v>46064</v>
      </c>
      <c r="J842" s="45" t="s">
        <v>257</v>
      </c>
      <c r="K842" s="45" t="s">
        <v>444</v>
      </c>
      <c r="L842" s="48"/>
      <c r="M842" s="47">
        <v>50</v>
      </c>
      <c r="N842" s="47">
        <v>50</v>
      </c>
      <c r="O842" s="46">
        <v>1</v>
      </c>
      <c r="Q842" s="45" t="s">
        <v>23</v>
      </c>
    </row>
    <row r="843" spans="4:17" hidden="1" x14ac:dyDescent="0.4">
      <c r="D843" s="45" t="s">
        <v>127</v>
      </c>
      <c r="E843" s="45" t="s">
        <v>128</v>
      </c>
      <c r="F843" s="45" t="s">
        <v>129</v>
      </c>
      <c r="G843" s="45" t="s">
        <v>130</v>
      </c>
      <c r="H843" s="50" t="s">
        <v>6</v>
      </c>
      <c r="I843" s="49">
        <v>46064</v>
      </c>
      <c r="J843" s="45" t="s">
        <v>257</v>
      </c>
      <c r="K843" s="45" t="s">
        <v>444</v>
      </c>
      <c r="L843" s="48"/>
      <c r="M843" s="47">
        <v>50</v>
      </c>
      <c r="N843" s="47">
        <v>50</v>
      </c>
      <c r="O843" s="46">
        <v>1</v>
      </c>
      <c r="Q843" s="45" t="s">
        <v>23</v>
      </c>
    </row>
    <row r="844" spans="4:17" hidden="1" x14ac:dyDescent="0.4">
      <c r="D844" s="45" t="s">
        <v>132</v>
      </c>
      <c r="E844" s="45" t="s">
        <v>133</v>
      </c>
      <c r="F844" s="45" t="s">
        <v>134</v>
      </c>
      <c r="G844" s="45" t="s">
        <v>135</v>
      </c>
      <c r="H844" s="50" t="s">
        <v>6</v>
      </c>
      <c r="I844" s="49">
        <v>46064</v>
      </c>
      <c r="J844" s="45" t="s">
        <v>257</v>
      </c>
      <c r="K844" s="45" t="s">
        <v>444</v>
      </c>
      <c r="L844" s="48"/>
      <c r="M844" s="47">
        <v>50</v>
      </c>
      <c r="N844" s="47">
        <v>50</v>
      </c>
      <c r="O844" s="46">
        <v>1</v>
      </c>
      <c r="Q844" s="45" t="s">
        <v>23</v>
      </c>
    </row>
    <row r="845" spans="4:17" hidden="1" x14ac:dyDescent="0.4">
      <c r="D845" s="45" t="s">
        <v>137</v>
      </c>
      <c r="E845" s="45" t="s">
        <v>138</v>
      </c>
      <c r="F845" s="45" t="s">
        <v>139</v>
      </c>
      <c r="G845" s="45" t="s">
        <v>140</v>
      </c>
      <c r="H845" s="50" t="s">
        <v>6</v>
      </c>
      <c r="I845" s="49">
        <v>46064</v>
      </c>
      <c r="J845" s="45" t="s">
        <v>257</v>
      </c>
      <c r="K845" s="45" t="s">
        <v>444</v>
      </c>
      <c r="L845" s="48"/>
      <c r="M845" s="47">
        <v>50</v>
      </c>
      <c r="N845" s="47">
        <v>50</v>
      </c>
      <c r="O845" s="46">
        <v>1</v>
      </c>
      <c r="Q845" s="45" t="s">
        <v>23</v>
      </c>
    </row>
    <row r="846" spans="4:17" hidden="1" x14ac:dyDescent="0.4">
      <c r="D846" s="45" t="s">
        <v>142</v>
      </c>
      <c r="E846" s="45" t="s">
        <v>143</v>
      </c>
      <c r="F846" s="45" t="s">
        <v>144</v>
      </c>
      <c r="G846" s="45" t="s">
        <v>145</v>
      </c>
      <c r="H846" s="50" t="s">
        <v>6</v>
      </c>
      <c r="I846" s="49">
        <v>46064</v>
      </c>
      <c r="J846" s="45" t="s">
        <v>257</v>
      </c>
      <c r="K846" s="45" t="s">
        <v>444</v>
      </c>
      <c r="L846" s="48"/>
      <c r="M846" s="47">
        <v>50</v>
      </c>
      <c r="N846" s="47">
        <v>50</v>
      </c>
      <c r="O846" s="46">
        <v>1</v>
      </c>
      <c r="Q846" s="45" t="s">
        <v>23</v>
      </c>
    </row>
    <row r="847" spans="4:17" hidden="1" x14ac:dyDescent="0.4">
      <c r="D847" s="45" t="s">
        <v>147</v>
      </c>
      <c r="E847" s="45" t="s">
        <v>148</v>
      </c>
      <c r="F847" s="45" t="s">
        <v>149</v>
      </c>
      <c r="G847" s="45" t="s">
        <v>150</v>
      </c>
      <c r="H847" s="50" t="s">
        <v>6</v>
      </c>
      <c r="I847" s="49">
        <v>46064</v>
      </c>
      <c r="J847" s="45" t="s">
        <v>257</v>
      </c>
      <c r="K847" s="45" t="s">
        <v>444</v>
      </c>
      <c r="L847" s="48"/>
      <c r="M847" s="47">
        <v>50</v>
      </c>
      <c r="N847" s="47">
        <v>50</v>
      </c>
      <c r="O847" s="46">
        <v>1</v>
      </c>
      <c r="Q847" s="45" t="s">
        <v>23</v>
      </c>
    </row>
    <row r="848" spans="4:17" hidden="1" x14ac:dyDescent="0.4">
      <c r="D848" s="45" t="s">
        <v>152</v>
      </c>
      <c r="E848" s="45" t="s">
        <v>66</v>
      </c>
      <c r="F848" s="45" t="s">
        <v>153</v>
      </c>
      <c r="G848" s="45" t="s">
        <v>154</v>
      </c>
      <c r="H848" s="50" t="s">
        <v>6</v>
      </c>
      <c r="I848" s="49">
        <v>46064</v>
      </c>
      <c r="J848" s="45" t="s">
        <v>257</v>
      </c>
      <c r="K848" s="45" t="s">
        <v>444</v>
      </c>
      <c r="L848" s="48"/>
      <c r="M848" s="47">
        <v>50</v>
      </c>
      <c r="N848" s="47">
        <v>50</v>
      </c>
      <c r="O848" s="46">
        <v>1</v>
      </c>
      <c r="Q848" s="45" t="s">
        <v>23</v>
      </c>
    </row>
    <row r="849" spans="4:17" hidden="1" x14ac:dyDescent="0.4">
      <c r="D849" s="45" t="s">
        <v>160</v>
      </c>
      <c r="E849" s="45" t="s">
        <v>81</v>
      </c>
      <c r="F849" s="45" t="s">
        <v>161</v>
      </c>
      <c r="G849" s="45" t="s">
        <v>162</v>
      </c>
      <c r="H849" s="50" t="s">
        <v>6</v>
      </c>
      <c r="I849" s="49">
        <v>46064</v>
      </c>
      <c r="J849" s="45" t="s">
        <v>257</v>
      </c>
      <c r="K849" s="45" t="s">
        <v>444</v>
      </c>
      <c r="L849" s="48"/>
      <c r="M849" s="47">
        <v>50</v>
      </c>
      <c r="N849" s="47">
        <v>50</v>
      </c>
      <c r="O849" s="46">
        <v>1</v>
      </c>
      <c r="Q849" s="45" t="s">
        <v>23</v>
      </c>
    </row>
    <row r="850" spans="4:17" hidden="1" x14ac:dyDescent="0.4">
      <c r="D850" s="45" t="s">
        <v>163</v>
      </c>
      <c r="E850" s="45" t="s">
        <v>164</v>
      </c>
      <c r="F850" s="45" t="s">
        <v>165</v>
      </c>
      <c r="G850" s="45" t="s">
        <v>166</v>
      </c>
      <c r="H850" s="50" t="s">
        <v>6</v>
      </c>
      <c r="I850" s="49">
        <v>46064</v>
      </c>
      <c r="J850" s="45" t="s">
        <v>257</v>
      </c>
      <c r="K850" s="45" t="s">
        <v>444</v>
      </c>
      <c r="L850" s="48"/>
      <c r="M850" s="47">
        <v>0</v>
      </c>
      <c r="N850" s="47">
        <v>50</v>
      </c>
      <c r="O850" s="46">
        <v>0</v>
      </c>
      <c r="Q850" s="45" t="s">
        <v>23</v>
      </c>
    </row>
    <row r="851" spans="4:17" hidden="1" x14ac:dyDescent="0.4">
      <c r="D851" s="45" t="s">
        <v>168</v>
      </c>
      <c r="E851" s="45" t="s">
        <v>169</v>
      </c>
      <c r="F851" s="45" t="s">
        <v>170</v>
      </c>
      <c r="G851" s="45" t="s">
        <v>171</v>
      </c>
      <c r="H851" s="50" t="s">
        <v>6</v>
      </c>
      <c r="I851" s="49">
        <v>46064</v>
      </c>
      <c r="J851" s="45" t="s">
        <v>257</v>
      </c>
      <c r="K851" s="45" t="s">
        <v>444</v>
      </c>
      <c r="L851" s="48"/>
      <c r="M851" s="47">
        <v>50</v>
      </c>
      <c r="N851" s="47">
        <v>50</v>
      </c>
      <c r="O851" s="46">
        <v>1</v>
      </c>
      <c r="Q851" s="45" t="s">
        <v>23</v>
      </c>
    </row>
    <row r="852" spans="4:17" hidden="1" x14ac:dyDescent="0.4">
      <c r="D852" s="45" t="s">
        <v>173</v>
      </c>
      <c r="E852" s="45" t="s">
        <v>174</v>
      </c>
      <c r="F852" s="45" t="s">
        <v>175</v>
      </c>
      <c r="G852" s="45" t="s">
        <v>176</v>
      </c>
      <c r="H852" s="50" t="s">
        <v>6</v>
      </c>
      <c r="I852" s="49">
        <v>46064</v>
      </c>
      <c r="J852" s="45" t="s">
        <v>257</v>
      </c>
      <c r="K852" s="45" t="s">
        <v>444</v>
      </c>
      <c r="L852" s="48"/>
      <c r="M852" s="47">
        <v>50</v>
      </c>
      <c r="N852" s="47">
        <v>50</v>
      </c>
      <c r="O852" s="46">
        <v>1</v>
      </c>
      <c r="Q852" s="45" t="s">
        <v>23</v>
      </c>
    </row>
    <row r="853" spans="4:17" hidden="1" x14ac:dyDescent="0.4">
      <c r="D853" s="45" t="s">
        <v>178</v>
      </c>
      <c r="E853" s="45" t="s">
        <v>179</v>
      </c>
      <c r="F853" s="45" t="s">
        <v>180</v>
      </c>
      <c r="G853" s="45" t="s">
        <v>181</v>
      </c>
      <c r="H853" s="50" t="s">
        <v>6</v>
      </c>
      <c r="I853" s="49">
        <v>46064</v>
      </c>
      <c r="J853" s="45" t="s">
        <v>257</v>
      </c>
      <c r="K853" s="45" t="s">
        <v>444</v>
      </c>
      <c r="L853" s="48"/>
      <c r="M853" s="47">
        <v>50</v>
      </c>
      <c r="N853" s="47">
        <v>50</v>
      </c>
      <c r="O853" s="46">
        <v>1</v>
      </c>
      <c r="Q853" s="45" t="s">
        <v>23</v>
      </c>
    </row>
    <row r="854" spans="4:17" hidden="1" x14ac:dyDescent="0.4">
      <c r="D854" s="45" t="s">
        <v>187</v>
      </c>
      <c r="E854" s="45" t="s">
        <v>188</v>
      </c>
      <c r="F854" s="45" t="s">
        <v>189</v>
      </c>
      <c r="G854" s="45" t="s">
        <v>190</v>
      </c>
      <c r="H854" s="50" t="s">
        <v>6</v>
      </c>
      <c r="I854" s="49">
        <v>46064</v>
      </c>
      <c r="J854" s="45" t="s">
        <v>257</v>
      </c>
      <c r="K854" s="45" t="s">
        <v>444</v>
      </c>
      <c r="L854" s="48"/>
      <c r="M854" s="47">
        <v>50</v>
      </c>
      <c r="N854" s="47">
        <v>50</v>
      </c>
      <c r="O854" s="46">
        <v>1</v>
      </c>
      <c r="Q854" s="45" t="s">
        <v>23</v>
      </c>
    </row>
    <row r="855" spans="4:17" hidden="1" x14ac:dyDescent="0.4">
      <c r="D855" s="45" t="s">
        <v>192</v>
      </c>
      <c r="E855" s="45" t="s">
        <v>193</v>
      </c>
      <c r="F855" s="45" t="s">
        <v>194</v>
      </c>
      <c r="G855" s="45" t="s">
        <v>195</v>
      </c>
      <c r="H855" s="50" t="s">
        <v>6</v>
      </c>
      <c r="I855" s="49">
        <v>46064</v>
      </c>
      <c r="J855" s="45" t="s">
        <v>257</v>
      </c>
      <c r="K855" s="45" t="s">
        <v>444</v>
      </c>
      <c r="L855" s="48"/>
      <c r="M855" s="47">
        <v>50</v>
      </c>
      <c r="N855" s="47">
        <v>50</v>
      </c>
      <c r="O855" s="46">
        <v>1</v>
      </c>
      <c r="Q855" s="45" t="s">
        <v>23</v>
      </c>
    </row>
    <row r="856" spans="4:17" hidden="1" x14ac:dyDescent="0.4">
      <c r="D856" s="45" t="s">
        <v>197</v>
      </c>
      <c r="E856" s="45" t="s">
        <v>198</v>
      </c>
      <c r="F856" s="45" t="s">
        <v>199</v>
      </c>
      <c r="G856" s="45" t="s">
        <v>200</v>
      </c>
      <c r="H856" s="50" t="s">
        <v>6</v>
      </c>
      <c r="I856" s="49">
        <v>46064</v>
      </c>
      <c r="J856" s="45" t="s">
        <v>257</v>
      </c>
      <c r="K856" s="45" t="s">
        <v>444</v>
      </c>
      <c r="L856" s="48"/>
      <c r="M856" s="47">
        <v>50</v>
      </c>
      <c r="N856" s="47">
        <v>50</v>
      </c>
      <c r="O856" s="46">
        <v>1</v>
      </c>
      <c r="Q856" s="45" t="s">
        <v>23</v>
      </c>
    </row>
    <row r="857" spans="4:17" hidden="1" x14ac:dyDescent="0.4">
      <c r="D857" s="45" t="s">
        <v>201</v>
      </c>
      <c r="E857" s="45" t="s">
        <v>143</v>
      </c>
      <c r="F857" s="45" t="s">
        <v>202</v>
      </c>
      <c r="G857" s="45" t="s">
        <v>203</v>
      </c>
      <c r="H857" s="50" t="s">
        <v>6</v>
      </c>
      <c r="I857" s="49">
        <v>46064</v>
      </c>
      <c r="J857" s="45" t="s">
        <v>257</v>
      </c>
      <c r="K857" s="45" t="s">
        <v>444</v>
      </c>
      <c r="L857" s="48"/>
      <c r="M857" s="47">
        <v>40</v>
      </c>
      <c r="N857" s="47">
        <v>50</v>
      </c>
      <c r="O857" s="46">
        <v>0.8</v>
      </c>
      <c r="Q857" s="45" t="s">
        <v>23</v>
      </c>
    </row>
    <row r="858" spans="4:17" hidden="1" x14ac:dyDescent="0.4">
      <c r="D858" s="45" t="s">
        <v>205</v>
      </c>
      <c r="E858" s="45" t="s">
        <v>206</v>
      </c>
      <c r="F858" s="45" t="s">
        <v>207</v>
      </c>
      <c r="G858" s="45" t="s">
        <v>208</v>
      </c>
      <c r="H858" s="50" t="s">
        <v>6</v>
      </c>
      <c r="I858" s="49">
        <v>46064</v>
      </c>
      <c r="J858" s="45" t="s">
        <v>257</v>
      </c>
      <c r="K858" s="45" t="s">
        <v>444</v>
      </c>
      <c r="L858" s="48"/>
      <c r="M858" s="47">
        <v>50</v>
      </c>
      <c r="N858" s="47">
        <v>50</v>
      </c>
      <c r="O858" s="46">
        <v>1</v>
      </c>
      <c r="Q858" s="45" t="s">
        <v>23</v>
      </c>
    </row>
    <row r="859" spans="4:17" hidden="1" x14ac:dyDescent="0.4">
      <c r="D859" s="45" t="s">
        <v>210</v>
      </c>
      <c r="E859" s="45" t="s">
        <v>211</v>
      </c>
      <c r="F859" s="45" t="s">
        <v>212</v>
      </c>
      <c r="G859" s="45" t="s">
        <v>213</v>
      </c>
      <c r="H859" s="50" t="s">
        <v>6</v>
      </c>
      <c r="I859" s="49">
        <v>46064</v>
      </c>
      <c r="J859" s="45" t="s">
        <v>257</v>
      </c>
      <c r="K859" s="45" t="s">
        <v>444</v>
      </c>
      <c r="L859" s="48"/>
      <c r="M859" s="47">
        <v>0</v>
      </c>
      <c r="N859" s="47">
        <v>50</v>
      </c>
      <c r="O859" s="46">
        <v>0</v>
      </c>
      <c r="Q859" s="45" t="s">
        <v>23</v>
      </c>
    </row>
    <row r="860" spans="4:17" hidden="1" x14ac:dyDescent="0.4">
      <c r="D860" s="45" t="s">
        <v>215</v>
      </c>
      <c r="E860" s="45" t="s">
        <v>216</v>
      </c>
      <c r="F860" s="45" t="s">
        <v>217</v>
      </c>
      <c r="G860" s="45" t="s">
        <v>218</v>
      </c>
      <c r="H860" s="50" t="s">
        <v>6</v>
      </c>
      <c r="I860" s="49">
        <v>46064</v>
      </c>
      <c r="J860" s="45" t="s">
        <v>257</v>
      </c>
      <c r="K860" s="45" t="s">
        <v>444</v>
      </c>
      <c r="L860" s="48"/>
      <c r="M860" s="47">
        <v>50</v>
      </c>
      <c r="N860" s="47">
        <v>50</v>
      </c>
      <c r="O860" s="46">
        <v>1</v>
      </c>
      <c r="Q860" s="45" t="s">
        <v>23</v>
      </c>
    </row>
    <row r="861" spans="4:17" hidden="1" x14ac:dyDescent="0.4">
      <c r="D861" s="45" t="s">
        <v>24</v>
      </c>
      <c r="E861" s="45" t="s">
        <v>25</v>
      </c>
      <c r="F861" s="45" t="s">
        <v>26</v>
      </c>
      <c r="G861" s="45" t="s">
        <v>27</v>
      </c>
      <c r="H861" s="50" t="s">
        <v>7</v>
      </c>
      <c r="I861" s="49">
        <v>46057</v>
      </c>
      <c r="J861" s="45" t="s">
        <v>257</v>
      </c>
      <c r="K861" s="45" t="s">
        <v>444</v>
      </c>
      <c r="L861" s="48"/>
      <c r="M861" s="47">
        <v>50</v>
      </c>
      <c r="N861" s="47">
        <v>50</v>
      </c>
      <c r="O861" s="46">
        <v>1</v>
      </c>
      <c r="Q861" s="45" t="s">
        <v>23</v>
      </c>
    </row>
    <row r="862" spans="4:17" hidden="1" x14ac:dyDescent="0.4">
      <c r="D862" s="45" t="s">
        <v>31</v>
      </c>
      <c r="E862" s="45" t="s">
        <v>32</v>
      </c>
      <c r="F862" s="45" t="s">
        <v>33</v>
      </c>
      <c r="G862" s="45" t="s">
        <v>34</v>
      </c>
      <c r="H862" s="50" t="s">
        <v>7</v>
      </c>
      <c r="I862" s="49">
        <v>46057</v>
      </c>
      <c r="J862" s="45" t="s">
        <v>257</v>
      </c>
      <c r="K862" s="45" t="s">
        <v>444</v>
      </c>
      <c r="L862" s="48"/>
      <c r="M862" s="47">
        <v>40</v>
      </c>
      <c r="N862" s="47">
        <v>50</v>
      </c>
      <c r="O862" s="46">
        <v>0.8</v>
      </c>
      <c r="Q862" s="45" t="s">
        <v>23</v>
      </c>
    </row>
    <row r="863" spans="4:17" hidden="1" x14ac:dyDescent="0.4">
      <c r="D863" s="45" t="s">
        <v>36</v>
      </c>
      <c r="E863" s="45" t="s">
        <v>37</v>
      </c>
      <c r="F863" s="45" t="s">
        <v>38</v>
      </c>
      <c r="G863" s="45" t="s">
        <v>39</v>
      </c>
      <c r="H863" s="50" t="s">
        <v>7</v>
      </c>
      <c r="I863" s="49">
        <v>46057</v>
      </c>
      <c r="J863" s="45" t="s">
        <v>257</v>
      </c>
      <c r="K863" s="45" t="s">
        <v>444</v>
      </c>
      <c r="L863" s="48"/>
      <c r="M863" s="47">
        <v>50</v>
      </c>
      <c r="N863" s="47">
        <v>50</v>
      </c>
      <c r="O863" s="46">
        <v>1</v>
      </c>
      <c r="Q863" s="45" t="s">
        <v>23</v>
      </c>
    </row>
    <row r="864" spans="4:17" hidden="1" x14ac:dyDescent="0.4">
      <c r="D864" s="45" t="s">
        <v>41</v>
      </c>
      <c r="E864" s="45" t="s">
        <v>42</v>
      </c>
      <c r="F864" s="45" t="s">
        <v>43</v>
      </c>
      <c r="G864" s="45" t="s">
        <v>44</v>
      </c>
      <c r="H864" s="50" t="s">
        <v>7</v>
      </c>
      <c r="I864" s="49">
        <v>46057</v>
      </c>
      <c r="J864" s="45" t="s">
        <v>257</v>
      </c>
      <c r="K864" s="45" t="s">
        <v>444</v>
      </c>
      <c r="L864" s="48"/>
      <c r="M864" s="47">
        <v>0</v>
      </c>
      <c r="N864" s="47">
        <v>50</v>
      </c>
      <c r="O864" s="46">
        <v>0</v>
      </c>
      <c r="Q864" s="45" t="s">
        <v>23</v>
      </c>
    </row>
    <row r="865" spans="4:17" hidden="1" x14ac:dyDescent="0.4">
      <c r="D865" s="45" t="s">
        <v>46</v>
      </c>
      <c r="E865" s="45" t="s">
        <v>47</v>
      </c>
      <c r="F865" s="45" t="s">
        <v>48</v>
      </c>
      <c r="G865" s="45" t="s">
        <v>49</v>
      </c>
      <c r="H865" s="50" t="s">
        <v>7</v>
      </c>
      <c r="I865" s="49">
        <v>46057</v>
      </c>
      <c r="J865" s="45" t="s">
        <v>257</v>
      </c>
      <c r="K865" s="45" t="s">
        <v>444</v>
      </c>
      <c r="L865" s="48"/>
      <c r="M865" s="47">
        <v>50</v>
      </c>
      <c r="N865" s="47">
        <v>50</v>
      </c>
      <c r="O865" s="46">
        <v>1</v>
      </c>
      <c r="Q865" s="45" t="s">
        <v>23</v>
      </c>
    </row>
    <row r="866" spans="4:17" hidden="1" x14ac:dyDescent="0.4">
      <c r="D866" s="45" t="s">
        <v>51</v>
      </c>
      <c r="E866" s="45" t="s">
        <v>52</v>
      </c>
      <c r="F866" s="45" t="s">
        <v>53</v>
      </c>
      <c r="G866" s="45" t="s">
        <v>54</v>
      </c>
      <c r="H866" s="50" t="s">
        <v>7</v>
      </c>
      <c r="I866" s="49">
        <v>46057</v>
      </c>
      <c r="J866" s="45" t="s">
        <v>257</v>
      </c>
      <c r="K866" s="45" t="s">
        <v>444</v>
      </c>
      <c r="L866" s="48"/>
      <c r="M866" s="47">
        <v>0</v>
      </c>
      <c r="N866" s="47">
        <v>50</v>
      </c>
      <c r="O866" s="46">
        <v>0</v>
      </c>
      <c r="Q866" s="45" t="s">
        <v>23</v>
      </c>
    </row>
    <row r="867" spans="4:17" hidden="1" x14ac:dyDescent="0.4">
      <c r="D867" s="45" t="s">
        <v>56</v>
      </c>
      <c r="E867" s="45" t="s">
        <v>52</v>
      </c>
      <c r="F867" s="45" t="s">
        <v>57</v>
      </c>
      <c r="G867" s="45" t="s">
        <v>58</v>
      </c>
      <c r="H867" s="50" t="s">
        <v>7</v>
      </c>
      <c r="I867" s="49">
        <v>46057</v>
      </c>
      <c r="J867" s="45" t="s">
        <v>257</v>
      </c>
      <c r="K867" s="45" t="s">
        <v>444</v>
      </c>
      <c r="L867" s="48"/>
      <c r="M867" s="47">
        <v>50</v>
      </c>
      <c r="N867" s="47">
        <v>50</v>
      </c>
      <c r="O867" s="46">
        <v>1</v>
      </c>
      <c r="Q867" s="45" t="s">
        <v>23</v>
      </c>
    </row>
    <row r="868" spans="4:17" hidden="1" x14ac:dyDescent="0.4">
      <c r="D868" s="45" t="s">
        <v>60</v>
      </c>
      <c r="E868" s="45" t="s">
        <v>61</v>
      </c>
      <c r="F868" s="45" t="s">
        <v>62</v>
      </c>
      <c r="G868" s="45" t="s">
        <v>63</v>
      </c>
      <c r="H868" s="50" t="s">
        <v>7</v>
      </c>
      <c r="I868" s="49">
        <v>46057</v>
      </c>
      <c r="J868" s="45" t="s">
        <v>257</v>
      </c>
      <c r="K868" s="45" t="s">
        <v>444</v>
      </c>
      <c r="L868" s="48"/>
      <c r="M868" s="47">
        <v>50</v>
      </c>
      <c r="N868" s="47">
        <v>50</v>
      </c>
      <c r="O868" s="46">
        <v>1</v>
      </c>
      <c r="Q868" s="45" t="s">
        <v>23</v>
      </c>
    </row>
    <row r="869" spans="4:17" hidden="1" x14ac:dyDescent="0.4">
      <c r="D869" s="45" t="s">
        <v>65</v>
      </c>
      <c r="E869" s="45" t="s">
        <v>66</v>
      </c>
      <c r="F869" s="45" t="s">
        <v>67</v>
      </c>
      <c r="G869" s="45" t="s">
        <v>68</v>
      </c>
      <c r="H869" s="50" t="s">
        <v>7</v>
      </c>
      <c r="I869" s="49">
        <v>46057</v>
      </c>
      <c r="J869" s="45" t="s">
        <v>257</v>
      </c>
      <c r="K869" s="45" t="s">
        <v>444</v>
      </c>
      <c r="L869" s="48"/>
      <c r="M869" s="47">
        <v>50</v>
      </c>
      <c r="N869" s="47">
        <v>50</v>
      </c>
      <c r="O869" s="46">
        <v>1</v>
      </c>
      <c r="Q869" s="45" t="s">
        <v>23</v>
      </c>
    </row>
    <row r="870" spans="4:17" hidden="1" x14ac:dyDescent="0.4">
      <c r="D870" s="45" t="s">
        <v>70</v>
      </c>
      <c r="E870" s="45" t="s">
        <v>71</v>
      </c>
      <c r="F870" s="45" t="s">
        <v>72</v>
      </c>
      <c r="G870" s="45" t="s">
        <v>73</v>
      </c>
      <c r="H870" s="50" t="s">
        <v>7</v>
      </c>
      <c r="I870" s="49">
        <v>46057</v>
      </c>
      <c r="J870" s="45" t="s">
        <v>257</v>
      </c>
      <c r="K870" s="45" t="s">
        <v>444</v>
      </c>
      <c r="L870" s="48"/>
      <c r="M870" s="47">
        <v>50</v>
      </c>
      <c r="N870" s="47">
        <v>50</v>
      </c>
      <c r="O870" s="46">
        <v>1</v>
      </c>
      <c r="Q870" s="45" t="s">
        <v>23</v>
      </c>
    </row>
    <row r="871" spans="4:17" hidden="1" x14ac:dyDescent="0.4">
      <c r="D871" s="45" t="s">
        <v>75</v>
      </c>
      <c r="E871" s="45" t="s">
        <v>76</v>
      </c>
      <c r="F871" s="45" t="s">
        <v>77</v>
      </c>
      <c r="G871" s="45" t="s">
        <v>78</v>
      </c>
      <c r="H871" s="50" t="s">
        <v>7</v>
      </c>
      <c r="I871" s="49">
        <v>46057</v>
      </c>
      <c r="J871" s="45" t="s">
        <v>257</v>
      </c>
      <c r="K871" s="45" t="s">
        <v>444</v>
      </c>
      <c r="L871" s="48"/>
      <c r="M871" s="47">
        <v>50</v>
      </c>
      <c r="N871" s="47">
        <v>50</v>
      </c>
      <c r="O871" s="46">
        <v>1</v>
      </c>
      <c r="Q871" s="45" t="s">
        <v>23</v>
      </c>
    </row>
    <row r="872" spans="4:17" hidden="1" x14ac:dyDescent="0.4">
      <c r="D872" s="45" t="s">
        <v>80</v>
      </c>
      <c r="E872" s="45" t="s">
        <v>81</v>
      </c>
      <c r="F872" s="45" t="s">
        <v>82</v>
      </c>
      <c r="G872" s="45" t="s">
        <v>83</v>
      </c>
      <c r="H872" s="50" t="s">
        <v>7</v>
      </c>
      <c r="I872" s="49">
        <v>46057</v>
      </c>
      <c r="J872" s="45" t="s">
        <v>257</v>
      </c>
      <c r="K872" s="45" t="s">
        <v>444</v>
      </c>
      <c r="L872" s="48"/>
      <c r="M872" s="47">
        <v>50</v>
      </c>
      <c r="N872" s="47">
        <v>50</v>
      </c>
      <c r="O872" s="46">
        <v>1</v>
      </c>
      <c r="Q872" s="45" t="s">
        <v>23</v>
      </c>
    </row>
    <row r="873" spans="4:17" hidden="1" x14ac:dyDescent="0.4">
      <c r="D873" s="45" t="s">
        <v>85</v>
      </c>
      <c r="E873" s="45" t="s">
        <v>86</v>
      </c>
      <c r="F873" s="45" t="s">
        <v>87</v>
      </c>
      <c r="G873" s="45" t="s">
        <v>88</v>
      </c>
      <c r="H873" s="50" t="s">
        <v>7</v>
      </c>
      <c r="I873" s="49">
        <v>46057</v>
      </c>
      <c r="J873" s="45" t="s">
        <v>257</v>
      </c>
      <c r="K873" s="45" t="s">
        <v>444</v>
      </c>
      <c r="L873" s="48"/>
      <c r="M873" s="47">
        <v>50</v>
      </c>
      <c r="N873" s="47">
        <v>50</v>
      </c>
      <c r="O873" s="46">
        <v>1</v>
      </c>
      <c r="Q873" s="45" t="s">
        <v>23</v>
      </c>
    </row>
    <row r="874" spans="4:17" hidden="1" x14ac:dyDescent="0.4">
      <c r="D874" s="45" t="s">
        <v>89</v>
      </c>
      <c r="E874" s="45" t="s">
        <v>90</v>
      </c>
      <c r="F874" s="45" t="s">
        <v>91</v>
      </c>
      <c r="G874" s="45" t="s">
        <v>92</v>
      </c>
      <c r="H874" s="50" t="s">
        <v>7</v>
      </c>
      <c r="I874" s="49">
        <v>46057</v>
      </c>
      <c r="J874" s="45" t="s">
        <v>257</v>
      </c>
      <c r="K874" s="45" t="s">
        <v>444</v>
      </c>
      <c r="L874" s="48"/>
      <c r="M874" s="47">
        <v>0</v>
      </c>
      <c r="N874" s="47">
        <v>50</v>
      </c>
      <c r="O874" s="46">
        <v>0</v>
      </c>
      <c r="Q874" s="45" t="s">
        <v>23</v>
      </c>
    </row>
    <row r="875" spans="4:17" hidden="1" x14ac:dyDescent="0.4">
      <c r="D875" s="45" t="s">
        <v>94</v>
      </c>
      <c r="E875" s="45" t="s">
        <v>95</v>
      </c>
      <c r="F875" s="45" t="s">
        <v>96</v>
      </c>
      <c r="G875" s="45" t="s">
        <v>97</v>
      </c>
      <c r="H875" s="50" t="s">
        <v>7</v>
      </c>
      <c r="I875" s="49">
        <v>46057</v>
      </c>
      <c r="J875" s="45" t="s">
        <v>257</v>
      </c>
      <c r="K875" s="45" t="s">
        <v>444</v>
      </c>
      <c r="L875" s="48"/>
      <c r="M875" s="47">
        <v>0</v>
      </c>
      <c r="N875" s="47">
        <v>50</v>
      </c>
      <c r="O875" s="46">
        <v>0</v>
      </c>
      <c r="Q875" s="45" t="s">
        <v>23</v>
      </c>
    </row>
    <row r="876" spans="4:17" hidden="1" x14ac:dyDescent="0.4">
      <c r="D876" s="45" t="s">
        <v>99</v>
      </c>
      <c r="E876" s="45" t="s">
        <v>100</v>
      </c>
      <c r="F876" s="45" t="s">
        <v>101</v>
      </c>
      <c r="G876" s="45" t="s">
        <v>102</v>
      </c>
      <c r="H876" s="50" t="s">
        <v>7</v>
      </c>
      <c r="I876" s="49">
        <v>46057</v>
      </c>
      <c r="J876" s="45" t="s">
        <v>257</v>
      </c>
      <c r="K876" s="45" t="s">
        <v>444</v>
      </c>
      <c r="L876" s="48"/>
      <c r="M876" s="47">
        <v>50</v>
      </c>
      <c r="N876" s="47">
        <v>50</v>
      </c>
      <c r="O876" s="46">
        <v>1</v>
      </c>
      <c r="Q876" s="45" t="s">
        <v>23</v>
      </c>
    </row>
    <row r="877" spans="4:17" hidden="1" x14ac:dyDescent="0.4">
      <c r="D877" s="45" t="s">
        <v>104</v>
      </c>
      <c r="E877" s="45" t="s">
        <v>86</v>
      </c>
      <c r="F877" s="45" t="s">
        <v>105</v>
      </c>
      <c r="G877" s="45" t="s">
        <v>106</v>
      </c>
      <c r="H877" s="50" t="s">
        <v>7</v>
      </c>
      <c r="I877" s="49">
        <v>46057</v>
      </c>
      <c r="J877" s="45" t="s">
        <v>257</v>
      </c>
      <c r="K877" s="45" t="s">
        <v>444</v>
      </c>
      <c r="L877" s="48"/>
      <c r="M877" s="47">
        <v>50</v>
      </c>
      <c r="N877" s="47">
        <v>50</v>
      </c>
      <c r="O877" s="46">
        <v>1</v>
      </c>
      <c r="Q877" s="45" t="s">
        <v>23</v>
      </c>
    </row>
    <row r="878" spans="4:17" hidden="1" x14ac:dyDescent="0.4">
      <c r="D878" s="45" t="s">
        <v>107</v>
      </c>
      <c r="E878" s="45" t="s">
        <v>108</v>
      </c>
      <c r="F878" s="45" t="s">
        <v>109</v>
      </c>
      <c r="G878" s="45" t="s">
        <v>110</v>
      </c>
      <c r="H878" s="50" t="s">
        <v>7</v>
      </c>
      <c r="I878" s="49">
        <v>46057</v>
      </c>
      <c r="J878" s="45" t="s">
        <v>257</v>
      </c>
      <c r="K878" s="45" t="s">
        <v>444</v>
      </c>
      <c r="L878" s="48"/>
      <c r="M878" s="47">
        <v>50</v>
      </c>
      <c r="N878" s="47">
        <v>50</v>
      </c>
      <c r="O878" s="46">
        <v>1</v>
      </c>
      <c r="Q878" s="45" t="s">
        <v>23</v>
      </c>
    </row>
    <row r="879" spans="4:17" hidden="1" x14ac:dyDescent="0.4">
      <c r="D879" s="45" t="s">
        <v>112</v>
      </c>
      <c r="E879" s="45" t="s">
        <v>113</v>
      </c>
      <c r="F879" s="45" t="s">
        <v>114</v>
      </c>
      <c r="G879" s="45" t="s">
        <v>115</v>
      </c>
      <c r="H879" s="50" t="s">
        <v>7</v>
      </c>
      <c r="I879" s="49">
        <v>46057</v>
      </c>
      <c r="J879" s="45" t="s">
        <v>257</v>
      </c>
      <c r="K879" s="45" t="s">
        <v>444</v>
      </c>
      <c r="L879" s="48"/>
      <c r="M879" s="47">
        <v>50</v>
      </c>
      <c r="N879" s="47">
        <v>50</v>
      </c>
      <c r="O879" s="46">
        <v>1</v>
      </c>
      <c r="Q879" s="45" t="s">
        <v>23</v>
      </c>
    </row>
    <row r="880" spans="4:17" hidden="1" x14ac:dyDescent="0.4">
      <c r="D880" s="45" t="s">
        <v>117</v>
      </c>
      <c r="E880" s="45" t="s">
        <v>118</v>
      </c>
      <c r="F880" s="45" t="s">
        <v>119</v>
      </c>
      <c r="G880" s="45" t="s">
        <v>120</v>
      </c>
      <c r="H880" s="50" t="s">
        <v>7</v>
      </c>
      <c r="I880" s="49">
        <v>46057</v>
      </c>
      <c r="J880" s="45" t="s">
        <v>257</v>
      </c>
      <c r="K880" s="45" t="s">
        <v>444</v>
      </c>
      <c r="L880" s="48"/>
      <c r="M880" s="47">
        <v>50</v>
      </c>
      <c r="N880" s="47">
        <v>50</v>
      </c>
      <c r="O880" s="46">
        <v>1</v>
      </c>
      <c r="Q880" s="45" t="s">
        <v>23</v>
      </c>
    </row>
    <row r="881" spans="4:17" hidden="1" x14ac:dyDescent="0.4">
      <c r="D881" s="45" t="s">
        <v>122</v>
      </c>
      <c r="E881" s="45" t="s">
        <v>123</v>
      </c>
      <c r="F881" s="45" t="s">
        <v>124</v>
      </c>
      <c r="G881" s="45" t="s">
        <v>125</v>
      </c>
      <c r="H881" s="50" t="s">
        <v>7</v>
      </c>
      <c r="I881" s="49">
        <v>46057</v>
      </c>
      <c r="J881" s="45" t="s">
        <v>257</v>
      </c>
      <c r="K881" s="45" t="s">
        <v>444</v>
      </c>
      <c r="L881" s="48"/>
      <c r="M881" s="47">
        <v>50</v>
      </c>
      <c r="N881" s="47">
        <v>50</v>
      </c>
      <c r="O881" s="46">
        <v>1</v>
      </c>
      <c r="Q881" s="45" t="s">
        <v>23</v>
      </c>
    </row>
    <row r="882" spans="4:17" hidden="1" x14ac:dyDescent="0.4">
      <c r="D882" s="45" t="s">
        <v>127</v>
      </c>
      <c r="E882" s="45" t="s">
        <v>128</v>
      </c>
      <c r="F882" s="45" t="s">
        <v>129</v>
      </c>
      <c r="G882" s="45" t="s">
        <v>130</v>
      </c>
      <c r="H882" s="50" t="s">
        <v>7</v>
      </c>
      <c r="I882" s="49">
        <v>46057</v>
      </c>
      <c r="J882" s="45" t="s">
        <v>257</v>
      </c>
      <c r="K882" s="45" t="s">
        <v>444</v>
      </c>
      <c r="L882" s="48"/>
      <c r="M882" s="47">
        <v>50</v>
      </c>
      <c r="N882" s="47">
        <v>50</v>
      </c>
      <c r="O882" s="46">
        <v>1</v>
      </c>
      <c r="Q882" s="45" t="s">
        <v>23</v>
      </c>
    </row>
    <row r="883" spans="4:17" hidden="1" x14ac:dyDescent="0.4">
      <c r="D883" s="45" t="s">
        <v>132</v>
      </c>
      <c r="E883" s="45" t="s">
        <v>133</v>
      </c>
      <c r="F883" s="45" t="s">
        <v>134</v>
      </c>
      <c r="G883" s="45" t="s">
        <v>135</v>
      </c>
      <c r="H883" s="50" t="s">
        <v>7</v>
      </c>
      <c r="I883" s="49">
        <v>46057</v>
      </c>
      <c r="J883" s="45" t="s">
        <v>257</v>
      </c>
      <c r="K883" s="45" t="s">
        <v>444</v>
      </c>
      <c r="L883" s="48"/>
      <c r="M883" s="47">
        <v>50</v>
      </c>
      <c r="N883" s="47">
        <v>50</v>
      </c>
      <c r="O883" s="46">
        <v>1</v>
      </c>
      <c r="Q883" s="45" t="s">
        <v>23</v>
      </c>
    </row>
    <row r="884" spans="4:17" hidden="1" x14ac:dyDescent="0.4">
      <c r="D884" s="45" t="s">
        <v>137</v>
      </c>
      <c r="E884" s="45" t="s">
        <v>138</v>
      </c>
      <c r="F884" s="45" t="s">
        <v>139</v>
      </c>
      <c r="G884" s="45" t="s">
        <v>140</v>
      </c>
      <c r="H884" s="50" t="s">
        <v>7</v>
      </c>
      <c r="I884" s="49">
        <v>46057</v>
      </c>
      <c r="J884" s="45" t="s">
        <v>257</v>
      </c>
      <c r="K884" s="45" t="s">
        <v>444</v>
      </c>
      <c r="L884" s="48"/>
      <c r="M884" s="47">
        <v>50</v>
      </c>
      <c r="N884" s="47">
        <v>50</v>
      </c>
      <c r="O884" s="46">
        <v>1</v>
      </c>
      <c r="Q884" s="45" t="s">
        <v>23</v>
      </c>
    </row>
    <row r="885" spans="4:17" hidden="1" x14ac:dyDescent="0.4">
      <c r="D885" s="45" t="s">
        <v>142</v>
      </c>
      <c r="E885" s="45" t="s">
        <v>143</v>
      </c>
      <c r="F885" s="45" t="s">
        <v>144</v>
      </c>
      <c r="G885" s="45" t="s">
        <v>145</v>
      </c>
      <c r="H885" s="50" t="s">
        <v>7</v>
      </c>
      <c r="I885" s="49">
        <v>46057</v>
      </c>
      <c r="J885" s="45" t="s">
        <v>257</v>
      </c>
      <c r="K885" s="45" t="s">
        <v>444</v>
      </c>
      <c r="L885" s="48"/>
      <c r="M885" s="47">
        <v>50</v>
      </c>
      <c r="N885" s="47">
        <v>50</v>
      </c>
      <c r="O885" s="46">
        <v>1</v>
      </c>
      <c r="Q885" s="45" t="s">
        <v>23</v>
      </c>
    </row>
    <row r="886" spans="4:17" hidden="1" x14ac:dyDescent="0.4">
      <c r="D886" s="45" t="s">
        <v>147</v>
      </c>
      <c r="E886" s="45" t="s">
        <v>148</v>
      </c>
      <c r="F886" s="45" t="s">
        <v>149</v>
      </c>
      <c r="G886" s="45" t="s">
        <v>150</v>
      </c>
      <c r="H886" s="50" t="s">
        <v>7</v>
      </c>
      <c r="I886" s="49">
        <v>46057</v>
      </c>
      <c r="J886" s="45" t="s">
        <v>257</v>
      </c>
      <c r="K886" s="45" t="s">
        <v>444</v>
      </c>
      <c r="L886" s="48"/>
      <c r="M886" s="47">
        <v>50</v>
      </c>
      <c r="N886" s="47">
        <v>50</v>
      </c>
      <c r="O886" s="46">
        <v>1</v>
      </c>
      <c r="Q886" s="45" t="s">
        <v>23</v>
      </c>
    </row>
    <row r="887" spans="4:17" hidden="1" x14ac:dyDescent="0.4">
      <c r="D887" s="45" t="s">
        <v>152</v>
      </c>
      <c r="E887" s="45" t="s">
        <v>66</v>
      </c>
      <c r="F887" s="45" t="s">
        <v>153</v>
      </c>
      <c r="G887" s="45" t="s">
        <v>154</v>
      </c>
      <c r="H887" s="50" t="s">
        <v>7</v>
      </c>
      <c r="I887" s="49">
        <v>46057</v>
      </c>
      <c r="J887" s="45" t="s">
        <v>257</v>
      </c>
      <c r="K887" s="45" t="s">
        <v>444</v>
      </c>
      <c r="L887" s="48"/>
      <c r="M887" s="47">
        <v>50</v>
      </c>
      <c r="N887" s="47">
        <v>50</v>
      </c>
      <c r="O887" s="46">
        <v>1</v>
      </c>
      <c r="Q887" s="45" t="s">
        <v>23</v>
      </c>
    </row>
    <row r="888" spans="4:17" hidden="1" x14ac:dyDescent="0.4">
      <c r="D888" s="45" t="s">
        <v>160</v>
      </c>
      <c r="E888" s="45" t="s">
        <v>81</v>
      </c>
      <c r="F888" s="45" t="s">
        <v>161</v>
      </c>
      <c r="G888" s="45" t="s">
        <v>162</v>
      </c>
      <c r="H888" s="50" t="s">
        <v>7</v>
      </c>
      <c r="I888" s="49">
        <v>46057</v>
      </c>
      <c r="J888" s="45" t="s">
        <v>257</v>
      </c>
      <c r="K888" s="45" t="s">
        <v>444</v>
      </c>
      <c r="L888" s="48"/>
      <c r="M888" s="47">
        <v>50</v>
      </c>
      <c r="N888" s="47">
        <v>50</v>
      </c>
      <c r="O888" s="46">
        <v>1</v>
      </c>
      <c r="Q888" s="45" t="s">
        <v>23</v>
      </c>
    </row>
    <row r="889" spans="4:17" hidden="1" x14ac:dyDescent="0.4">
      <c r="D889" s="45" t="s">
        <v>163</v>
      </c>
      <c r="E889" s="45" t="s">
        <v>164</v>
      </c>
      <c r="F889" s="45" t="s">
        <v>165</v>
      </c>
      <c r="G889" s="45" t="s">
        <v>166</v>
      </c>
      <c r="H889" s="50" t="s">
        <v>7</v>
      </c>
      <c r="I889" s="49">
        <v>46057</v>
      </c>
      <c r="J889" s="45" t="s">
        <v>257</v>
      </c>
      <c r="K889" s="45" t="s">
        <v>444</v>
      </c>
      <c r="L889" s="48"/>
      <c r="M889" s="47">
        <v>50</v>
      </c>
      <c r="N889" s="47">
        <v>50</v>
      </c>
      <c r="O889" s="46">
        <v>1</v>
      </c>
      <c r="Q889" s="45" t="s">
        <v>23</v>
      </c>
    </row>
    <row r="890" spans="4:17" hidden="1" x14ac:dyDescent="0.4">
      <c r="D890" s="45" t="s">
        <v>168</v>
      </c>
      <c r="E890" s="45" t="s">
        <v>169</v>
      </c>
      <c r="F890" s="45" t="s">
        <v>170</v>
      </c>
      <c r="G890" s="45" t="s">
        <v>171</v>
      </c>
      <c r="H890" s="50" t="s">
        <v>7</v>
      </c>
      <c r="I890" s="49">
        <v>46057</v>
      </c>
      <c r="J890" s="45" t="s">
        <v>257</v>
      </c>
      <c r="K890" s="45" t="s">
        <v>444</v>
      </c>
      <c r="L890" s="48"/>
      <c r="M890" s="47">
        <v>50</v>
      </c>
      <c r="N890" s="47">
        <v>50</v>
      </c>
      <c r="O890" s="46">
        <v>1</v>
      </c>
      <c r="Q890" s="45" t="s">
        <v>23</v>
      </c>
    </row>
    <row r="891" spans="4:17" hidden="1" x14ac:dyDescent="0.4">
      <c r="D891" s="45" t="s">
        <v>173</v>
      </c>
      <c r="E891" s="45" t="s">
        <v>174</v>
      </c>
      <c r="F891" s="45" t="s">
        <v>175</v>
      </c>
      <c r="G891" s="45" t="s">
        <v>176</v>
      </c>
      <c r="H891" s="50" t="s">
        <v>7</v>
      </c>
      <c r="I891" s="49">
        <v>46057</v>
      </c>
      <c r="J891" s="45" t="s">
        <v>257</v>
      </c>
      <c r="K891" s="45" t="s">
        <v>444</v>
      </c>
      <c r="L891" s="48"/>
      <c r="M891" s="47">
        <v>50</v>
      </c>
      <c r="N891" s="47">
        <v>50</v>
      </c>
      <c r="O891" s="46">
        <v>1</v>
      </c>
      <c r="Q891" s="45" t="s">
        <v>23</v>
      </c>
    </row>
    <row r="892" spans="4:17" hidden="1" x14ac:dyDescent="0.4">
      <c r="D892" s="45" t="s">
        <v>178</v>
      </c>
      <c r="E892" s="45" t="s">
        <v>179</v>
      </c>
      <c r="F892" s="45" t="s">
        <v>180</v>
      </c>
      <c r="G892" s="45" t="s">
        <v>181</v>
      </c>
      <c r="H892" s="50" t="s">
        <v>7</v>
      </c>
      <c r="I892" s="49">
        <v>46057</v>
      </c>
      <c r="J892" s="45" t="s">
        <v>257</v>
      </c>
      <c r="K892" s="45" t="s">
        <v>444</v>
      </c>
      <c r="L892" s="48"/>
      <c r="M892" s="47">
        <v>50</v>
      </c>
      <c r="N892" s="47">
        <v>50</v>
      </c>
      <c r="O892" s="46">
        <v>1</v>
      </c>
      <c r="Q892" s="45" t="s">
        <v>23</v>
      </c>
    </row>
    <row r="893" spans="4:17" hidden="1" x14ac:dyDescent="0.4">
      <c r="D893" s="45" t="s">
        <v>187</v>
      </c>
      <c r="E893" s="45" t="s">
        <v>188</v>
      </c>
      <c r="F893" s="45" t="s">
        <v>189</v>
      </c>
      <c r="G893" s="45" t="s">
        <v>190</v>
      </c>
      <c r="H893" s="50" t="s">
        <v>7</v>
      </c>
      <c r="I893" s="49">
        <v>46057</v>
      </c>
      <c r="J893" s="45" t="s">
        <v>257</v>
      </c>
      <c r="K893" s="45" t="s">
        <v>444</v>
      </c>
      <c r="L893" s="48"/>
      <c r="M893" s="47">
        <v>50</v>
      </c>
      <c r="N893" s="47">
        <v>50</v>
      </c>
      <c r="O893" s="46">
        <v>1</v>
      </c>
      <c r="Q893" s="45" t="s">
        <v>23</v>
      </c>
    </row>
    <row r="894" spans="4:17" hidden="1" x14ac:dyDescent="0.4">
      <c r="D894" s="45" t="s">
        <v>192</v>
      </c>
      <c r="E894" s="45" t="s">
        <v>193</v>
      </c>
      <c r="F894" s="45" t="s">
        <v>194</v>
      </c>
      <c r="G894" s="45" t="s">
        <v>195</v>
      </c>
      <c r="H894" s="50" t="s">
        <v>7</v>
      </c>
      <c r="I894" s="49">
        <v>46057</v>
      </c>
      <c r="J894" s="45" t="s">
        <v>257</v>
      </c>
      <c r="K894" s="45" t="s">
        <v>444</v>
      </c>
      <c r="L894" s="48"/>
      <c r="M894" s="47">
        <v>50</v>
      </c>
      <c r="N894" s="47">
        <v>50</v>
      </c>
      <c r="O894" s="46">
        <v>1</v>
      </c>
      <c r="Q894" s="45" t="s">
        <v>23</v>
      </c>
    </row>
    <row r="895" spans="4:17" hidden="1" x14ac:dyDescent="0.4">
      <c r="D895" s="45" t="s">
        <v>197</v>
      </c>
      <c r="E895" s="45" t="s">
        <v>198</v>
      </c>
      <c r="F895" s="45" t="s">
        <v>199</v>
      </c>
      <c r="G895" s="45" t="s">
        <v>200</v>
      </c>
      <c r="H895" s="50" t="s">
        <v>7</v>
      </c>
      <c r="I895" s="49">
        <v>46057</v>
      </c>
      <c r="J895" s="45" t="s">
        <v>257</v>
      </c>
      <c r="K895" s="45" t="s">
        <v>444</v>
      </c>
      <c r="L895" s="48"/>
      <c r="M895" s="47">
        <v>50</v>
      </c>
      <c r="N895" s="47">
        <v>50</v>
      </c>
      <c r="O895" s="46">
        <v>1</v>
      </c>
      <c r="Q895" s="45" t="s">
        <v>23</v>
      </c>
    </row>
    <row r="896" spans="4:17" hidden="1" x14ac:dyDescent="0.4">
      <c r="D896" s="45" t="s">
        <v>201</v>
      </c>
      <c r="E896" s="45" t="s">
        <v>143</v>
      </c>
      <c r="F896" s="45" t="s">
        <v>202</v>
      </c>
      <c r="G896" s="45" t="s">
        <v>203</v>
      </c>
      <c r="H896" s="50" t="s">
        <v>7</v>
      </c>
      <c r="I896" s="49">
        <v>46057</v>
      </c>
      <c r="J896" s="45" t="s">
        <v>257</v>
      </c>
      <c r="K896" s="45" t="s">
        <v>444</v>
      </c>
      <c r="L896" s="48"/>
      <c r="M896" s="47">
        <v>50</v>
      </c>
      <c r="N896" s="47">
        <v>50</v>
      </c>
      <c r="O896" s="46">
        <v>1</v>
      </c>
      <c r="Q896" s="45" t="s">
        <v>23</v>
      </c>
    </row>
    <row r="897" spans="4:17" hidden="1" x14ac:dyDescent="0.4">
      <c r="D897" s="45" t="s">
        <v>205</v>
      </c>
      <c r="E897" s="45" t="s">
        <v>206</v>
      </c>
      <c r="F897" s="45" t="s">
        <v>207</v>
      </c>
      <c r="G897" s="45" t="s">
        <v>208</v>
      </c>
      <c r="H897" s="50" t="s">
        <v>7</v>
      </c>
      <c r="I897" s="49">
        <v>46057</v>
      </c>
      <c r="J897" s="45" t="s">
        <v>257</v>
      </c>
      <c r="K897" s="45" t="s">
        <v>444</v>
      </c>
      <c r="L897" s="48"/>
      <c r="M897" s="47">
        <v>50</v>
      </c>
      <c r="N897" s="47">
        <v>50</v>
      </c>
      <c r="O897" s="46">
        <v>1</v>
      </c>
      <c r="Q897" s="45" t="s">
        <v>23</v>
      </c>
    </row>
    <row r="898" spans="4:17" hidden="1" x14ac:dyDescent="0.4">
      <c r="D898" s="45" t="s">
        <v>210</v>
      </c>
      <c r="E898" s="45" t="s">
        <v>211</v>
      </c>
      <c r="F898" s="45" t="s">
        <v>212</v>
      </c>
      <c r="G898" s="45" t="s">
        <v>213</v>
      </c>
      <c r="H898" s="50" t="s">
        <v>7</v>
      </c>
      <c r="I898" s="49">
        <v>46057</v>
      </c>
      <c r="J898" s="45" t="s">
        <v>257</v>
      </c>
      <c r="K898" s="45" t="s">
        <v>444</v>
      </c>
      <c r="L898" s="48"/>
      <c r="M898" s="47">
        <v>50</v>
      </c>
      <c r="N898" s="47">
        <v>50</v>
      </c>
      <c r="O898" s="46">
        <v>1</v>
      </c>
      <c r="Q898" s="45" t="s">
        <v>23</v>
      </c>
    </row>
    <row r="899" spans="4:17" hidden="1" x14ac:dyDescent="0.4">
      <c r="D899" s="45" t="s">
        <v>215</v>
      </c>
      <c r="E899" s="45" t="s">
        <v>216</v>
      </c>
      <c r="F899" s="45" t="s">
        <v>217</v>
      </c>
      <c r="G899" s="45" t="s">
        <v>218</v>
      </c>
      <c r="H899" s="50" t="s">
        <v>7</v>
      </c>
      <c r="I899" s="49">
        <v>46057</v>
      </c>
      <c r="J899" s="45" t="s">
        <v>257</v>
      </c>
      <c r="K899" s="45" t="s">
        <v>444</v>
      </c>
      <c r="L899" s="48"/>
      <c r="M899" s="47">
        <v>50</v>
      </c>
      <c r="N899" s="47">
        <v>50</v>
      </c>
      <c r="O899" s="46">
        <v>1</v>
      </c>
      <c r="Q899" s="45" t="s">
        <v>23</v>
      </c>
    </row>
    <row r="900" spans="4:17" hidden="1" x14ac:dyDescent="0.4">
      <c r="D900" s="45" t="s">
        <v>24</v>
      </c>
      <c r="E900" s="45" t="s">
        <v>25</v>
      </c>
      <c r="F900" s="45" t="s">
        <v>26</v>
      </c>
      <c r="G900" s="45" t="s">
        <v>27</v>
      </c>
      <c r="H900" s="50" t="s">
        <v>8</v>
      </c>
      <c r="I900" s="49">
        <v>46056</v>
      </c>
      <c r="J900" s="45" t="s">
        <v>276</v>
      </c>
      <c r="K900" s="45" t="s">
        <v>444</v>
      </c>
      <c r="L900" s="48" t="s">
        <v>304</v>
      </c>
      <c r="M900" s="47">
        <v>50</v>
      </c>
      <c r="N900" s="47">
        <v>50</v>
      </c>
      <c r="O900" s="46">
        <v>1</v>
      </c>
      <c r="Q900" s="45" t="s">
        <v>23</v>
      </c>
    </row>
    <row r="901" spans="4:17" hidden="1" x14ac:dyDescent="0.4">
      <c r="D901" s="45" t="s">
        <v>31</v>
      </c>
      <c r="E901" s="45" t="s">
        <v>32</v>
      </c>
      <c r="F901" s="45" t="s">
        <v>33</v>
      </c>
      <c r="G901" s="45" t="s">
        <v>34</v>
      </c>
      <c r="H901" s="50" t="s">
        <v>8</v>
      </c>
      <c r="I901" s="49">
        <v>46056</v>
      </c>
      <c r="J901" s="45" t="s">
        <v>276</v>
      </c>
      <c r="K901" s="45" t="s">
        <v>444</v>
      </c>
      <c r="L901" s="48" t="s">
        <v>305</v>
      </c>
      <c r="M901" s="47">
        <v>40</v>
      </c>
      <c r="N901" s="47">
        <v>50</v>
      </c>
      <c r="O901" s="46">
        <v>0.8</v>
      </c>
      <c r="Q901" s="45" t="s">
        <v>23</v>
      </c>
    </row>
    <row r="902" spans="4:17" hidden="1" x14ac:dyDescent="0.4">
      <c r="D902" s="45" t="s">
        <v>36</v>
      </c>
      <c r="E902" s="45" t="s">
        <v>37</v>
      </c>
      <c r="F902" s="45" t="s">
        <v>38</v>
      </c>
      <c r="G902" s="45" t="s">
        <v>39</v>
      </c>
      <c r="H902" s="50" t="s">
        <v>8</v>
      </c>
      <c r="I902" s="49">
        <v>46056</v>
      </c>
      <c r="J902" s="45" t="s">
        <v>276</v>
      </c>
      <c r="K902" s="45" t="s">
        <v>444</v>
      </c>
      <c r="L902" s="48"/>
      <c r="M902" s="47">
        <v>0</v>
      </c>
      <c r="N902" s="47">
        <v>50</v>
      </c>
      <c r="O902" s="46">
        <v>0</v>
      </c>
      <c r="Q902" s="45" t="s">
        <v>23</v>
      </c>
    </row>
    <row r="903" spans="4:17" hidden="1" x14ac:dyDescent="0.4">
      <c r="D903" s="45" t="s">
        <v>41</v>
      </c>
      <c r="E903" s="45" t="s">
        <v>42</v>
      </c>
      <c r="F903" s="45" t="s">
        <v>43</v>
      </c>
      <c r="G903" s="45" t="s">
        <v>44</v>
      </c>
      <c r="H903" s="50" t="s">
        <v>8</v>
      </c>
      <c r="I903" s="49">
        <v>46056</v>
      </c>
      <c r="J903" s="45" t="s">
        <v>276</v>
      </c>
      <c r="K903" s="45" t="s">
        <v>444</v>
      </c>
      <c r="L903" s="48" t="s">
        <v>306</v>
      </c>
      <c r="M903" s="47">
        <v>50</v>
      </c>
      <c r="N903" s="47">
        <v>50</v>
      </c>
      <c r="O903" s="46">
        <v>1</v>
      </c>
      <c r="Q903" s="45" t="s">
        <v>23</v>
      </c>
    </row>
    <row r="904" spans="4:17" hidden="1" x14ac:dyDescent="0.4">
      <c r="D904" s="45" t="s">
        <v>46</v>
      </c>
      <c r="E904" s="45" t="s">
        <v>47</v>
      </c>
      <c r="F904" s="45" t="s">
        <v>48</v>
      </c>
      <c r="G904" s="45" t="s">
        <v>49</v>
      </c>
      <c r="H904" s="50" t="s">
        <v>8</v>
      </c>
      <c r="I904" s="49">
        <v>46056</v>
      </c>
      <c r="J904" s="45" t="s">
        <v>276</v>
      </c>
      <c r="K904" s="45" t="s">
        <v>444</v>
      </c>
      <c r="L904" s="48" t="s">
        <v>307</v>
      </c>
      <c r="M904" s="47">
        <v>40</v>
      </c>
      <c r="N904" s="47">
        <v>50</v>
      </c>
      <c r="O904" s="46">
        <v>0.8</v>
      </c>
      <c r="Q904" s="45" t="s">
        <v>23</v>
      </c>
    </row>
    <row r="905" spans="4:17" hidden="1" x14ac:dyDescent="0.4">
      <c r="D905" s="45" t="s">
        <v>51</v>
      </c>
      <c r="E905" s="45" t="s">
        <v>52</v>
      </c>
      <c r="F905" s="45" t="s">
        <v>53</v>
      </c>
      <c r="G905" s="45" t="s">
        <v>54</v>
      </c>
      <c r="H905" s="50" t="s">
        <v>8</v>
      </c>
      <c r="I905" s="49">
        <v>46056</v>
      </c>
      <c r="J905" s="45" t="s">
        <v>276</v>
      </c>
      <c r="K905" s="45" t="s">
        <v>444</v>
      </c>
      <c r="L905" s="48" t="s">
        <v>308</v>
      </c>
      <c r="M905" s="47">
        <v>40</v>
      </c>
      <c r="N905" s="47">
        <v>50</v>
      </c>
      <c r="O905" s="46">
        <v>0.8</v>
      </c>
      <c r="Q905" s="45" t="s">
        <v>23</v>
      </c>
    </row>
    <row r="906" spans="4:17" hidden="1" x14ac:dyDescent="0.4">
      <c r="D906" s="45" t="s">
        <v>56</v>
      </c>
      <c r="E906" s="45" t="s">
        <v>52</v>
      </c>
      <c r="F906" s="45" t="s">
        <v>57</v>
      </c>
      <c r="G906" s="45" t="s">
        <v>58</v>
      </c>
      <c r="H906" s="50" t="s">
        <v>8</v>
      </c>
      <c r="I906" s="49">
        <v>46056</v>
      </c>
      <c r="J906" s="45" t="s">
        <v>276</v>
      </c>
      <c r="K906" s="45" t="s">
        <v>444</v>
      </c>
      <c r="L906" s="48" t="s">
        <v>309</v>
      </c>
      <c r="M906" s="47">
        <v>50</v>
      </c>
      <c r="N906" s="47">
        <v>50</v>
      </c>
      <c r="O906" s="46">
        <v>1</v>
      </c>
      <c r="Q906" s="45" t="s">
        <v>23</v>
      </c>
    </row>
    <row r="907" spans="4:17" hidden="1" x14ac:dyDescent="0.4">
      <c r="D907" s="45" t="s">
        <v>60</v>
      </c>
      <c r="E907" s="45" t="s">
        <v>61</v>
      </c>
      <c r="F907" s="45" t="s">
        <v>62</v>
      </c>
      <c r="G907" s="45" t="s">
        <v>63</v>
      </c>
      <c r="H907" s="50" t="s">
        <v>8</v>
      </c>
      <c r="I907" s="49">
        <v>46056</v>
      </c>
      <c r="J907" s="45" t="s">
        <v>276</v>
      </c>
      <c r="K907" s="45" t="s">
        <v>444</v>
      </c>
      <c r="L907" s="48"/>
      <c r="M907" s="47">
        <v>0</v>
      </c>
      <c r="N907" s="47">
        <v>50</v>
      </c>
      <c r="O907" s="46">
        <v>0</v>
      </c>
      <c r="Q907" s="45" t="s">
        <v>23</v>
      </c>
    </row>
    <row r="908" spans="4:17" hidden="1" x14ac:dyDescent="0.4">
      <c r="D908" s="45" t="s">
        <v>65</v>
      </c>
      <c r="E908" s="45" t="s">
        <v>66</v>
      </c>
      <c r="F908" s="45" t="s">
        <v>67</v>
      </c>
      <c r="G908" s="45" t="s">
        <v>68</v>
      </c>
      <c r="H908" s="50" t="s">
        <v>8</v>
      </c>
      <c r="I908" s="49">
        <v>46056</v>
      </c>
      <c r="J908" s="45" t="s">
        <v>276</v>
      </c>
      <c r="K908" s="45" t="s">
        <v>444</v>
      </c>
      <c r="L908" s="48" t="s">
        <v>310</v>
      </c>
      <c r="M908" s="47">
        <v>43</v>
      </c>
      <c r="N908" s="47">
        <v>50</v>
      </c>
      <c r="O908" s="46">
        <v>0.86</v>
      </c>
      <c r="Q908" s="45" t="s">
        <v>23</v>
      </c>
    </row>
    <row r="909" spans="4:17" hidden="1" x14ac:dyDescent="0.4">
      <c r="D909" s="45" t="s">
        <v>70</v>
      </c>
      <c r="E909" s="45" t="s">
        <v>71</v>
      </c>
      <c r="F909" s="45" t="s">
        <v>72</v>
      </c>
      <c r="G909" s="45" t="s">
        <v>73</v>
      </c>
      <c r="H909" s="50" t="s">
        <v>8</v>
      </c>
      <c r="I909" s="49">
        <v>46056</v>
      </c>
      <c r="J909" s="45" t="s">
        <v>276</v>
      </c>
      <c r="K909" s="45" t="s">
        <v>444</v>
      </c>
      <c r="L909" s="48" t="s">
        <v>311</v>
      </c>
      <c r="M909" s="47">
        <v>50</v>
      </c>
      <c r="N909" s="47">
        <v>50</v>
      </c>
      <c r="O909" s="46">
        <v>1</v>
      </c>
      <c r="Q909" s="45" t="s">
        <v>23</v>
      </c>
    </row>
    <row r="910" spans="4:17" hidden="1" x14ac:dyDescent="0.4">
      <c r="D910" s="45" t="s">
        <v>75</v>
      </c>
      <c r="E910" s="45" t="s">
        <v>76</v>
      </c>
      <c r="F910" s="45" t="s">
        <v>77</v>
      </c>
      <c r="G910" s="45" t="s">
        <v>78</v>
      </c>
      <c r="H910" s="50" t="s">
        <v>8</v>
      </c>
      <c r="I910" s="49">
        <v>46056</v>
      </c>
      <c r="J910" s="45" t="s">
        <v>276</v>
      </c>
      <c r="K910" s="45" t="s">
        <v>444</v>
      </c>
      <c r="L910" s="48" t="s">
        <v>312</v>
      </c>
      <c r="M910" s="47">
        <v>0</v>
      </c>
      <c r="N910" s="47">
        <v>50</v>
      </c>
      <c r="O910" s="46">
        <v>0</v>
      </c>
      <c r="Q910" s="45" t="s">
        <v>23</v>
      </c>
    </row>
    <row r="911" spans="4:17" hidden="1" x14ac:dyDescent="0.4">
      <c r="D911" s="45" t="s">
        <v>80</v>
      </c>
      <c r="E911" s="45" t="s">
        <v>81</v>
      </c>
      <c r="F911" s="45" t="s">
        <v>82</v>
      </c>
      <c r="G911" s="45" t="s">
        <v>83</v>
      </c>
      <c r="H911" s="50" t="s">
        <v>8</v>
      </c>
      <c r="I911" s="49">
        <v>46056</v>
      </c>
      <c r="J911" s="45" t="s">
        <v>276</v>
      </c>
      <c r="K911" s="45" t="s">
        <v>444</v>
      </c>
      <c r="L911" s="48" t="s">
        <v>313</v>
      </c>
      <c r="M911" s="47">
        <v>46</v>
      </c>
      <c r="N911" s="47">
        <v>50</v>
      </c>
      <c r="O911" s="46">
        <v>0.92</v>
      </c>
      <c r="Q911" s="45" t="s">
        <v>23</v>
      </c>
    </row>
    <row r="912" spans="4:17" hidden="1" x14ac:dyDescent="0.4">
      <c r="D912" s="45" t="s">
        <v>85</v>
      </c>
      <c r="E912" s="45" t="s">
        <v>86</v>
      </c>
      <c r="F912" s="45" t="s">
        <v>87</v>
      </c>
      <c r="G912" s="45" t="s">
        <v>88</v>
      </c>
      <c r="H912" s="50" t="s">
        <v>8</v>
      </c>
      <c r="I912" s="49">
        <v>46056</v>
      </c>
      <c r="J912" s="45" t="s">
        <v>276</v>
      </c>
      <c r="K912" s="45" t="s">
        <v>444</v>
      </c>
      <c r="L912" s="48" t="s">
        <v>314</v>
      </c>
      <c r="M912" s="47">
        <v>50</v>
      </c>
      <c r="N912" s="47">
        <v>50</v>
      </c>
      <c r="O912" s="46">
        <v>1</v>
      </c>
      <c r="Q912" s="45" t="s">
        <v>23</v>
      </c>
    </row>
    <row r="913" spans="4:17" hidden="1" x14ac:dyDescent="0.4">
      <c r="D913" s="45" t="s">
        <v>89</v>
      </c>
      <c r="E913" s="45" t="s">
        <v>90</v>
      </c>
      <c r="F913" s="45" t="s">
        <v>91</v>
      </c>
      <c r="G913" s="45" t="s">
        <v>92</v>
      </c>
      <c r="H913" s="50" t="s">
        <v>8</v>
      </c>
      <c r="I913" s="49">
        <v>46056</v>
      </c>
      <c r="J913" s="45" t="s">
        <v>276</v>
      </c>
      <c r="K913" s="45" t="s">
        <v>444</v>
      </c>
      <c r="L913" s="48"/>
      <c r="M913" s="47">
        <v>0</v>
      </c>
      <c r="N913" s="47">
        <v>50</v>
      </c>
      <c r="O913" s="46">
        <v>0</v>
      </c>
      <c r="Q913" s="45" t="s">
        <v>23</v>
      </c>
    </row>
    <row r="914" spans="4:17" hidden="1" x14ac:dyDescent="0.4">
      <c r="D914" s="45" t="s">
        <v>94</v>
      </c>
      <c r="E914" s="45" t="s">
        <v>95</v>
      </c>
      <c r="F914" s="45" t="s">
        <v>96</v>
      </c>
      <c r="G914" s="45" t="s">
        <v>97</v>
      </c>
      <c r="H914" s="50" t="s">
        <v>8</v>
      </c>
      <c r="I914" s="49">
        <v>46056</v>
      </c>
      <c r="J914" s="45" t="s">
        <v>276</v>
      </c>
      <c r="K914" s="45" t="s">
        <v>444</v>
      </c>
      <c r="L914" s="48"/>
      <c r="M914" s="47">
        <v>0</v>
      </c>
      <c r="N914" s="47">
        <v>50</v>
      </c>
      <c r="O914" s="46">
        <v>0</v>
      </c>
      <c r="Q914" s="45" t="s">
        <v>23</v>
      </c>
    </row>
    <row r="915" spans="4:17" hidden="1" x14ac:dyDescent="0.4">
      <c r="D915" s="45" t="s">
        <v>99</v>
      </c>
      <c r="E915" s="45" t="s">
        <v>100</v>
      </c>
      <c r="F915" s="45" t="s">
        <v>101</v>
      </c>
      <c r="G915" s="45" t="s">
        <v>102</v>
      </c>
      <c r="H915" s="50" t="s">
        <v>8</v>
      </c>
      <c r="I915" s="49">
        <v>46056</v>
      </c>
      <c r="J915" s="45" t="s">
        <v>276</v>
      </c>
      <c r="K915" s="45" t="s">
        <v>444</v>
      </c>
      <c r="L915" s="48" t="s">
        <v>315</v>
      </c>
      <c r="M915" s="47">
        <v>47</v>
      </c>
      <c r="N915" s="47">
        <v>50</v>
      </c>
      <c r="O915" s="46">
        <v>0.94</v>
      </c>
      <c r="Q915" s="45" t="s">
        <v>23</v>
      </c>
    </row>
    <row r="916" spans="4:17" hidden="1" x14ac:dyDescent="0.4">
      <c r="D916" s="45" t="s">
        <v>104</v>
      </c>
      <c r="E916" s="45" t="s">
        <v>86</v>
      </c>
      <c r="F916" s="45" t="s">
        <v>105</v>
      </c>
      <c r="G916" s="45" t="s">
        <v>106</v>
      </c>
      <c r="H916" s="50" t="s">
        <v>8</v>
      </c>
      <c r="I916" s="49">
        <v>46056</v>
      </c>
      <c r="J916" s="45" t="s">
        <v>276</v>
      </c>
      <c r="K916" s="45" t="s">
        <v>444</v>
      </c>
      <c r="L916" s="48"/>
      <c r="M916" s="47">
        <v>0</v>
      </c>
      <c r="N916" s="47">
        <v>50</v>
      </c>
      <c r="O916" s="46">
        <v>0</v>
      </c>
      <c r="Q916" s="45" t="s">
        <v>23</v>
      </c>
    </row>
    <row r="917" spans="4:17" hidden="1" x14ac:dyDescent="0.4">
      <c r="D917" s="45" t="s">
        <v>107</v>
      </c>
      <c r="E917" s="45" t="s">
        <v>108</v>
      </c>
      <c r="F917" s="45" t="s">
        <v>109</v>
      </c>
      <c r="G917" s="45" t="s">
        <v>110</v>
      </c>
      <c r="H917" s="50" t="s">
        <v>8</v>
      </c>
      <c r="I917" s="49">
        <v>46056</v>
      </c>
      <c r="J917" s="45" t="s">
        <v>276</v>
      </c>
      <c r="K917" s="45" t="s">
        <v>444</v>
      </c>
      <c r="L917" s="48" t="s">
        <v>316</v>
      </c>
      <c r="M917" s="47">
        <v>44</v>
      </c>
      <c r="N917" s="47">
        <v>50</v>
      </c>
      <c r="O917" s="46">
        <v>0.88</v>
      </c>
      <c r="Q917" s="45" t="s">
        <v>23</v>
      </c>
    </row>
    <row r="918" spans="4:17" hidden="1" x14ac:dyDescent="0.4">
      <c r="D918" s="45" t="s">
        <v>112</v>
      </c>
      <c r="E918" s="45" t="s">
        <v>113</v>
      </c>
      <c r="F918" s="45" t="s">
        <v>114</v>
      </c>
      <c r="G918" s="45" t="s">
        <v>115</v>
      </c>
      <c r="H918" s="50" t="s">
        <v>8</v>
      </c>
      <c r="I918" s="49">
        <v>46056</v>
      </c>
      <c r="J918" s="45" t="s">
        <v>276</v>
      </c>
      <c r="K918" s="45" t="s">
        <v>444</v>
      </c>
      <c r="L918" s="48"/>
      <c r="M918" s="47">
        <v>0</v>
      </c>
      <c r="N918" s="47">
        <v>50</v>
      </c>
      <c r="O918" s="46">
        <v>0</v>
      </c>
      <c r="Q918" s="45" t="s">
        <v>23</v>
      </c>
    </row>
    <row r="919" spans="4:17" hidden="1" x14ac:dyDescent="0.4">
      <c r="D919" s="45" t="s">
        <v>117</v>
      </c>
      <c r="E919" s="45" t="s">
        <v>118</v>
      </c>
      <c r="F919" s="45" t="s">
        <v>119</v>
      </c>
      <c r="G919" s="45" t="s">
        <v>120</v>
      </c>
      <c r="H919" s="50" t="s">
        <v>8</v>
      </c>
      <c r="I919" s="49">
        <v>46056</v>
      </c>
      <c r="J919" s="45" t="s">
        <v>276</v>
      </c>
      <c r="K919" s="45" t="s">
        <v>444</v>
      </c>
      <c r="L919" s="48" t="s">
        <v>317</v>
      </c>
      <c r="M919" s="47">
        <v>50</v>
      </c>
      <c r="N919" s="47">
        <v>50</v>
      </c>
      <c r="O919" s="46">
        <v>1</v>
      </c>
      <c r="Q919" s="45" t="s">
        <v>23</v>
      </c>
    </row>
    <row r="920" spans="4:17" hidden="1" x14ac:dyDescent="0.4">
      <c r="D920" s="45" t="s">
        <v>122</v>
      </c>
      <c r="E920" s="45" t="s">
        <v>123</v>
      </c>
      <c r="F920" s="45" t="s">
        <v>124</v>
      </c>
      <c r="G920" s="45" t="s">
        <v>125</v>
      </c>
      <c r="H920" s="50" t="s">
        <v>8</v>
      </c>
      <c r="I920" s="49">
        <v>46056</v>
      </c>
      <c r="J920" s="45" t="s">
        <v>276</v>
      </c>
      <c r="K920" s="45" t="s">
        <v>444</v>
      </c>
      <c r="L920" s="48" t="s">
        <v>318</v>
      </c>
      <c r="M920" s="47">
        <v>50</v>
      </c>
      <c r="N920" s="47">
        <v>50</v>
      </c>
      <c r="O920" s="46">
        <v>1</v>
      </c>
      <c r="Q920" s="45" t="s">
        <v>23</v>
      </c>
    </row>
    <row r="921" spans="4:17" hidden="1" x14ac:dyDescent="0.4">
      <c r="D921" s="45" t="s">
        <v>127</v>
      </c>
      <c r="E921" s="45" t="s">
        <v>128</v>
      </c>
      <c r="F921" s="45" t="s">
        <v>129</v>
      </c>
      <c r="G921" s="45" t="s">
        <v>130</v>
      </c>
      <c r="H921" s="50" t="s">
        <v>8</v>
      </c>
      <c r="I921" s="49">
        <v>46056</v>
      </c>
      <c r="J921" s="45" t="s">
        <v>276</v>
      </c>
      <c r="K921" s="45" t="s">
        <v>444</v>
      </c>
      <c r="L921" s="48" t="s">
        <v>319</v>
      </c>
      <c r="M921" s="47">
        <v>38</v>
      </c>
      <c r="N921" s="47">
        <v>50</v>
      </c>
      <c r="O921" s="46">
        <v>0.76</v>
      </c>
      <c r="Q921" s="45" t="s">
        <v>23</v>
      </c>
    </row>
    <row r="922" spans="4:17" hidden="1" x14ac:dyDescent="0.4">
      <c r="D922" s="45" t="s">
        <v>132</v>
      </c>
      <c r="E922" s="45" t="s">
        <v>133</v>
      </c>
      <c r="F922" s="45" t="s">
        <v>134</v>
      </c>
      <c r="G922" s="45" t="s">
        <v>135</v>
      </c>
      <c r="H922" s="50" t="s">
        <v>8</v>
      </c>
      <c r="I922" s="49">
        <v>46056</v>
      </c>
      <c r="J922" s="45" t="s">
        <v>276</v>
      </c>
      <c r="K922" s="45" t="s">
        <v>444</v>
      </c>
      <c r="L922" s="48" t="s">
        <v>320</v>
      </c>
      <c r="M922" s="47">
        <v>50</v>
      </c>
      <c r="N922" s="47">
        <v>50</v>
      </c>
      <c r="O922" s="46">
        <v>1</v>
      </c>
      <c r="Q922" s="45" t="s">
        <v>23</v>
      </c>
    </row>
    <row r="923" spans="4:17" hidden="1" x14ac:dyDescent="0.4">
      <c r="D923" s="45" t="s">
        <v>137</v>
      </c>
      <c r="E923" s="45" t="s">
        <v>138</v>
      </c>
      <c r="F923" s="45" t="s">
        <v>139</v>
      </c>
      <c r="G923" s="45" t="s">
        <v>140</v>
      </c>
      <c r="H923" s="50" t="s">
        <v>8</v>
      </c>
      <c r="I923" s="49">
        <v>46056</v>
      </c>
      <c r="J923" s="45" t="s">
        <v>276</v>
      </c>
      <c r="K923" s="45" t="s">
        <v>444</v>
      </c>
      <c r="L923" s="48" t="s">
        <v>321</v>
      </c>
      <c r="M923" s="47">
        <v>50</v>
      </c>
      <c r="N923" s="47">
        <v>50</v>
      </c>
      <c r="O923" s="46">
        <v>1</v>
      </c>
      <c r="Q923" s="45" t="s">
        <v>23</v>
      </c>
    </row>
    <row r="924" spans="4:17" hidden="1" x14ac:dyDescent="0.4">
      <c r="D924" s="45" t="s">
        <v>142</v>
      </c>
      <c r="E924" s="45" t="s">
        <v>143</v>
      </c>
      <c r="F924" s="45" t="s">
        <v>144</v>
      </c>
      <c r="G924" s="45" t="s">
        <v>145</v>
      </c>
      <c r="H924" s="50" t="s">
        <v>8</v>
      </c>
      <c r="I924" s="49">
        <v>46056</v>
      </c>
      <c r="J924" s="45" t="s">
        <v>276</v>
      </c>
      <c r="K924" s="45" t="s">
        <v>444</v>
      </c>
      <c r="L924" s="48" t="s">
        <v>322</v>
      </c>
      <c r="M924" s="47">
        <v>44</v>
      </c>
      <c r="N924" s="47">
        <v>50</v>
      </c>
      <c r="O924" s="46">
        <v>0.88</v>
      </c>
      <c r="Q924" s="45" t="s">
        <v>23</v>
      </c>
    </row>
    <row r="925" spans="4:17" hidden="1" x14ac:dyDescent="0.4">
      <c r="D925" s="45" t="s">
        <v>147</v>
      </c>
      <c r="E925" s="45" t="s">
        <v>148</v>
      </c>
      <c r="F925" s="45" t="s">
        <v>149</v>
      </c>
      <c r="G925" s="45" t="s">
        <v>150</v>
      </c>
      <c r="H925" s="50" t="s">
        <v>8</v>
      </c>
      <c r="I925" s="49">
        <v>46056</v>
      </c>
      <c r="J925" s="45" t="s">
        <v>276</v>
      </c>
      <c r="K925" s="45" t="s">
        <v>444</v>
      </c>
      <c r="L925" s="48" t="s">
        <v>323</v>
      </c>
      <c r="M925" s="47">
        <v>42</v>
      </c>
      <c r="N925" s="47">
        <v>50</v>
      </c>
      <c r="O925" s="46">
        <v>0.84</v>
      </c>
      <c r="Q925" s="45" t="s">
        <v>23</v>
      </c>
    </row>
    <row r="926" spans="4:17" hidden="1" x14ac:dyDescent="0.4">
      <c r="D926" s="45" t="s">
        <v>152</v>
      </c>
      <c r="E926" s="45" t="s">
        <v>66</v>
      </c>
      <c r="F926" s="45" t="s">
        <v>153</v>
      </c>
      <c r="G926" s="45" t="s">
        <v>154</v>
      </c>
      <c r="H926" s="50" t="s">
        <v>8</v>
      </c>
      <c r="I926" s="49">
        <v>46056</v>
      </c>
      <c r="J926" s="45" t="s">
        <v>276</v>
      </c>
      <c r="K926" s="45" t="s">
        <v>444</v>
      </c>
      <c r="L926" s="48"/>
      <c r="M926" s="47">
        <v>0</v>
      </c>
      <c r="N926" s="47">
        <v>50</v>
      </c>
      <c r="O926" s="46">
        <v>0</v>
      </c>
      <c r="Q926" s="45" t="s">
        <v>23</v>
      </c>
    </row>
    <row r="927" spans="4:17" hidden="1" x14ac:dyDescent="0.4">
      <c r="D927" s="45" t="s">
        <v>160</v>
      </c>
      <c r="E927" s="45" t="s">
        <v>81</v>
      </c>
      <c r="F927" s="45" t="s">
        <v>161</v>
      </c>
      <c r="G927" s="45" t="s">
        <v>162</v>
      </c>
      <c r="H927" s="50" t="s">
        <v>8</v>
      </c>
      <c r="I927" s="49">
        <v>46056</v>
      </c>
      <c r="J927" s="45" t="s">
        <v>276</v>
      </c>
      <c r="K927" s="45" t="s">
        <v>444</v>
      </c>
      <c r="L927" s="48" t="s">
        <v>324</v>
      </c>
      <c r="M927" s="47">
        <v>50</v>
      </c>
      <c r="N927" s="47">
        <v>50</v>
      </c>
      <c r="O927" s="46">
        <v>1</v>
      </c>
      <c r="Q927" s="45" t="s">
        <v>23</v>
      </c>
    </row>
    <row r="928" spans="4:17" hidden="1" x14ac:dyDescent="0.4">
      <c r="D928" s="45" t="s">
        <v>163</v>
      </c>
      <c r="E928" s="45" t="s">
        <v>164</v>
      </c>
      <c r="F928" s="45" t="s">
        <v>165</v>
      </c>
      <c r="G928" s="45" t="s">
        <v>166</v>
      </c>
      <c r="H928" s="50" t="s">
        <v>8</v>
      </c>
      <c r="I928" s="49">
        <v>46056</v>
      </c>
      <c r="J928" s="45" t="s">
        <v>276</v>
      </c>
      <c r="K928" s="45" t="s">
        <v>444</v>
      </c>
      <c r="L928" s="48"/>
      <c r="M928" s="47">
        <v>0</v>
      </c>
      <c r="N928" s="47">
        <v>50</v>
      </c>
      <c r="O928" s="46">
        <v>0</v>
      </c>
      <c r="Q928" s="45" t="s">
        <v>23</v>
      </c>
    </row>
    <row r="929" spans="4:17" hidden="1" x14ac:dyDescent="0.4">
      <c r="D929" s="45" t="s">
        <v>168</v>
      </c>
      <c r="E929" s="45" t="s">
        <v>169</v>
      </c>
      <c r="F929" s="45" t="s">
        <v>170</v>
      </c>
      <c r="G929" s="45" t="s">
        <v>171</v>
      </c>
      <c r="H929" s="50" t="s">
        <v>8</v>
      </c>
      <c r="I929" s="49">
        <v>46056</v>
      </c>
      <c r="J929" s="45" t="s">
        <v>276</v>
      </c>
      <c r="K929" s="45" t="s">
        <v>444</v>
      </c>
      <c r="L929" s="48" t="s">
        <v>325</v>
      </c>
      <c r="M929" s="47">
        <v>50</v>
      </c>
      <c r="N929" s="47">
        <v>50</v>
      </c>
      <c r="O929" s="46">
        <v>1</v>
      </c>
      <c r="Q929" s="45" t="s">
        <v>23</v>
      </c>
    </row>
    <row r="930" spans="4:17" hidden="1" x14ac:dyDescent="0.4">
      <c r="D930" s="45" t="s">
        <v>173</v>
      </c>
      <c r="E930" s="45" t="s">
        <v>174</v>
      </c>
      <c r="F930" s="45" t="s">
        <v>175</v>
      </c>
      <c r="G930" s="45" t="s">
        <v>176</v>
      </c>
      <c r="H930" s="50" t="s">
        <v>8</v>
      </c>
      <c r="I930" s="49">
        <v>46056</v>
      </c>
      <c r="J930" s="45" t="s">
        <v>276</v>
      </c>
      <c r="K930" s="45" t="s">
        <v>444</v>
      </c>
      <c r="L930" s="48" t="s">
        <v>326</v>
      </c>
      <c r="M930" s="47">
        <v>50</v>
      </c>
      <c r="N930" s="47">
        <v>50</v>
      </c>
      <c r="O930" s="46">
        <v>1</v>
      </c>
      <c r="Q930" s="45" t="s">
        <v>23</v>
      </c>
    </row>
    <row r="931" spans="4:17" hidden="1" x14ac:dyDescent="0.4">
      <c r="D931" s="45" t="s">
        <v>178</v>
      </c>
      <c r="E931" s="45" t="s">
        <v>179</v>
      </c>
      <c r="F931" s="45" t="s">
        <v>180</v>
      </c>
      <c r="G931" s="45" t="s">
        <v>181</v>
      </c>
      <c r="H931" s="50" t="s">
        <v>8</v>
      </c>
      <c r="I931" s="49">
        <v>46056</v>
      </c>
      <c r="J931" s="45" t="s">
        <v>276</v>
      </c>
      <c r="K931" s="45" t="s">
        <v>444</v>
      </c>
      <c r="L931" s="48" t="s">
        <v>327</v>
      </c>
      <c r="M931" s="47">
        <v>45</v>
      </c>
      <c r="N931" s="47">
        <v>50</v>
      </c>
      <c r="O931" s="46">
        <v>0.9</v>
      </c>
      <c r="Q931" s="45" t="s">
        <v>23</v>
      </c>
    </row>
    <row r="932" spans="4:17" hidden="1" x14ac:dyDescent="0.4">
      <c r="D932" s="45" t="s">
        <v>187</v>
      </c>
      <c r="E932" s="45" t="s">
        <v>188</v>
      </c>
      <c r="F932" s="45" t="s">
        <v>189</v>
      </c>
      <c r="G932" s="45" t="s">
        <v>190</v>
      </c>
      <c r="H932" s="50" t="s">
        <v>8</v>
      </c>
      <c r="I932" s="49">
        <v>46056</v>
      </c>
      <c r="J932" s="45" t="s">
        <v>276</v>
      </c>
      <c r="K932" s="45" t="s">
        <v>444</v>
      </c>
      <c r="L932" s="48" t="s">
        <v>328</v>
      </c>
      <c r="M932" s="47">
        <v>47</v>
      </c>
      <c r="N932" s="47">
        <v>50</v>
      </c>
      <c r="O932" s="46">
        <v>0.94</v>
      </c>
      <c r="Q932" s="45" t="s">
        <v>23</v>
      </c>
    </row>
    <row r="933" spans="4:17" hidden="1" x14ac:dyDescent="0.4">
      <c r="D933" s="45" t="s">
        <v>192</v>
      </c>
      <c r="E933" s="45" t="s">
        <v>193</v>
      </c>
      <c r="F933" s="45" t="s">
        <v>194</v>
      </c>
      <c r="G933" s="45" t="s">
        <v>195</v>
      </c>
      <c r="H933" s="50" t="s">
        <v>8</v>
      </c>
      <c r="I933" s="49">
        <v>46056</v>
      </c>
      <c r="J933" s="45" t="s">
        <v>276</v>
      </c>
      <c r="K933" s="45" t="s">
        <v>444</v>
      </c>
      <c r="L933" s="48" t="s">
        <v>329</v>
      </c>
      <c r="M933" s="47">
        <v>45</v>
      </c>
      <c r="N933" s="47">
        <v>50</v>
      </c>
      <c r="O933" s="46">
        <v>0.9</v>
      </c>
      <c r="Q933" s="45" t="s">
        <v>23</v>
      </c>
    </row>
    <row r="934" spans="4:17" hidden="1" x14ac:dyDescent="0.4">
      <c r="D934" s="45" t="s">
        <v>197</v>
      </c>
      <c r="E934" s="45" t="s">
        <v>198</v>
      </c>
      <c r="F934" s="45" t="s">
        <v>199</v>
      </c>
      <c r="G934" s="45" t="s">
        <v>200</v>
      </c>
      <c r="H934" s="50" t="s">
        <v>8</v>
      </c>
      <c r="I934" s="49">
        <v>46056</v>
      </c>
      <c r="J934" s="45" t="s">
        <v>276</v>
      </c>
      <c r="K934" s="45" t="s">
        <v>444</v>
      </c>
      <c r="L934" s="48" t="s">
        <v>330</v>
      </c>
      <c r="M934" s="47">
        <v>38</v>
      </c>
      <c r="N934" s="47">
        <v>50</v>
      </c>
      <c r="O934" s="46">
        <v>0.76</v>
      </c>
      <c r="Q934" s="45" t="s">
        <v>23</v>
      </c>
    </row>
    <row r="935" spans="4:17" hidden="1" x14ac:dyDescent="0.4">
      <c r="D935" s="45" t="s">
        <v>201</v>
      </c>
      <c r="E935" s="45" t="s">
        <v>143</v>
      </c>
      <c r="F935" s="45" t="s">
        <v>202</v>
      </c>
      <c r="G935" s="45" t="s">
        <v>203</v>
      </c>
      <c r="H935" s="50" t="s">
        <v>8</v>
      </c>
      <c r="I935" s="49">
        <v>46056</v>
      </c>
      <c r="J935" s="45" t="s">
        <v>276</v>
      </c>
      <c r="K935" s="45" t="s">
        <v>444</v>
      </c>
      <c r="L935" s="48" t="s">
        <v>331</v>
      </c>
      <c r="M935" s="47">
        <v>48</v>
      </c>
      <c r="N935" s="47">
        <v>50</v>
      </c>
      <c r="O935" s="46">
        <v>0.96</v>
      </c>
      <c r="Q935" s="45" t="s">
        <v>23</v>
      </c>
    </row>
    <row r="936" spans="4:17" hidden="1" x14ac:dyDescent="0.4">
      <c r="D936" s="45" t="s">
        <v>205</v>
      </c>
      <c r="E936" s="45" t="s">
        <v>206</v>
      </c>
      <c r="F936" s="45" t="s">
        <v>207</v>
      </c>
      <c r="G936" s="45" t="s">
        <v>208</v>
      </c>
      <c r="H936" s="50" t="s">
        <v>8</v>
      </c>
      <c r="I936" s="49">
        <v>46056</v>
      </c>
      <c r="J936" s="45" t="s">
        <v>276</v>
      </c>
      <c r="K936" s="45" t="s">
        <v>444</v>
      </c>
      <c r="L936" s="48" t="s">
        <v>332</v>
      </c>
      <c r="M936" s="47">
        <v>41</v>
      </c>
      <c r="N936" s="47">
        <v>50</v>
      </c>
      <c r="O936" s="46">
        <v>0.82</v>
      </c>
      <c r="Q936" s="45" t="s">
        <v>23</v>
      </c>
    </row>
    <row r="937" spans="4:17" hidden="1" x14ac:dyDescent="0.4">
      <c r="D937" s="45" t="s">
        <v>210</v>
      </c>
      <c r="E937" s="45" t="s">
        <v>211</v>
      </c>
      <c r="F937" s="45" t="s">
        <v>212</v>
      </c>
      <c r="G937" s="45" t="s">
        <v>213</v>
      </c>
      <c r="H937" s="50" t="s">
        <v>8</v>
      </c>
      <c r="I937" s="49">
        <v>46056</v>
      </c>
      <c r="J937" s="45" t="s">
        <v>276</v>
      </c>
      <c r="K937" s="45" t="s">
        <v>444</v>
      </c>
      <c r="L937" s="48" t="s">
        <v>333</v>
      </c>
      <c r="M937" s="47">
        <v>44</v>
      </c>
      <c r="N937" s="47">
        <v>50</v>
      </c>
      <c r="O937" s="46">
        <v>0.88</v>
      </c>
      <c r="Q937" s="45" t="s">
        <v>23</v>
      </c>
    </row>
    <row r="938" spans="4:17" hidden="1" x14ac:dyDescent="0.4">
      <c r="D938" s="45" t="s">
        <v>215</v>
      </c>
      <c r="E938" s="45" t="s">
        <v>216</v>
      </c>
      <c r="F938" s="45" t="s">
        <v>217</v>
      </c>
      <c r="G938" s="45" t="s">
        <v>218</v>
      </c>
      <c r="H938" s="50" t="s">
        <v>8</v>
      </c>
      <c r="I938" s="49">
        <v>46056</v>
      </c>
      <c r="J938" s="45" t="s">
        <v>276</v>
      </c>
      <c r="K938" s="45" t="s">
        <v>444</v>
      </c>
      <c r="L938" s="48" t="s">
        <v>334</v>
      </c>
      <c r="M938" s="47">
        <v>50</v>
      </c>
      <c r="N938" s="47">
        <v>50</v>
      </c>
      <c r="O938" s="46">
        <v>1</v>
      </c>
      <c r="Q938" s="45" t="s">
        <v>23</v>
      </c>
    </row>
    <row r="939" spans="4:17" hidden="1" x14ac:dyDescent="0.4">
      <c r="D939" s="45" t="s">
        <v>24</v>
      </c>
      <c r="E939" s="45" t="s">
        <v>25</v>
      </c>
      <c r="F939" s="45" t="s">
        <v>26</v>
      </c>
      <c r="G939" s="45" t="s">
        <v>27</v>
      </c>
      <c r="H939" s="50" t="s">
        <v>9</v>
      </c>
      <c r="I939" s="49">
        <v>46050</v>
      </c>
      <c r="J939" s="45" t="s">
        <v>257</v>
      </c>
      <c r="K939" s="45" t="s">
        <v>444</v>
      </c>
      <c r="L939" s="48"/>
      <c r="M939" s="47">
        <v>50</v>
      </c>
      <c r="N939" s="47">
        <v>50</v>
      </c>
      <c r="O939" s="46">
        <v>1</v>
      </c>
      <c r="Q939" s="45" t="s">
        <v>23</v>
      </c>
    </row>
    <row r="940" spans="4:17" hidden="1" x14ac:dyDescent="0.4">
      <c r="D940" s="45" t="s">
        <v>31</v>
      </c>
      <c r="E940" s="45" t="s">
        <v>32</v>
      </c>
      <c r="F940" s="45" t="s">
        <v>33</v>
      </c>
      <c r="G940" s="45" t="s">
        <v>34</v>
      </c>
      <c r="H940" s="50" t="s">
        <v>9</v>
      </c>
      <c r="I940" s="49">
        <v>46050</v>
      </c>
      <c r="J940" s="45" t="s">
        <v>257</v>
      </c>
      <c r="K940" s="45" t="s">
        <v>444</v>
      </c>
      <c r="L940" s="48"/>
      <c r="M940" s="47">
        <v>50</v>
      </c>
      <c r="N940" s="47">
        <v>50</v>
      </c>
      <c r="O940" s="46">
        <v>1</v>
      </c>
      <c r="Q940" s="45" t="s">
        <v>23</v>
      </c>
    </row>
    <row r="941" spans="4:17" hidden="1" x14ac:dyDescent="0.4">
      <c r="D941" s="45" t="s">
        <v>36</v>
      </c>
      <c r="E941" s="45" t="s">
        <v>37</v>
      </c>
      <c r="F941" s="45" t="s">
        <v>38</v>
      </c>
      <c r="G941" s="45" t="s">
        <v>39</v>
      </c>
      <c r="H941" s="50" t="s">
        <v>9</v>
      </c>
      <c r="I941" s="49">
        <v>46050</v>
      </c>
      <c r="J941" s="45" t="s">
        <v>257</v>
      </c>
      <c r="K941" s="45" t="s">
        <v>444</v>
      </c>
      <c r="L941" s="48"/>
      <c r="M941" s="47">
        <v>50</v>
      </c>
      <c r="N941" s="47">
        <v>50</v>
      </c>
      <c r="O941" s="46">
        <v>1</v>
      </c>
      <c r="Q941" s="45" t="s">
        <v>23</v>
      </c>
    </row>
    <row r="942" spans="4:17" hidden="1" x14ac:dyDescent="0.4">
      <c r="D942" s="45" t="s">
        <v>41</v>
      </c>
      <c r="E942" s="45" t="s">
        <v>42</v>
      </c>
      <c r="F942" s="45" t="s">
        <v>43</v>
      </c>
      <c r="G942" s="45" t="s">
        <v>44</v>
      </c>
      <c r="H942" s="50" t="s">
        <v>9</v>
      </c>
      <c r="I942" s="49">
        <v>46050</v>
      </c>
      <c r="J942" s="45" t="s">
        <v>257</v>
      </c>
      <c r="K942" s="45" t="s">
        <v>444</v>
      </c>
      <c r="L942" s="48"/>
      <c r="M942" s="47">
        <v>50</v>
      </c>
      <c r="N942" s="47">
        <v>50</v>
      </c>
      <c r="O942" s="46">
        <v>1</v>
      </c>
      <c r="Q942" s="45" t="s">
        <v>23</v>
      </c>
    </row>
    <row r="943" spans="4:17" hidden="1" x14ac:dyDescent="0.4">
      <c r="D943" s="45" t="s">
        <v>46</v>
      </c>
      <c r="E943" s="45" t="s">
        <v>47</v>
      </c>
      <c r="F943" s="45" t="s">
        <v>48</v>
      </c>
      <c r="G943" s="45" t="s">
        <v>49</v>
      </c>
      <c r="H943" s="50" t="s">
        <v>9</v>
      </c>
      <c r="I943" s="49">
        <v>46050</v>
      </c>
      <c r="J943" s="45" t="s">
        <v>257</v>
      </c>
      <c r="K943" s="45" t="s">
        <v>444</v>
      </c>
      <c r="L943" s="48"/>
      <c r="M943" s="47">
        <v>50</v>
      </c>
      <c r="N943" s="47">
        <v>50</v>
      </c>
      <c r="O943" s="46">
        <v>1</v>
      </c>
      <c r="Q943" s="45" t="s">
        <v>23</v>
      </c>
    </row>
    <row r="944" spans="4:17" hidden="1" x14ac:dyDescent="0.4">
      <c r="D944" s="45" t="s">
        <v>51</v>
      </c>
      <c r="E944" s="45" t="s">
        <v>52</v>
      </c>
      <c r="F944" s="45" t="s">
        <v>53</v>
      </c>
      <c r="G944" s="45" t="s">
        <v>54</v>
      </c>
      <c r="H944" s="50" t="s">
        <v>9</v>
      </c>
      <c r="I944" s="49">
        <v>46050</v>
      </c>
      <c r="J944" s="45" t="s">
        <v>257</v>
      </c>
      <c r="K944" s="45" t="s">
        <v>444</v>
      </c>
      <c r="L944" s="48"/>
      <c r="M944" s="47">
        <v>50</v>
      </c>
      <c r="N944" s="47">
        <v>50</v>
      </c>
      <c r="O944" s="46">
        <v>1</v>
      </c>
      <c r="Q944" s="45" t="s">
        <v>23</v>
      </c>
    </row>
    <row r="945" spans="4:17" hidden="1" x14ac:dyDescent="0.4">
      <c r="D945" s="45" t="s">
        <v>56</v>
      </c>
      <c r="E945" s="45" t="s">
        <v>52</v>
      </c>
      <c r="F945" s="45" t="s">
        <v>57</v>
      </c>
      <c r="G945" s="45" t="s">
        <v>58</v>
      </c>
      <c r="H945" s="50" t="s">
        <v>9</v>
      </c>
      <c r="I945" s="49">
        <v>46050</v>
      </c>
      <c r="J945" s="45" t="s">
        <v>257</v>
      </c>
      <c r="K945" s="45" t="s">
        <v>444</v>
      </c>
      <c r="L945" s="48"/>
      <c r="M945" s="47">
        <v>50</v>
      </c>
      <c r="N945" s="47">
        <v>50</v>
      </c>
      <c r="O945" s="46">
        <v>1</v>
      </c>
      <c r="Q945" s="45" t="s">
        <v>23</v>
      </c>
    </row>
    <row r="946" spans="4:17" hidden="1" x14ac:dyDescent="0.4">
      <c r="D946" s="45" t="s">
        <v>60</v>
      </c>
      <c r="E946" s="45" t="s">
        <v>61</v>
      </c>
      <c r="F946" s="45" t="s">
        <v>62</v>
      </c>
      <c r="G946" s="45" t="s">
        <v>63</v>
      </c>
      <c r="H946" s="50" t="s">
        <v>9</v>
      </c>
      <c r="I946" s="49">
        <v>46050</v>
      </c>
      <c r="J946" s="45" t="s">
        <v>257</v>
      </c>
      <c r="K946" s="45" t="s">
        <v>444</v>
      </c>
      <c r="L946" s="48"/>
      <c r="M946" s="47">
        <v>50</v>
      </c>
      <c r="N946" s="47">
        <v>50</v>
      </c>
      <c r="O946" s="46">
        <v>1</v>
      </c>
      <c r="Q946" s="45" t="s">
        <v>23</v>
      </c>
    </row>
    <row r="947" spans="4:17" hidden="1" x14ac:dyDescent="0.4">
      <c r="D947" s="45" t="s">
        <v>65</v>
      </c>
      <c r="E947" s="45" t="s">
        <v>66</v>
      </c>
      <c r="F947" s="45" t="s">
        <v>67</v>
      </c>
      <c r="G947" s="45" t="s">
        <v>68</v>
      </c>
      <c r="H947" s="50" t="s">
        <v>9</v>
      </c>
      <c r="I947" s="49">
        <v>46050</v>
      </c>
      <c r="J947" s="45" t="s">
        <v>257</v>
      </c>
      <c r="K947" s="45" t="s">
        <v>444</v>
      </c>
      <c r="L947" s="48"/>
      <c r="M947" s="47">
        <v>50</v>
      </c>
      <c r="N947" s="47">
        <v>50</v>
      </c>
      <c r="O947" s="46">
        <v>1</v>
      </c>
      <c r="Q947" s="45" t="s">
        <v>23</v>
      </c>
    </row>
    <row r="948" spans="4:17" hidden="1" x14ac:dyDescent="0.4">
      <c r="D948" s="45" t="s">
        <v>70</v>
      </c>
      <c r="E948" s="45" t="s">
        <v>71</v>
      </c>
      <c r="F948" s="45" t="s">
        <v>72</v>
      </c>
      <c r="G948" s="45" t="s">
        <v>73</v>
      </c>
      <c r="H948" s="50" t="s">
        <v>9</v>
      </c>
      <c r="I948" s="49">
        <v>46050</v>
      </c>
      <c r="J948" s="45" t="s">
        <v>257</v>
      </c>
      <c r="K948" s="45" t="s">
        <v>444</v>
      </c>
      <c r="L948" s="48"/>
      <c r="M948" s="47">
        <v>50</v>
      </c>
      <c r="N948" s="47">
        <v>50</v>
      </c>
      <c r="O948" s="46">
        <v>1</v>
      </c>
      <c r="Q948" s="45" t="s">
        <v>23</v>
      </c>
    </row>
    <row r="949" spans="4:17" hidden="1" x14ac:dyDescent="0.4">
      <c r="D949" s="45" t="s">
        <v>75</v>
      </c>
      <c r="E949" s="45" t="s">
        <v>76</v>
      </c>
      <c r="F949" s="45" t="s">
        <v>77</v>
      </c>
      <c r="G949" s="45" t="s">
        <v>78</v>
      </c>
      <c r="H949" s="50" t="s">
        <v>9</v>
      </c>
      <c r="I949" s="49">
        <v>46050</v>
      </c>
      <c r="J949" s="45" t="s">
        <v>257</v>
      </c>
      <c r="K949" s="45" t="s">
        <v>444</v>
      </c>
      <c r="L949" s="48"/>
      <c r="M949" s="47">
        <v>50</v>
      </c>
      <c r="N949" s="47">
        <v>50</v>
      </c>
      <c r="O949" s="46">
        <v>1</v>
      </c>
      <c r="Q949" s="45" t="s">
        <v>23</v>
      </c>
    </row>
    <row r="950" spans="4:17" hidden="1" x14ac:dyDescent="0.4">
      <c r="D950" s="45" t="s">
        <v>80</v>
      </c>
      <c r="E950" s="45" t="s">
        <v>81</v>
      </c>
      <c r="F950" s="45" t="s">
        <v>82</v>
      </c>
      <c r="G950" s="45" t="s">
        <v>83</v>
      </c>
      <c r="H950" s="50" t="s">
        <v>9</v>
      </c>
      <c r="I950" s="49">
        <v>46050</v>
      </c>
      <c r="J950" s="45" t="s">
        <v>257</v>
      </c>
      <c r="K950" s="45" t="s">
        <v>444</v>
      </c>
      <c r="L950" s="48"/>
      <c r="M950" s="47">
        <v>50</v>
      </c>
      <c r="N950" s="47">
        <v>50</v>
      </c>
      <c r="O950" s="46">
        <v>1</v>
      </c>
      <c r="Q950" s="45" t="s">
        <v>23</v>
      </c>
    </row>
    <row r="951" spans="4:17" hidden="1" x14ac:dyDescent="0.4">
      <c r="D951" s="45" t="s">
        <v>85</v>
      </c>
      <c r="E951" s="45" t="s">
        <v>86</v>
      </c>
      <c r="F951" s="45" t="s">
        <v>87</v>
      </c>
      <c r="G951" s="45" t="s">
        <v>88</v>
      </c>
      <c r="H951" s="50" t="s">
        <v>9</v>
      </c>
      <c r="I951" s="49">
        <v>46050</v>
      </c>
      <c r="J951" s="45" t="s">
        <v>257</v>
      </c>
      <c r="K951" s="45" t="s">
        <v>444</v>
      </c>
      <c r="L951" s="48"/>
      <c r="M951" s="47">
        <v>50</v>
      </c>
      <c r="N951" s="47">
        <v>50</v>
      </c>
      <c r="O951" s="46">
        <v>1</v>
      </c>
      <c r="Q951" s="45" t="s">
        <v>23</v>
      </c>
    </row>
    <row r="952" spans="4:17" hidden="1" x14ac:dyDescent="0.4">
      <c r="D952" s="45" t="s">
        <v>89</v>
      </c>
      <c r="E952" s="45" t="s">
        <v>90</v>
      </c>
      <c r="F952" s="45" t="s">
        <v>91</v>
      </c>
      <c r="G952" s="45" t="s">
        <v>92</v>
      </c>
      <c r="H952" s="50" t="s">
        <v>9</v>
      </c>
      <c r="I952" s="49">
        <v>46050</v>
      </c>
      <c r="J952" s="45" t="s">
        <v>257</v>
      </c>
      <c r="K952" s="45" t="s">
        <v>444</v>
      </c>
      <c r="L952" s="48"/>
      <c r="M952" s="47">
        <v>50</v>
      </c>
      <c r="N952" s="47">
        <v>50</v>
      </c>
      <c r="O952" s="46">
        <v>1</v>
      </c>
      <c r="Q952" s="45" t="s">
        <v>23</v>
      </c>
    </row>
    <row r="953" spans="4:17" hidden="1" x14ac:dyDescent="0.4">
      <c r="D953" s="45" t="s">
        <v>94</v>
      </c>
      <c r="E953" s="45" t="s">
        <v>95</v>
      </c>
      <c r="F953" s="45" t="s">
        <v>96</v>
      </c>
      <c r="G953" s="45" t="s">
        <v>97</v>
      </c>
      <c r="H953" s="50" t="s">
        <v>9</v>
      </c>
      <c r="I953" s="49">
        <v>46050</v>
      </c>
      <c r="J953" s="45" t="s">
        <v>257</v>
      </c>
      <c r="K953" s="45" t="s">
        <v>444</v>
      </c>
      <c r="L953" s="48"/>
      <c r="M953" s="47">
        <v>50</v>
      </c>
      <c r="N953" s="47">
        <v>50</v>
      </c>
      <c r="O953" s="46">
        <v>1</v>
      </c>
      <c r="Q953" s="45" t="s">
        <v>23</v>
      </c>
    </row>
    <row r="954" spans="4:17" hidden="1" x14ac:dyDescent="0.4">
      <c r="D954" s="45" t="s">
        <v>99</v>
      </c>
      <c r="E954" s="45" t="s">
        <v>100</v>
      </c>
      <c r="F954" s="45" t="s">
        <v>101</v>
      </c>
      <c r="G954" s="45" t="s">
        <v>102</v>
      </c>
      <c r="H954" s="50" t="s">
        <v>9</v>
      </c>
      <c r="I954" s="49">
        <v>46050</v>
      </c>
      <c r="J954" s="45" t="s">
        <v>257</v>
      </c>
      <c r="K954" s="45" t="s">
        <v>444</v>
      </c>
      <c r="L954" s="48"/>
      <c r="M954" s="47">
        <v>50</v>
      </c>
      <c r="N954" s="47">
        <v>50</v>
      </c>
      <c r="O954" s="46">
        <v>1</v>
      </c>
      <c r="Q954" s="45" t="s">
        <v>23</v>
      </c>
    </row>
    <row r="955" spans="4:17" hidden="1" x14ac:dyDescent="0.4">
      <c r="D955" s="45" t="s">
        <v>104</v>
      </c>
      <c r="E955" s="45" t="s">
        <v>86</v>
      </c>
      <c r="F955" s="45" t="s">
        <v>105</v>
      </c>
      <c r="G955" s="45" t="s">
        <v>106</v>
      </c>
      <c r="H955" s="50" t="s">
        <v>9</v>
      </c>
      <c r="I955" s="49">
        <v>46050</v>
      </c>
      <c r="J955" s="45" t="s">
        <v>257</v>
      </c>
      <c r="K955" s="45" t="s">
        <v>444</v>
      </c>
      <c r="L955" s="48"/>
      <c r="M955" s="47">
        <v>50</v>
      </c>
      <c r="N955" s="47">
        <v>50</v>
      </c>
      <c r="O955" s="46">
        <v>1</v>
      </c>
      <c r="Q955" s="45" t="s">
        <v>23</v>
      </c>
    </row>
    <row r="956" spans="4:17" hidden="1" x14ac:dyDescent="0.4">
      <c r="D956" s="45" t="s">
        <v>107</v>
      </c>
      <c r="E956" s="45" t="s">
        <v>108</v>
      </c>
      <c r="F956" s="45" t="s">
        <v>109</v>
      </c>
      <c r="G956" s="45" t="s">
        <v>110</v>
      </c>
      <c r="H956" s="50" t="s">
        <v>9</v>
      </c>
      <c r="I956" s="49">
        <v>46050</v>
      </c>
      <c r="J956" s="45" t="s">
        <v>257</v>
      </c>
      <c r="K956" s="45" t="s">
        <v>444</v>
      </c>
      <c r="L956" s="48"/>
      <c r="M956" s="47">
        <v>50</v>
      </c>
      <c r="N956" s="47">
        <v>50</v>
      </c>
      <c r="O956" s="46">
        <v>1</v>
      </c>
      <c r="Q956" s="45" t="s">
        <v>23</v>
      </c>
    </row>
    <row r="957" spans="4:17" hidden="1" x14ac:dyDescent="0.4">
      <c r="D957" s="45" t="s">
        <v>112</v>
      </c>
      <c r="E957" s="45" t="s">
        <v>113</v>
      </c>
      <c r="F957" s="45" t="s">
        <v>114</v>
      </c>
      <c r="G957" s="45" t="s">
        <v>115</v>
      </c>
      <c r="H957" s="50" t="s">
        <v>9</v>
      </c>
      <c r="I957" s="49">
        <v>46050</v>
      </c>
      <c r="J957" s="45" t="s">
        <v>257</v>
      </c>
      <c r="K957" s="45" t="s">
        <v>444</v>
      </c>
      <c r="L957" s="48"/>
      <c r="M957" s="47">
        <v>50</v>
      </c>
      <c r="N957" s="47">
        <v>50</v>
      </c>
      <c r="O957" s="46">
        <v>1</v>
      </c>
      <c r="Q957" s="45" t="s">
        <v>23</v>
      </c>
    </row>
    <row r="958" spans="4:17" hidden="1" x14ac:dyDescent="0.4">
      <c r="D958" s="45" t="s">
        <v>117</v>
      </c>
      <c r="E958" s="45" t="s">
        <v>118</v>
      </c>
      <c r="F958" s="45" t="s">
        <v>119</v>
      </c>
      <c r="G958" s="45" t="s">
        <v>120</v>
      </c>
      <c r="H958" s="50" t="s">
        <v>9</v>
      </c>
      <c r="I958" s="49">
        <v>46050</v>
      </c>
      <c r="J958" s="45" t="s">
        <v>257</v>
      </c>
      <c r="K958" s="45" t="s">
        <v>444</v>
      </c>
      <c r="L958" s="48"/>
      <c r="M958" s="47">
        <v>50</v>
      </c>
      <c r="N958" s="47">
        <v>50</v>
      </c>
      <c r="O958" s="46">
        <v>1</v>
      </c>
      <c r="Q958" s="45" t="s">
        <v>23</v>
      </c>
    </row>
    <row r="959" spans="4:17" hidden="1" x14ac:dyDescent="0.4">
      <c r="D959" s="45" t="s">
        <v>122</v>
      </c>
      <c r="E959" s="45" t="s">
        <v>123</v>
      </c>
      <c r="F959" s="45" t="s">
        <v>124</v>
      </c>
      <c r="G959" s="45" t="s">
        <v>125</v>
      </c>
      <c r="H959" s="50" t="s">
        <v>9</v>
      </c>
      <c r="I959" s="49">
        <v>46050</v>
      </c>
      <c r="J959" s="45" t="s">
        <v>257</v>
      </c>
      <c r="K959" s="45" t="s">
        <v>444</v>
      </c>
      <c r="L959" s="48"/>
      <c r="M959" s="47">
        <v>50</v>
      </c>
      <c r="N959" s="47">
        <v>50</v>
      </c>
      <c r="O959" s="46">
        <v>1</v>
      </c>
      <c r="Q959" s="45" t="s">
        <v>23</v>
      </c>
    </row>
    <row r="960" spans="4:17" hidden="1" x14ac:dyDescent="0.4">
      <c r="D960" s="45" t="s">
        <v>127</v>
      </c>
      <c r="E960" s="45" t="s">
        <v>128</v>
      </c>
      <c r="F960" s="45" t="s">
        <v>129</v>
      </c>
      <c r="G960" s="45" t="s">
        <v>130</v>
      </c>
      <c r="H960" s="50" t="s">
        <v>9</v>
      </c>
      <c r="I960" s="49">
        <v>46050</v>
      </c>
      <c r="J960" s="45" t="s">
        <v>257</v>
      </c>
      <c r="K960" s="45" t="s">
        <v>444</v>
      </c>
      <c r="L960" s="48"/>
      <c r="M960" s="47">
        <v>50</v>
      </c>
      <c r="N960" s="47">
        <v>50</v>
      </c>
      <c r="O960" s="46">
        <v>1</v>
      </c>
      <c r="Q960" s="45" t="s">
        <v>23</v>
      </c>
    </row>
    <row r="961" spans="4:17" hidden="1" x14ac:dyDescent="0.4">
      <c r="D961" s="45" t="s">
        <v>132</v>
      </c>
      <c r="E961" s="45" t="s">
        <v>133</v>
      </c>
      <c r="F961" s="45" t="s">
        <v>134</v>
      </c>
      <c r="G961" s="45" t="s">
        <v>135</v>
      </c>
      <c r="H961" s="50" t="s">
        <v>9</v>
      </c>
      <c r="I961" s="49">
        <v>46050</v>
      </c>
      <c r="J961" s="45" t="s">
        <v>257</v>
      </c>
      <c r="K961" s="45" t="s">
        <v>444</v>
      </c>
      <c r="L961" s="48"/>
      <c r="M961" s="47">
        <v>50</v>
      </c>
      <c r="N961" s="47">
        <v>50</v>
      </c>
      <c r="O961" s="46">
        <v>1</v>
      </c>
      <c r="Q961" s="45" t="s">
        <v>23</v>
      </c>
    </row>
    <row r="962" spans="4:17" hidden="1" x14ac:dyDescent="0.4">
      <c r="D962" s="45" t="s">
        <v>137</v>
      </c>
      <c r="E962" s="45" t="s">
        <v>138</v>
      </c>
      <c r="F962" s="45" t="s">
        <v>139</v>
      </c>
      <c r="G962" s="45" t="s">
        <v>140</v>
      </c>
      <c r="H962" s="50" t="s">
        <v>9</v>
      </c>
      <c r="I962" s="49">
        <v>46050</v>
      </c>
      <c r="J962" s="45" t="s">
        <v>257</v>
      </c>
      <c r="K962" s="45" t="s">
        <v>444</v>
      </c>
      <c r="L962" s="48"/>
      <c r="M962" s="47">
        <v>50</v>
      </c>
      <c r="N962" s="47">
        <v>50</v>
      </c>
      <c r="O962" s="46">
        <v>1</v>
      </c>
      <c r="Q962" s="45" t="s">
        <v>23</v>
      </c>
    </row>
    <row r="963" spans="4:17" hidden="1" x14ac:dyDescent="0.4">
      <c r="D963" s="45" t="s">
        <v>142</v>
      </c>
      <c r="E963" s="45" t="s">
        <v>143</v>
      </c>
      <c r="F963" s="45" t="s">
        <v>144</v>
      </c>
      <c r="G963" s="45" t="s">
        <v>145</v>
      </c>
      <c r="H963" s="50" t="s">
        <v>9</v>
      </c>
      <c r="I963" s="49">
        <v>46050</v>
      </c>
      <c r="J963" s="45" t="s">
        <v>257</v>
      </c>
      <c r="K963" s="45" t="s">
        <v>444</v>
      </c>
      <c r="L963" s="48"/>
      <c r="M963" s="47">
        <v>50</v>
      </c>
      <c r="N963" s="47">
        <v>50</v>
      </c>
      <c r="O963" s="46">
        <v>1</v>
      </c>
      <c r="Q963" s="45" t="s">
        <v>23</v>
      </c>
    </row>
    <row r="964" spans="4:17" hidden="1" x14ac:dyDescent="0.4">
      <c r="D964" s="45" t="s">
        <v>147</v>
      </c>
      <c r="E964" s="45" t="s">
        <v>148</v>
      </c>
      <c r="F964" s="45" t="s">
        <v>149</v>
      </c>
      <c r="G964" s="45" t="s">
        <v>150</v>
      </c>
      <c r="H964" s="50" t="s">
        <v>9</v>
      </c>
      <c r="I964" s="49">
        <v>46050</v>
      </c>
      <c r="J964" s="45" t="s">
        <v>257</v>
      </c>
      <c r="K964" s="45" t="s">
        <v>444</v>
      </c>
      <c r="L964" s="48"/>
      <c r="M964" s="47">
        <v>50</v>
      </c>
      <c r="N964" s="47">
        <v>50</v>
      </c>
      <c r="O964" s="46">
        <v>1</v>
      </c>
      <c r="Q964" s="45" t="s">
        <v>23</v>
      </c>
    </row>
    <row r="965" spans="4:17" hidden="1" x14ac:dyDescent="0.4">
      <c r="D965" s="45" t="s">
        <v>152</v>
      </c>
      <c r="E965" s="45" t="s">
        <v>66</v>
      </c>
      <c r="F965" s="45" t="s">
        <v>153</v>
      </c>
      <c r="G965" s="45" t="s">
        <v>154</v>
      </c>
      <c r="H965" s="50" t="s">
        <v>9</v>
      </c>
      <c r="I965" s="49">
        <v>46050</v>
      </c>
      <c r="J965" s="45" t="s">
        <v>257</v>
      </c>
      <c r="K965" s="45" t="s">
        <v>444</v>
      </c>
      <c r="L965" s="48"/>
      <c r="M965" s="47">
        <v>50</v>
      </c>
      <c r="N965" s="47">
        <v>50</v>
      </c>
      <c r="O965" s="46">
        <v>1</v>
      </c>
      <c r="Q965" s="45" t="s">
        <v>23</v>
      </c>
    </row>
    <row r="966" spans="4:17" hidden="1" x14ac:dyDescent="0.4">
      <c r="D966" s="45" t="s">
        <v>160</v>
      </c>
      <c r="E966" s="45" t="s">
        <v>81</v>
      </c>
      <c r="F966" s="45" t="s">
        <v>161</v>
      </c>
      <c r="G966" s="45" t="s">
        <v>162</v>
      </c>
      <c r="H966" s="50" t="s">
        <v>9</v>
      </c>
      <c r="I966" s="49">
        <v>46050</v>
      </c>
      <c r="J966" s="45" t="s">
        <v>257</v>
      </c>
      <c r="K966" s="45" t="s">
        <v>444</v>
      </c>
      <c r="L966" s="48"/>
      <c r="M966" s="47">
        <v>50</v>
      </c>
      <c r="N966" s="47">
        <v>50</v>
      </c>
      <c r="O966" s="46">
        <v>1</v>
      </c>
      <c r="Q966" s="45" t="s">
        <v>23</v>
      </c>
    </row>
    <row r="967" spans="4:17" hidden="1" x14ac:dyDescent="0.4">
      <c r="D967" s="45" t="s">
        <v>163</v>
      </c>
      <c r="E967" s="45" t="s">
        <v>164</v>
      </c>
      <c r="F967" s="45" t="s">
        <v>165</v>
      </c>
      <c r="G967" s="45" t="s">
        <v>166</v>
      </c>
      <c r="H967" s="50" t="s">
        <v>9</v>
      </c>
      <c r="I967" s="49">
        <v>46050</v>
      </c>
      <c r="J967" s="45" t="s">
        <v>257</v>
      </c>
      <c r="K967" s="45" t="s">
        <v>444</v>
      </c>
      <c r="L967" s="48"/>
      <c r="M967" s="47">
        <v>50</v>
      </c>
      <c r="N967" s="47">
        <v>50</v>
      </c>
      <c r="O967" s="46">
        <v>1</v>
      </c>
      <c r="Q967" s="45" t="s">
        <v>23</v>
      </c>
    </row>
    <row r="968" spans="4:17" hidden="1" x14ac:dyDescent="0.4">
      <c r="D968" s="45" t="s">
        <v>168</v>
      </c>
      <c r="E968" s="45" t="s">
        <v>169</v>
      </c>
      <c r="F968" s="45" t="s">
        <v>170</v>
      </c>
      <c r="G968" s="45" t="s">
        <v>171</v>
      </c>
      <c r="H968" s="50" t="s">
        <v>9</v>
      </c>
      <c r="I968" s="49">
        <v>46050</v>
      </c>
      <c r="J968" s="45" t="s">
        <v>257</v>
      </c>
      <c r="K968" s="45" t="s">
        <v>444</v>
      </c>
      <c r="L968" s="48"/>
      <c r="M968" s="47">
        <v>50</v>
      </c>
      <c r="N968" s="47">
        <v>50</v>
      </c>
      <c r="O968" s="46">
        <v>1</v>
      </c>
      <c r="Q968" s="45" t="s">
        <v>23</v>
      </c>
    </row>
    <row r="969" spans="4:17" hidden="1" x14ac:dyDescent="0.4">
      <c r="D969" s="45" t="s">
        <v>173</v>
      </c>
      <c r="E969" s="45" t="s">
        <v>174</v>
      </c>
      <c r="F969" s="45" t="s">
        <v>175</v>
      </c>
      <c r="G969" s="45" t="s">
        <v>176</v>
      </c>
      <c r="H969" s="50" t="s">
        <v>9</v>
      </c>
      <c r="I969" s="49">
        <v>46050</v>
      </c>
      <c r="J969" s="45" t="s">
        <v>257</v>
      </c>
      <c r="K969" s="45" t="s">
        <v>444</v>
      </c>
      <c r="L969" s="48"/>
      <c r="M969" s="47">
        <v>50</v>
      </c>
      <c r="N969" s="47">
        <v>50</v>
      </c>
      <c r="O969" s="46">
        <v>1</v>
      </c>
      <c r="Q969" s="45" t="s">
        <v>23</v>
      </c>
    </row>
    <row r="970" spans="4:17" hidden="1" x14ac:dyDescent="0.4">
      <c r="D970" s="45" t="s">
        <v>178</v>
      </c>
      <c r="E970" s="45" t="s">
        <v>179</v>
      </c>
      <c r="F970" s="45" t="s">
        <v>180</v>
      </c>
      <c r="G970" s="45" t="s">
        <v>181</v>
      </c>
      <c r="H970" s="50" t="s">
        <v>9</v>
      </c>
      <c r="I970" s="49">
        <v>46050</v>
      </c>
      <c r="J970" s="45" t="s">
        <v>257</v>
      </c>
      <c r="K970" s="45" t="s">
        <v>444</v>
      </c>
      <c r="L970" s="48"/>
      <c r="M970" s="47">
        <v>50</v>
      </c>
      <c r="N970" s="47">
        <v>50</v>
      </c>
      <c r="O970" s="46">
        <v>1</v>
      </c>
      <c r="Q970" s="45" t="s">
        <v>23</v>
      </c>
    </row>
    <row r="971" spans="4:17" hidden="1" x14ac:dyDescent="0.4">
      <c r="D971" s="45" t="s">
        <v>187</v>
      </c>
      <c r="E971" s="45" t="s">
        <v>188</v>
      </c>
      <c r="F971" s="45" t="s">
        <v>189</v>
      </c>
      <c r="G971" s="45" t="s">
        <v>190</v>
      </c>
      <c r="H971" s="50" t="s">
        <v>9</v>
      </c>
      <c r="I971" s="49">
        <v>46050</v>
      </c>
      <c r="J971" s="45" t="s">
        <v>257</v>
      </c>
      <c r="K971" s="45" t="s">
        <v>444</v>
      </c>
      <c r="L971" s="48"/>
      <c r="M971" s="47">
        <v>50</v>
      </c>
      <c r="N971" s="47">
        <v>50</v>
      </c>
      <c r="O971" s="46">
        <v>1</v>
      </c>
      <c r="Q971" s="45" t="s">
        <v>23</v>
      </c>
    </row>
    <row r="972" spans="4:17" hidden="1" x14ac:dyDescent="0.4">
      <c r="D972" s="45" t="s">
        <v>192</v>
      </c>
      <c r="E972" s="45" t="s">
        <v>193</v>
      </c>
      <c r="F972" s="45" t="s">
        <v>194</v>
      </c>
      <c r="G972" s="45" t="s">
        <v>195</v>
      </c>
      <c r="H972" s="50" t="s">
        <v>9</v>
      </c>
      <c r="I972" s="49">
        <v>46050</v>
      </c>
      <c r="J972" s="45" t="s">
        <v>257</v>
      </c>
      <c r="K972" s="45" t="s">
        <v>444</v>
      </c>
      <c r="L972" s="48"/>
      <c r="M972" s="47">
        <v>50</v>
      </c>
      <c r="N972" s="47">
        <v>50</v>
      </c>
      <c r="O972" s="46">
        <v>1</v>
      </c>
      <c r="Q972" s="45" t="s">
        <v>23</v>
      </c>
    </row>
    <row r="973" spans="4:17" hidden="1" x14ac:dyDescent="0.4">
      <c r="D973" s="45" t="s">
        <v>197</v>
      </c>
      <c r="E973" s="45" t="s">
        <v>198</v>
      </c>
      <c r="F973" s="45" t="s">
        <v>199</v>
      </c>
      <c r="G973" s="45" t="s">
        <v>200</v>
      </c>
      <c r="H973" s="50" t="s">
        <v>9</v>
      </c>
      <c r="I973" s="49">
        <v>46050</v>
      </c>
      <c r="J973" s="45" t="s">
        <v>257</v>
      </c>
      <c r="K973" s="45" t="s">
        <v>444</v>
      </c>
      <c r="L973" s="48"/>
      <c r="M973" s="47">
        <v>50</v>
      </c>
      <c r="N973" s="47">
        <v>50</v>
      </c>
      <c r="O973" s="46">
        <v>1</v>
      </c>
      <c r="Q973" s="45" t="s">
        <v>23</v>
      </c>
    </row>
    <row r="974" spans="4:17" hidden="1" x14ac:dyDescent="0.4">
      <c r="D974" s="45" t="s">
        <v>201</v>
      </c>
      <c r="E974" s="45" t="s">
        <v>143</v>
      </c>
      <c r="F974" s="45" t="s">
        <v>202</v>
      </c>
      <c r="G974" s="45" t="s">
        <v>203</v>
      </c>
      <c r="H974" s="50" t="s">
        <v>9</v>
      </c>
      <c r="I974" s="49">
        <v>46050</v>
      </c>
      <c r="J974" s="45" t="s">
        <v>257</v>
      </c>
      <c r="K974" s="45" t="s">
        <v>444</v>
      </c>
      <c r="L974" s="48"/>
      <c r="M974" s="47">
        <v>50</v>
      </c>
      <c r="N974" s="47">
        <v>50</v>
      </c>
      <c r="O974" s="46">
        <v>1</v>
      </c>
      <c r="Q974" s="45" t="s">
        <v>23</v>
      </c>
    </row>
    <row r="975" spans="4:17" hidden="1" x14ac:dyDescent="0.4">
      <c r="D975" s="45" t="s">
        <v>205</v>
      </c>
      <c r="E975" s="45" t="s">
        <v>206</v>
      </c>
      <c r="F975" s="45" t="s">
        <v>207</v>
      </c>
      <c r="G975" s="45" t="s">
        <v>208</v>
      </c>
      <c r="H975" s="50" t="s">
        <v>9</v>
      </c>
      <c r="I975" s="49">
        <v>46050</v>
      </c>
      <c r="J975" s="45" t="s">
        <v>257</v>
      </c>
      <c r="K975" s="45" t="s">
        <v>444</v>
      </c>
      <c r="L975" s="48"/>
      <c r="M975" s="47">
        <v>50</v>
      </c>
      <c r="N975" s="47">
        <v>50</v>
      </c>
      <c r="O975" s="46">
        <v>1</v>
      </c>
      <c r="Q975" s="45" t="s">
        <v>23</v>
      </c>
    </row>
    <row r="976" spans="4:17" hidden="1" x14ac:dyDescent="0.4">
      <c r="D976" s="45" t="s">
        <v>210</v>
      </c>
      <c r="E976" s="45" t="s">
        <v>211</v>
      </c>
      <c r="F976" s="45" t="s">
        <v>212</v>
      </c>
      <c r="G976" s="45" t="s">
        <v>213</v>
      </c>
      <c r="H976" s="50" t="s">
        <v>9</v>
      </c>
      <c r="I976" s="49">
        <v>46050</v>
      </c>
      <c r="J976" s="45" t="s">
        <v>257</v>
      </c>
      <c r="K976" s="45" t="s">
        <v>444</v>
      </c>
      <c r="L976" s="48"/>
      <c r="M976" s="47">
        <v>50</v>
      </c>
      <c r="N976" s="47">
        <v>50</v>
      </c>
      <c r="O976" s="46">
        <v>1</v>
      </c>
      <c r="Q976" s="45" t="s">
        <v>23</v>
      </c>
    </row>
    <row r="977" spans="4:17" hidden="1" x14ac:dyDescent="0.4">
      <c r="D977" s="45" t="s">
        <v>215</v>
      </c>
      <c r="E977" s="45" t="s">
        <v>216</v>
      </c>
      <c r="F977" s="45" t="s">
        <v>217</v>
      </c>
      <c r="G977" s="45" t="s">
        <v>218</v>
      </c>
      <c r="H977" s="50" t="s">
        <v>9</v>
      </c>
      <c r="I977" s="49">
        <v>46050</v>
      </c>
      <c r="J977" s="45" t="s">
        <v>257</v>
      </c>
      <c r="K977" s="45" t="s">
        <v>444</v>
      </c>
      <c r="L977" s="48"/>
      <c r="M977" s="47">
        <v>50</v>
      </c>
      <c r="N977" s="47">
        <v>50</v>
      </c>
      <c r="O977" s="46">
        <v>1</v>
      </c>
      <c r="Q977" s="45" t="s">
        <v>23</v>
      </c>
    </row>
  </sheetData>
  <hyperlinks>
    <hyperlink ref="H3" r:id="rId1" xr:uid="{C3B282A8-F17A-436E-A4D7-EF9613CB9065}"/>
    <hyperlink ref="H4" r:id="rId2" xr:uid="{BDEF08EF-B2A6-47F8-82EF-0D6B2E870320}"/>
    <hyperlink ref="H5" r:id="rId3" xr:uid="{0EF1F53E-3FC3-45A5-B0DC-CE4651E1F32F}"/>
    <hyperlink ref="H6" r:id="rId4" xr:uid="{7DAB8D0B-CAB1-40B8-87C4-2A7DE555ED96}"/>
    <hyperlink ref="H7" r:id="rId5" xr:uid="{E8504974-8DB2-4410-8573-26AB9AB6BCF4}"/>
    <hyperlink ref="H8" r:id="rId6" xr:uid="{3715973A-3C7E-46EB-9F90-9349443C2C12}"/>
    <hyperlink ref="H9" r:id="rId7" xr:uid="{35CE3420-8265-4D93-9561-A78BABC5D64C}"/>
    <hyperlink ref="H10" r:id="rId8" xr:uid="{DE28276D-1283-490E-BEC9-836477EFEE49}"/>
    <hyperlink ref="H11" r:id="rId9" xr:uid="{DBB47838-2985-444F-8298-C651917DE64A}"/>
    <hyperlink ref="H12" r:id="rId10" xr:uid="{D8D7DE71-DB10-4AAA-BFE6-E04D4DAD6F0F}"/>
    <hyperlink ref="H13" r:id="rId11" xr:uid="{B8BF5296-DD83-4E3B-B2A3-0906B4E408AA}"/>
    <hyperlink ref="H14" r:id="rId12" xr:uid="{806DFFE9-8C95-42D8-9192-BC85F781F6E0}"/>
    <hyperlink ref="H15" r:id="rId13" xr:uid="{F1A75C6C-EF64-424B-8AB6-043BB0C41918}"/>
    <hyperlink ref="H16" r:id="rId14" xr:uid="{8803C853-0BCE-4718-AC33-ECCA507D722E}"/>
    <hyperlink ref="H17" r:id="rId15" xr:uid="{DD98AA3F-D628-45BE-99AF-8FA24CA5E54C}"/>
    <hyperlink ref="H18" r:id="rId16" xr:uid="{92D089AC-8296-497D-BA74-D7F792270F58}"/>
    <hyperlink ref="H19" r:id="rId17" xr:uid="{1A917DFD-DEF2-4774-944D-ADDD5059A8DA}"/>
    <hyperlink ref="H20" r:id="rId18" xr:uid="{204A7B92-10B0-4FE0-9624-574A230F4860}"/>
    <hyperlink ref="H21" r:id="rId19" xr:uid="{41794784-E787-4E65-8D8A-D487AB351C69}"/>
    <hyperlink ref="H22" r:id="rId20" xr:uid="{253F8A5A-6890-493E-9A4E-DEA8BED4F6F5}"/>
    <hyperlink ref="H23" r:id="rId21" xr:uid="{C9466C8F-FAE0-4EB0-9314-C11470E0D164}"/>
    <hyperlink ref="H24" r:id="rId22" xr:uid="{0CAEEBE9-7994-4FE4-8844-3626E132541D}"/>
    <hyperlink ref="H25" r:id="rId23" xr:uid="{85586ECB-47CB-4C5F-9CA9-32592943F621}"/>
    <hyperlink ref="H26" r:id="rId24" xr:uid="{59D05877-A088-4CB7-B845-09067A6B4315}"/>
    <hyperlink ref="H27" r:id="rId25" xr:uid="{98397EC3-E0AD-42EC-8718-1FD9178E9E2D}"/>
    <hyperlink ref="H28" r:id="rId26" xr:uid="{CE519E1E-5FBA-46B8-BDBA-D883E6BF0DF5}"/>
    <hyperlink ref="H29" r:id="rId27" xr:uid="{15580B03-21C4-4371-B1E1-59FBD8684B5A}"/>
    <hyperlink ref="H30" r:id="rId28" xr:uid="{72121FFA-F10E-44E9-B23A-133E50B7D415}"/>
    <hyperlink ref="H31" r:id="rId29" xr:uid="{EE60D21A-8D8B-4C9A-B962-00F1023A1995}"/>
    <hyperlink ref="H32" r:id="rId30" xr:uid="{C0CBF6E9-EFB2-49C1-82D9-41A2EFF0E989}"/>
    <hyperlink ref="H33" r:id="rId31" xr:uid="{FE0EDAE1-5F71-4AC1-BAAC-1816309D66E0}"/>
    <hyperlink ref="H34" r:id="rId32" xr:uid="{9A41A45A-4245-4225-A49D-DE29DBEBFE37}"/>
    <hyperlink ref="H35" r:id="rId33" xr:uid="{05625BA5-ABED-4D07-B3BC-8D7B6D892220}"/>
    <hyperlink ref="H36" r:id="rId34" xr:uid="{E6D24068-297D-43BF-997D-2DDAB7F2A8B9}"/>
    <hyperlink ref="H37" r:id="rId35" xr:uid="{03A5F974-A2FE-4C95-A1F0-B5394BE8307C}"/>
    <hyperlink ref="H38" r:id="rId36" xr:uid="{2066494D-9BEB-4EFA-A89D-7AE57D9031AD}"/>
    <hyperlink ref="H39" r:id="rId37" xr:uid="{9D74E965-5C72-4AD3-9862-07BC9F0E110A}"/>
    <hyperlink ref="H40" r:id="rId38" xr:uid="{01F47C62-8192-47F4-8A5E-F5279A73CF42}"/>
    <hyperlink ref="H41" r:id="rId39" xr:uid="{61B275C3-F122-4BDA-8140-3E7CF01684E8}"/>
    <hyperlink ref="H42" r:id="rId40" xr:uid="{270FED54-65C4-47ED-B426-9E314ECB3A94}"/>
    <hyperlink ref="H43" r:id="rId41" xr:uid="{83A67AA1-6828-4BC9-9069-322CBF5C2818}"/>
    <hyperlink ref="H44" r:id="rId42" xr:uid="{B22451A6-24BD-4451-8D2B-962C9D85FA21}"/>
    <hyperlink ref="H45" r:id="rId43" xr:uid="{8BDB6668-4941-42E8-826F-B4D3CDF831CF}"/>
    <hyperlink ref="H46" r:id="rId44" xr:uid="{8ECA479C-7EB5-4006-AF6B-DC62ADA501D0}"/>
    <hyperlink ref="H47" r:id="rId45" xr:uid="{C8B033FD-CB29-48FB-9C3D-76D74FB12CC5}"/>
    <hyperlink ref="H48" r:id="rId46" xr:uid="{C3811744-828A-4D8A-87F9-5C25E8858095}"/>
    <hyperlink ref="H49" r:id="rId47" xr:uid="{8582CBB5-0AC0-4368-9CE5-B5944A6911FE}"/>
    <hyperlink ref="H50" r:id="rId48" xr:uid="{26A67EEE-7764-4957-B2DF-9D5E33A43F59}"/>
    <hyperlink ref="H51" r:id="rId49" xr:uid="{3565E4EC-E0AE-4940-9F7F-948AC8ADF055}"/>
    <hyperlink ref="H52" r:id="rId50" xr:uid="{F2219066-B3E8-4EFC-8864-63FED68C1F7F}"/>
    <hyperlink ref="H53" r:id="rId51" xr:uid="{8F9E79B2-F6F1-4417-9031-DE28BDBED03B}"/>
    <hyperlink ref="H54" r:id="rId52" xr:uid="{CB7A559B-1C66-45FD-A4D2-C95A406BE18B}"/>
    <hyperlink ref="H55" r:id="rId53" xr:uid="{2767D493-EA72-45A7-902F-FFC596B3D902}"/>
    <hyperlink ref="H56" r:id="rId54" xr:uid="{3E9C1611-8936-4825-9ADF-B57418BB0957}"/>
    <hyperlink ref="H57" r:id="rId55" xr:uid="{28616EFE-38C9-43F6-BCE5-CDFB9820DCA8}"/>
    <hyperlink ref="H58" r:id="rId56" xr:uid="{FB37199D-F9B7-4DB7-8B2A-3485D705BE74}"/>
    <hyperlink ref="H59" r:id="rId57" xr:uid="{BF8FD632-E713-48CF-996F-26657C44545B}"/>
    <hyperlink ref="H60" r:id="rId58" xr:uid="{2F4A05CE-92B5-4D06-BA67-BBBA0C3560BC}"/>
    <hyperlink ref="H61" r:id="rId59" xr:uid="{0EEC5FE9-EE1E-41B2-9633-1EE4A6F9CAC2}"/>
    <hyperlink ref="H62" r:id="rId60" xr:uid="{EAF637C2-CC4B-4DD7-8F9D-EFEE09404DE8}"/>
    <hyperlink ref="H63" r:id="rId61" xr:uid="{F308E617-B87C-40C2-9737-1E2BF1694B21}"/>
    <hyperlink ref="H64" r:id="rId62" xr:uid="{8D53F431-32D2-4412-BACA-CADF69505D54}"/>
    <hyperlink ref="H65" r:id="rId63" xr:uid="{E8FC6859-FF10-4C21-ACFA-BDB6128AEF43}"/>
    <hyperlink ref="H66" r:id="rId64" xr:uid="{6571057C-3764-45BC-AD43-CF15529A5A27}"/>
    <hyperlink ref="H67" r:id="rId65" xr:uid="{97B0E6A4-2530-4E32-AF33-AAB465FB7DE0}"/>
    <hyperlink ref="H68" r:id="rId66" xr:uid="{A729EDA2-652C-4288-B889-188DDB27F48B}"/>
    <hyperlink ref="H69" r:id="rId67" xr:uid="{D01393E6-BDB9-4430-BE0E-6696DE830A5B}"/>
    <hyperlink ref="H70" r:id="rId68" xr:uid="{7E497FF6-B99A-4830-87DB-D1B9303BDE1D}"/>
    <hyperlink ref="H71" r:id="rId69" xr:uid="{A36D9AD0-F557-4BC2-BF46-86D423E2F04B}"/>
    <hyperlink ref="H72" r:id="rId70" xr:uid="{55FF7F19-2FE6-4E0D-806C-D45A888B4A37}"/>
    <hyperlink ref="H73" r:id="rId71" xr:uid="{597C7191-F0B4-4ED8-A84A-7E7A80F97883}"/>
    <hyperlink ref="H74" r:id="rId72" xr:uid="{CAD78312-D139-4AE2-B774-5838D1C697E2}"/>
    <hyperlink ref="H75" r:id="rId73" xr:uid="{004BB6E7-5694-48A4-9F77-08CF6843B3AA}"/>
    <hyperlink ref="H76" r:id="rId74" xr:uid="{6E196857-71EC-4BBF-9DED-5AA67FB66E5F}"/>
    <hyperlink ref="H77" r:id="rId75" xr:uid="{9231A524-96F1-4C79-8B67-8880F7943D23}"/>
    <hyperlink ref="H78" r:id="rId76" xr:uid="{52CB39A0-588E-4C8E-96FB-D6D8E893471F}"/>
    <hyperlink ref="H79" r:id="rId77" xr:uid="{1EFAE1E9-9016-48A2-B19A-C78582A5BE8C}"/>
    <hyperlink ref="H80" r:id="rId78" xr:uid="{B0CB2C80-FF41-4B09-8F98-EAF78507DFE9}"/>
    <hyperlink ref="H81" r:id="rId79" xr:uid="{6FC5FB23-827B-4DCA-B01E-F212F73BEDF2}"/>
    <hyperlink ref="H82" r:id="rId80" xr:uid="{ACCA53C9-10CA-47F0-BF0B-C905FE16F483}"/>
    <hyperlink ref="H83" r:id="rId81" xr:uid="{DE04E031-BF31-4FEB-9938-B1A32AE67A83}"/>
    <hyperlink ref="H84" r:id="rId82" xr:uid="{8763E431-7714-4125-86AC-2134201593F0}"/>
    <hyperlink ref="H85" r:id="rId83" xr:uid="{E261E5FB-633F-4568-96DC-A20F27F88993}"/>
    <hyperlink ref="H86" r:id="rId84" xr:uid="{CA2A546A-894F-4D5C-8D62-8C8FEDB14D11}"/>
    <hyperlink ref="H87" r:id="rId85" xr:uid="{1BFEF562-EAC0-4821-965D-0BFDC83E9006}"/>
    <hyperlink ref="H88" r:id="rId86" xr:uid="{DB451EC9-A061-40ED-8132-1E8E69CA9596}"/>
    <hyperlink ref="H89" r:id="rId87" xr:uid="{67789EC0-039E-466D-BF81-8481CB488E12}"/>
    <hyperlink ref="H90" r:id="rId88" xr:uid="{FCE80097-BED9-4555-90DB-1505A51D6A17}"/>
    <hyperlink ref="H91" r:id="rId89" xr:uid="{037C44C4-765A-4865-8D2B-95B6C5D36B2C}"/>
    <hyperlink ref="H92" r:id="rId90" xr:uid="{45C11BE3-B1B5-4FDC-A579-BCB6B51E66E6}"/>
    <hyperlink ref="H93" r:id="rId91" xr:uid="{76FC0151-5632-444F-9909-FAAF0C7D3C87}"/>
    <hyperlink ref="H94" r:id="rId92" xr:uid="{D947985E-0B54-484B-8F8F-7647BF22D34A}"/>
    <hyperlink ref="H95" r:id="rId93" xr:uid="{95E48573-CCD4-43A2-8A2F-7A210FDBA274}"/>
    <hyperlink ref="H96" r:id="rId94" xr:uid="{24A95884-8417-48F3-A47A-7E80837747AA}"/>
    <hyperlink ref="H97" r:id="rId95" xr:uid="{0CFD743E-F3D9-4FB3-9F7A-4937455DBDF8}"/>
    <hyperlink ref="H98" r:id="rId96" xr:uid="{B71DBCBE-0D28-45C0-8659-7F589ADA53BC}"/>
    <hyperlink ref="H99" r:id="rId97" xr:uid="{D5C37A8B-EB82-4ED7-BB9B-E23443ABD4BB}"/>
    <hyperlink ref="H100" r:id="rId98" xr:uid="{71B498C2-45F2-48D4-973D-F80198D93B8F}"/>
    <hyperlink ref="H101" r:id="rId99" xr:uid="{29F868A6-13E2-46BE-8DA5-8319E98919E3}"/>
    <hyperlink ref="H102" r:id="rId100" xr:uid="{7062BC30-FFE3-479E-8718-0AFE374CA18F}"/>
    <hyperlink ref="H103" r:id="rId101" xr:uid="{D06FE577-6214-4651-93BB-83CD86E798B9}"/>
    <hyperlink ref="H104" r:id="rId102" xr:uid="{609C1288-BFCF-4C6D-A467-389F04B20696}"/>
    <hyperlink ref="H105" r:id="rId103" xr:uid="{472C08F8-050B-41F2-84CF-204D3BF2CB39}"/>
    <hyperlink ref="H106" r:id="rId104" xr:uid="{90075A0A-D2E1-4659-A63E-5B078435B81A}"/>
    <hyperlink ref="H107" r:id="rId105" xr:uid="{6FC7D13D-E1F5-4D2E-936A-F7E98E3D1EFD}"/>
    <hyperlink ref="H108" r:id="rId106" xr:uid="{8442F934-1BFC-4D8B-BFD7-10088D123737}"/>
    <hyperlink ref="H109" r:id="rId107" xr:uid="{06596AC2-28B1-4CCE-B883-A4C32664ACEF}"/>
    <hyperlink ref="H110" r:id="rId108" xr:uid="{28608506-87D0-43EA-81E3-06EB72836A44}"/>
    <hyperlink ref="H111" r:id="rId109" xr:uid="{0C5C1E87-ACF9-478A-AA71-B3BDFCB7276D}"/>
    <hyperlink ref="H112" r:id="rId110" xr:uid="{ED66A341-6C15-4454-93D3-C15242F96016}"/>
    <hyperlink ref="H113" r:id="rId111" xr:uid="{32F952EB-E566-4618-AE45-5ED0AFEF8CBB}"/>
    <hyperlink ref="H114" r:id="rId112" xr:uid="{C89E56DB-57A2-4D13-B627-FD87C4B00853}"/>
    <hyperlink ref="H115" r:id="rId113" xr:uid="{90560C84-29AE-424F-A7CE-502C72F16E2A}"/>
    <hyperlink ref="H116" r:id="rId114" xr:uid="{1A468A73-0D9F-460F-A9E2-F87F19764F05}"/>
    <hyperlink ref="H117" r:id="rId115" xr:uid="{9C36A507-78AF-448E-8CFA-DA7B58B4BB90}"/>
    <hyperlink ref="H118" r:id="rId116" xr:uid="{CAF10506-26E6-4E92-B13E-1685EFB7BE3B}"/>
    <hyperlink ref="H119" r:id="rId117" xr:uid="{1673BD11-3AC3-4A95-93B9-B6CEEDBF84E8}"/>
    <hyperlink ref="H120" r:id="rId118" xr:uid="{45E0A1F2-CF12-4DBF-91B0-F704F0156593}"/>
    <hyperlink ref="H121" r:id="rId119" xr:uid="{6BB3E707-AF48-4F68-BA9E-D5ED93B56CF4}"/>
    <hyperlink ref="H122" r:id="rId120" xr:uid="{7C667693-DBD9-4D36-A6C1-1A979A4370ED}"/>
    <hyperlink ref="H123" r:id="rId121" xr:uid="{A1B58660-D3A8-4A1B-AFB9-4D1A096098D8}"/>
    <hyperlink ref="H124" r:id="rId122" xr:uid="{76FC4EE9-1E1A-4A6B-84FA-458BC4FE0930}"/>
    <hyperlink ref="H125" r:id="rId123" xr:uid="{C3AC5D49-DDC7-48C2-87BE-A33463549B0B}"/>
    <hyperlink ref="H126" r:id="rId124" xr:uid="{CBADE3D9-4429-4169-A4B4-56649ADB20B7}"/>
    <hyperlink ref="H127" r:id="rId125" xr:uid="{820BAE85-8C70-4BB3-B986-3667F89337F3}"/>
    <hyperlink ref="H128" r:id="rId126" xr:uid="{2985C9B5-B5F3-40FB-8EDF-85839A43C56B}"/>
    <hyperlink ref="H129" r:id="rId127" xr:uid="{30CCFCD7-E4A3-4F78-AFE0-2B41E086A1EF}"/>
    <hyperlink ref="H130" r:id="rId128" xr:uid="{24AD76F8-B1BA-4F82-8924-A3A74399BE27}"/>
    <hyperlink ref="H131" r:id="rId129" xr:uid="{4FAA8485-B54B-46FE-84F9-E6FE237CE99E}"/>
    <hyperlink ref="H132" r:id="rId130" xr:uid="{74D427C9-072B-41CE-911E-0DFBF54A23AB}"/>
    <hyperlink ref="H133" r:id="rId131" xr:uid="{C30B9F03-6CA9-4FFA-800A-F81080EE4775}"/>
    <hyperlink ref="H134" r:id="rId132" xr:uid="{435FC05B-648E-4823-8E11-BBAAF6788895}"/>
    <hyperlink ref="H135" r:id="rId133" xr:uid="{91502BC5-EB04-4DF7-8D6B-46C413F7E624}"/>
    <hyperlink ref="H136" r:id="rId134" xr:uid="{82FC6A34-1321-4390-9586-99EF8C07CDFA}"/>
    <hyperlink ref="H137" r:id="rId135" xr:uid="{617DD325-AB20-4860-A24F-B297314DF5AB}"/>
    <hyperlink ref="H138" r:id="rId136" xr:uid="{75F53F0D-7F0A-416B-A995-F061974F72CE}"/>
    <hyperlink ref="H139" r:id="rId137" xr:uid="{03BED369-2657-4B0C-8A43-5215F95EAFC4}"/>
    <hyperlink ref="H140" r:id="rId138" xr:uid="{602C2090-CE3E-43DF-85BA-C5074125B41E}"/>
    <hyperlink ref="H141" r:id="rId139" xr:uid="{C426EE2E-2714-4A7B-89A6-2AD25189B7A5}"/>
    <hyperlink ref="H142" r:id="rId140" xr:uid="{A8D0E052-08EB-480C-A781-B72170A6E94A}"/>
    <hyperlink ref="H143" r:id="rId141" xr:uid="{86EE59E6-D303-4C92-AF4B-CF5E4DFF605E}"/>
    <hyperlink ref="H144" r:id="rId142" xr:uid="{22E58A7D-FCCF-4D3F-AB20-6D90C803E98B}"/>
    <hyperlink ref="H145" r:id="rId143" xr:uid="{9A6F50C9-40A8-4322-9552-A9D6E1FA3F53}"/>
    <hyperlink ref="H146" r:id="rId144" xr:uid="{137DD54D-7921-4B81-AAB8-760E46A9192A}"/>
    <hyperlink ref="H147" r:id="rId145" xr:uid="{356D902B-76CA-4ADE-832E-3377C274229A}"/>
    <hyperlink ref="H148" r:id="rId146" xr:uid="{1B48997F-759A-442F-8A45-2279CD95C5E5}"/>
    <hyperlink ref="H149" r:id="rId147" xr:uid="{58BBBB23-1361-40E9-BC5E-6DE626733E19}"/>
    <hyperlink ref="H150" r:id="rId148" xr:uid="{63EA2103-079F-455F-BFB0-B8966EF5F8A2}"/>
    <hyperlink ref="H151" r:id="rId149" xr:uid="{5A22268A-9E5A-4443-912D-D984261D956B}"/>
    <hyperlink ref="H152" r:id="rId150" xr:uid="{8D58285C-A6B5-4328-9EAC-A6D022C3D742}"/>
    <hyperlink ref="H153" r:id="rId151" xr:uid="{4037DAEB-5E2B-4242-8452-542CB7DB3CCB}"/>
    <hyperlink ref="H154" r:id="rId152" xr:uid="{2FD05AF9-B663-49D4-A21A-5DC74D0D4143}"/>
    <hyperlink ref="H155" r:id="rId153" xr:uid="{EAE4413F-90C9-4718-884B-3D5F389326FC}"/>
    <hyperlink ref="H156" r:id="rId154" xr:uid="{95AEB63F-5CC9-4E91-9B8C-4A86B5396DC0}"/>
    <hyperlink ref="H157" r:id="rId155" xr:uid="{C9077F09-EDF3-4C4D-AB44-74E3D3644178}"/>
    <hyperlink ref="H158" r:id="rId156" xr:uid="{337A95B1-C9DA-4750-A416-A9002DA6F1D0}"/>
    <hyperlink ref="H159" r:id="rId157" xr:uid="{2F8AE4E7-E63B-47BA-8B3F-A77B807B0F85}"/>
    <hyperlink ref="H160" r:id="rId158" xr:uid="{B04EE509-F319-49E6-8451-1740E234D4D7}"/>
    <hyperlink ref="H161" r:id="rId159" xr:uid="{F411E95C-42CB-4B0F-9F8B-F9D4435C4F54}"/>
    <hyperlink ref="H162" r:id="rId160" xr:uid="{724E314F-57EA-4BDA-9A7A-1F4306886483}"/>
    <hyperlink ref="H163" r:id="rId161" xr:uid="{FC9EEC8B-F520-4B39-929B-618EA4EF04D8}"/>
    <hyperlink ref="H164" r:id="rId162" xr:uid="{308C49CB-7B9A-4556-8A6B-13B0F88345A2}"/>
    <hyperlink ref="H165" r:id="rId163" xr:uid="{EF1C74E6-6588-47C7-8489-61173F67FFE1}"/>
    <hyperlink ref="H166" r:id="rId164" xr:uid="{B2323B1D-15A8-499B-85FA-884DBFD6EEC3}"/>
    <hyperlink ref="H167" r:id="rId165" xr:uid="{9B7F74B0-ABAE-45B6-A630-AF481CDA4EEC}"/>
    <hyperlink ref="H168" r:id="rId166" xr:uid="{1105F1DE-6B67-4BD1-BA6F-91802153DF8E}"/>
    <hyperlink ref="H169" r:id="rId167" xr:uid="{77D7688A-CFE7-4862-B7B6-99F05CC7C60A}"/>
    <hyperlink ref="H170" r:id="rId168" xr:uid="{6262CAF6-2C72-4D4F-BA36-79E8C12333DE}"/>
    <hyperlink ref="H171" r:id="rId169" xr:uid="{B73E96ED-B630-41D9-B420-0AF278F0DC00}"/>
    <hyperlink ref="H172" r:id="rId170" xr:uid="{F0FEE3D7-4C34-4FD9-97BF-1B401A89CD54}"/>
    <hyperlink ref="H173" r:id="rId171" xr:uid="{3CB6E5B4-3341-413A-85F1-8B8F5D19C0F2}"/>
    <hyperlink ref="H174" r:id="rId172" xr:uid="{4447189C-D3C4-4A97-9DDF-28432DD491AE}"/>
    <hyperlink ref="H175" r:id="rId173" xr:uid="{0E42449B-B7DD-4ABF-8719-6609D6CFDA78}"/>
    <hyperlink ref="H176" r:id="rId174" xr:uid="{70A36943-92B5-480A-A95C-07A200AC25A3}"/>
    <hyperlink ref="H177" r:id="rId175" xr:uid="{A2BEDB5B-7F5E-4CEF-9143-2303C93E2FE2}"/>
    <hyperlink ref="H178" r:id="rId176" xr:uid="{5B3918D5-739B-4574-A51D-B6BCE7DC0D15}"/>
    <hyperlink ref="H179" r:id="rId177" xr:uid="{4CBAA5D9-22C8-4ED6-B84D-B492E5DD70B8}"/>
    <hyperlink ref="H180" r:id="rId178" xr:uid="{7643272C-FB39-43A4-B75B-4832D084EC1C}"/>
    <hyperlink ref="H181" r:id="rId179" xr:uid="{2396E610-2063-4F34-9CDE-F027B688CA66}"/>
    <hyperlink ref="H182" r:id="rId180" xr:uid="{C3E6D961-6662-4E59-BDCC-58E7FCCCBD71}"/>
    <hyperlink ref="H183" r:id="rId181" xr:uid="{72B297B1-921A-44CA-B1AB-BC5777F37550}"/>
    <hyperlink ref="H184" r:id="rId182" xr:uid="{C52845BF-F7ED-4277-9FC9-167D85FF1362}"/>
    <hyperlink ref="H185" r:id="rId183" xr:uid="{E42151F2-3AA5-472C-BE3B-C19F7F8042C7}"/>
    <hyperlink ref="H186" r:id="rId184" xr:uid="{DF696919-8A1D-4843-8794-B4428AF46776}"/>
    <hyperlink ref="H187" r:id="rId185" xr:uid="{25EC5499-0699-40EA-9EAE-67947BC5DDD4}"/>
    <hyperlink ref="H188" r:id="rId186" xr:uid="{8B596452-F669-461A-8CFF-AE6265958CE1}"/>
    <hyperlink ref="H189" r:id="rId187" xr:uid="{FAB364EE-1A6A-43E5-8A3D-827751F1FDE5}"/>
    <hyperlink ref="H190" r:id="rId188" xr:uid="{292BFC40-D6AF-4669-9542-EC486533F8B8}"/>
    <hyperlink ref="H191" r:id="rId189" xr:uid="{774A092A-90E2-449C-9869-487DB1ED92B9}"/>
    <hyperlink ref="H192" r:id="rId190" xr:uid="{DD55FE26-3404-45A9-90D3-B725EC87F130}"/>
    <hyperlink ref="H193" r:id="rId191" xr:uid="{C887ACC4-9CAF-4BE1-B417-04951DF83229}"/>
    <hyperlink ref="H194" r:id="rId192" xr:uid="{42AB619C-B30A-4366-A396-913D47AD1DCA}"/>
    <hyperlink ref="H195" r:id="rId193" xr:uid="{D0EA66CD-8DEC-4413-9480-89ACCED28C85}"/>
    <hyperlink ref="H196" r:id="rId194" xr:uid="{238C75FA-0548-4064-8AE0-D5C124A9FB20}"/>
    <hyperlink ref="H197" r:id="rId195" xr:uid="{206F03A9-1EA0-40B7-8B45-530526D98602}"/>
    <hyperlink ref="H198" r:id="rId196" xr:uid="{C1D32977-D7EB-436D-8FE7-4D8F19F6A1B3}"/>
    <hyperlink ref="H199" r:id="rId197" xr:uid="{49ECCC2D-15DC-4494-9BFB-DF1DE30F64D1}"/>
    <hyperlink ref="H200" r:id="rId198" xr:uid="{B0D73BB5-1CA1-4A0A-B7C4-34ACCCBB5CAF}"/>
    <hyperlink ref="H201" r:id="rId199" xr:uid="{43589CDE-CFB9-4573-9D61-641969DA066E}"/>
    <hyperlink ref="H202" r:id="rId200" xr:uid="{FA504B00-4D90-49EF-86C3-56E7B0FA982F}"/>
    <hyperlink ref="H203" r:id="rId201" xr:uid="{74A57072-35BA-41C6-868F-1D2A447FFB46}"/>
    <hyperlink ref="H204" r:id="rId202" xr:uid="{BE3BB33A-3A55-450F-855D-FDA8F1536483}"/>
    <hyperlink ref="H205" r:id="rId203" xr:uid="{DEA7B513-C102-42E6-A068-AFB08BD051AD}"/>
    <hyperlink ref="H206" r:id="rId204" xr:uid="{F6A20192-9781-4746-A289-01264CCB6467}"/>
    <hyperlink ref="H207" r:id="rId205" xr:uid="{55C7220E-3C72-4D9F-A458-917C22793DCB}"/>
    <hyperlink ref="H208" r:id="rId206" xr:uid="{F9A63153-C971-4FCC-BDD6-B82741D94BD2}"/>
    <hyperlink ref="H209" r:id="rId207" xr:uid="{C487474F-1D14-4488-A171-EE89532E25B2}"/>
    <hyperlink ref="H210" r:id="rId208" xr:uid="{AD8D8ABD-E7DF-4F0A-B58B-AB2202EC385A}"/>
    <hyperlink ref="H211" r:id="rId209" xr:uid="{54A5BCFD-716A-4B55-98B2-E5EAD7E22D92}"/>
    <hyperlink ref="H212" r:id="rId210" xr:uid="{EA1C02DE-E2C7-46AA-80C1-3C71D347FC4D}"/>
    <hyperlink ref="H213" r:id="rId211" xr:uid="{A77FF8C7-B8DD-479C-85D6-EF2812FB843F}"/>
    <hyperlink ref="H214" r:id="rId212" xr:uid="{4904D8FA-8E9C-4A1E-8F4D-4AF436A82478}"/>
    <hyperlink ref="H215" r:id="rId213" xr:uid="{E2E9D80F-C59F-45D2-9AF8-68903FBBD1EC}"/>
    <hyperlink ref="H216" r:id="rId214" xr:uid="{84E5E1D3-3968-4582-A9E1-E06954A7F241}"/>
    <hyperlink ref="H217" r:id="rId215" xr:uid="{92E812A8-0167-4FF6-BEBB-0FE294DBF760}"/>
    <hyperlink ref="H218" r:id="rId216" xr:uid="{2F5AC75A-45DE-4006-B7E0-7A2D700102AB}"/>
    <hyperlink ref="H219" r:id="rId217" xr:uid="{BD0AA456-8C8B-4037-944F-D1AD744576AC}"/>
    <hyperlink ref="H220" r:id="rId218" xr:uid="{3A9B3826-EE7E-49E4-84B6-8EF8BD1A5732}"/>
    <hyperlink ref="H221" r:id="rId219" xr:uid="{E9A5D53C-2213-49CE-9AD3-7DE697EE6EA4}"/>
    <hyperlink ref="H222" r:id="rId220" xr:uid="{F48DCE28-8765-4E40-966B-C17B633A7DBC}"/>
    <hyperlink ref="H223" r:id="rId221" xr:uid="{14996D8F-048D-4E41-8414-DAFD189DAF3E}"/>
    <hyperlink ref="H224" r:id="rId222" xr:uid="{EF37B166-7A87-499D-B66D-02F149077332}"/>
    <hyperlink ref="H225" r:id="rId223" xr:uid="{B953FC8F-38FB-4DFF-ACE5-2EE030B989C9}"/>
    <hyperlink ref="H226" r:id="rId224" xr:uid="{565C3523-3FB2-4277-89D4-0352FFB83865}"/>
    <hyperlink ref="H227" r:id="rId225" xr:uid="{9A8D3B61-8F56-45B0-9E06-F81CA201D262}"/>
    <hyperlink ref="H228" r:id="rId226" xr:uid="{646824E5-483C-4532-9CF2-83C36A8784A7}"/>
    <hyperlink ref="H229" r:id="rId227" xr:uid="{245959BA-5A78-4156-9F56-F9B3E258EE82}"/>
    <hyperlink ref="H230" r:id="rId228" xr:uid="{BE1BEFC8-DB47-4CBA-8FA5-B08F4FB15788}"/>
    <hyperlink ref="H231" r:id="rId229" xr:uid="{37E1D32E-55F6-4096-9E42-1BFDE3E6F26E}"/>
    <hyperlink ref="H232" r:id="rId230" xr:uid="{E1EB9D48-98F1-4EA5-8101-A84DE32F4D6F}"/>
    <hyperlink ref="H233" r:id="rId231" xr:uid="{6CF47A07-96D8-40FF-9AA7-20A8EFF9F986}"/>
    <hyperlink ref="H234" r:id="rId232" xr:uid="{73D62243-52A7-47F6-85E5-D37FC84FA176}"/>
    <hyperlink ref="H235" r:id="rId233" xr:uid="{93220D8F-BF66-4E8C-AAFA-ACBB01C4E450}"/>
    <hyperlink ref="H236" r:id="rId234" xr:uid="{17B7779D-7E1B-4466-AAC7-FB497134761C}"/>
    <hyperlink ref="H237" r:id="rId235" xr:uid="{EC789A0A-557A-435F-88E6-E95B55119A22}"/>
    <hyperlink ref="H238" r:id="rId236" xr:uid="{4867BE9A-4B96-4FBE-A57F-953E74292454}"/>
    <hyperlink ref="H239" r:id="rId237" xr:uid="{6F6553D9-C448-45B9-AEF9-5035C5EF9672}"/>
    <hyperlink ref="H240" r:id="rId238" xr:uid="{18C6038F-FEFB-460D-840C-85499626B184}"/>
    <hyperlink ref="H241" r:id="rId239" xr:uid="{D96A9F0A-B96C-4979-9214-33EBE6FC42CC}"/>
    <hyperlink ref="H242" r:id="rId240" xr:uid="{22E65E64-1539-47E0-A99B-95CC5A33141B}"/>
    <hyperlink ref="H243" r:id="rId241" xr:uid="{EE14A588-F61B-4A2B-8BCF-521A3EDE29A3}"/>
    <hyperlink ref="H244" r:id="rId242" xr:uid="{6A60D4A0-4B9F-4EB0-B683-426B79C36829}"/>
    <hyperlink ref="H245" r:id="rId243" xr:uid="{6A4787F4-EE29-4842-99BB-357E2DCAB5BD}"/>
    <hyperlink ref="H246" r:id="rId244" xr:uid="{03970830-8088-484A-B79C-42A2F172C141}"/>
    <hyperlink ref="H247" r:id="rId245" xr:uid="{8B87C64E-ACA4-4CE8-B51D-5AA77F64DCC8}"/>
    <hyperlink ref="H248" r:id="rId246" xr:uid="{F38B9C46-C1F8-4253-8708-DA2EFD536B64}"/>
    <hyperlink ref="H249" r:id="rId247" xr:uid="{512EE2C4-2E23-4469-90E0-17B48C902391}"/>
    <hyperlink ref="H250" r:id="rId248" xr:uid="{453704E6-BD55-408B-A31A-4CBEED718508}"/>
    <hyperlink ref="H251" r:id="rId249" xr:uid="{475B11B3-8BBC-43A1-95C6-6B81160FA9DE}"/>
    <hyperlink ref="H252" r:id="rId250" xr:uid="{D29877F8-9F9B-4221-873D-4733444CDA0F}"/>
    <hyperlink ref="H253" r:id="rId251" xr:uid="{68474060-3238-4682-AB6B-62367314D2C7}"/>
    <hyperlink ref="H254" r:id="rId252" xr:uid="{6123DE68-104D-4C3E-8484-C9EEF954F7F9}"/>
    <hyperlink ref="H255" r:id="rId253" xr:uid="{F1484CCD-F0B0-4BD7-9036-28EDAB69187F}"/>
    <hyperlink ref="H256" r:id="rId254" xr:uid="{75C77223-46D8-48E1-8545-E62C1203E8AB}"/>
    <hyperlink ref="H257" r:id="rId255" xr:uid="{3428D7D6-F750-4A37-9D2C-2DA0C02D3C2E}"/>
    <hyperlink ref="H258" r:id="rId256" xr:uid="{E75097FC-2436-455D-9A86-4533CEB64F08}"/>
    <hyperlink ref="H259" r:id="rId257" xr:uid="{8B7CCB1D-15AE-4007-88C8-8B2A76FC2E89}"/>
    <hyperlink ref="H260" r:id="rId258" xr:uid="{4CFD8F67-0BED-4818-A941-90F0944CA14B}"/>
    <hyperlink ref="H261" r:id="rId259" xr:uid="{29D66C1F-267F-4E50-8D4F-6FBDA1528E0C}"/>
    <hyperlink ref="H262" r:id="rId260" xr:uid="{4ACA4015-D2F7-4D68-B005-84443C04A5EF}"/>
    <hyperlink ref="H263" r:id="rId261" xr:uid="{D9B92B32-DE87-4139-842B-1F5E5F13021D}"/>
    <hyperlink ref="H264" r:id="rId262" xr:uid="{5A5A49C9-99CB-4A01-9532-639B2FCD35FA}"/>
    <hyperlink ref="H265" r:id="rId263" xr:uid="{E53BBB3E-3AE2-4B49-9231-E329E6BA3358}"/>
    <hyperlink ref="H266" r:id="rId264" xr:uid="{6BE2305D-C364-4083-BDE8-D03F7DAFF49A}"/>
    <hyperlink ref="H267" r:id="rId265" xr:uid="{75527E6C-41AA-484E-8435-44497CAF16CB}"/>
    <hyperlink ref="H268" r:id="rId266" xr:uid="{61222AC2-BD78-44A4-8F00-3CD22C83BC1D}"/>
    <hyperlink ref="H269" r:id="rId267" xr:uid="{BDD3A812-3E0F-4629-A684-172D80ACF685}"/>
    <hyperlink ref="H270" r:id="rId268" xr:uid="{EAD580F7-7984-4299-B8D0-C7AEE16C0B1A}"/>
    <hyperlink ref="H271" r:id="rId269" xr:uid="{A2BEE1E4-F7FC-4C4E-B549-24D76AE5899F}"/>
    <hyperlink ref="H272" r:id="rId270" xr:uid="{89C6DB18-271A-4AAC-B248-3CDD195A22AD}"/>
    <hyperlink ref="H273" r:id="rId271" xr:uid="{CCCDDA9D-08DB-4682-84FC-436005A161DA}"/>
    <hyperlink ref="H274" r:id="rId272" xr:uid="{AFA2B37D-3AB3-41C9-A0AF-494650BB1C92}"/>
    <hyperlink ref="H275" r:id="rId273" xr:uid="{A4D178C2-C25C-4719-94FC-9EB6C6A8D66E}"/>
    <hyperlink ref="H276" r:id="rId274" xr:uid="{35E24121-87E2-4C08-B96D-F72BCDD56F63}"/>
    <hyperlink ref="H277" r:id="rId275" xr:uid="{428FDE52-D2A3-4A07-8AAB-E48367CC3857}"/>
    <hyperlink ref="H278" r:id="rId276" xr:uid="{B2372566-6B0F-423C-AA70-3EDAC267B78A}"/>
    <hyperlink ref="H279" r:id="rId277" xr:uid="{83CE79AE-3F88-45E0-AE0C-E433CF9C8B61}"/>
    <hyperlink ref="H280" r:id="rId278" xr:uid="{8399CCEB-DEA5-4AD7-BB32-315456F9999B}"/>
    <hyperlink ref="H281" r:id="rId279" xr:uid="{7CAFF7A3-E0E6-4673-B2C8-0B9B8F233580}"/>
    <hyperlink ref="H282" r:id="rId280" xr:uid="{0C651A17-CEEE-4F26-B994-6370B17F72BA}"/>
    <hyperlink ref="H283" r:id="rId281" xr:uid="{DD44046A-4CB7-439E-8712-8225C757C894}"/>
    <hyperlink ref="H284" r:id="rId282" xr:uid="{27A3F7FD-4E86-4ECE-B4A1-CE6EAFFBC9FB}"/>
    <hyperlink ref="H285" r:id="rId283" xr:uid="{A2E7CC90-B196-431F-998B-529CE2EE3DFA}"/>
    <hyperlink ref="H286" r:id="rId284" xr:uid="{6212B9CD-CBE2-46E3-93A8-6D8AF710470C}"/>
    <hyperlink ref="H287" r:id="rId285" xr:uid="{7C35BFBC-1324-4F9F-AB7B-24E14AB0029F}"/>
    <hyperlink ref="H288" r:id="rId286" xr:uid="{1CF08AE7-FC97-4252-99B7-A3AD79AB4C3D}"/>
    <hyperlink ref="H289" r:id="rId287" xr:uid="{A043CEB7-3CD6-4BDF-9A1E-35242D5F53C4}"/>
    <hyperlink ref="H290" r:id="rId288" xr:uid="{83F96753-1F9B-4F0E-B436-99E9EFCBD2FE}"/>
    <hyperlink ref="H291" r:id="rId289" xr:uid="{24EFB630-426F-4341-AFEC-DA47F3C93289}"/>
    <hyperlink ref="H292" r:id="rId290" xr:uid="{419E47CD-90DB-436C-BC4C-690271A71B3B}"/>
    <hyperlink ref="H293" r:id="rId291" xr:uid="{4C3B3905-F0CC-437B-8DA4-B6665853B58C}"/>
    <hyperlink ref="H294" r:id="rId292" xr:uid="{6DFE0DF1-3434-43D0-8B78-D6338E12C4E5}"/>
    <hyperlink ref="H295" r:id="rId293" xr:uid="{1DAE7E76-79BE-4A77-BC65-3F10E8551C10}"/>
    <hyperlink ref="H296" r:id="rId294" xr:uid="{3BFCA7A9-F58F-4E8E-B120-1498F33B08CA}"/>
    <hyperlink ref="H297" r:id="rId295" xr:uid="{1DC26002-65EE-46DE-8B08-D6FB4E69FAC3}"/>
    <hyperlink ref="H298" r:id="rId296" xr:uid="{E3594DC8-1C9D-4406-8AF8-B5DF5F97576E}"/>
    <hyperlink ref="H299" r:id="rId297" xr:uid="{F92CD0A7-A748-4AF0-835C-D8BAD98EF1C7}"/>
    <hyperlink ref="H300" r:id="rId298" xr:uid="{417A6E52-36EE-4DDC-9FF2-C4C57B6E16AC}"/>
    <hyperlink ref="H301" r:id="rId299" xr:uid="{A292C570-9343-47FB-8801-A8118E67E089}"/>
    <hyperlink ref="H302" r:id="rId300" xr:uid="{064606A3-C44A-4CEB-9840-23E3A52D3346}"/>
    <hyperlink ref="H303" r:id="rId301" xr:uid="{44F48CC7-F0E8-43A8-A01A-A6E62A0E7A11}"/>
    <hyperlink ref="H304" r:id="rId302" xr:uid="{36F1FD61-7898-4288-8844-6A86D770FEB4}"/>
    <hyperlink ref="H305" r:id="rId303" xr:uid="{882CE75F-7939-4569-81DA-B452AA59B6AD}"/>
    <hyperlink ref="H306" r:id="rId304" xr:uid="{527FF53C-740E-46B5-ABB3-40D7E88C01DB}"/>
    <hyperlink ref="H307" r:id="rId305" xr:uid="{07126965-D3C1-4985-A96B-176FA8740FA5}"/>
    <hyperlink ref="H308" r:id="rId306" xr:uid="{4DA7D626-2523-4EDD-BBFA-74FDF3219434}"/>
    <hyperlink ref="H309" r:id="rId307" xr:uid="{2CC1F652-9C30-4654-B8F5-97F8A46768D8}"/>
    <hyperlink ref="H310" r:id="rId308" xr:uid="{65BEA626-6A94-4282-9FC0-DE87E6320FF2}"/>
    <hyperlink ref="H311" r:id="rId309" xr:uid="{03705D34-3FD3-47B5-841E-8FBBB2C7A4BD}"/>
    <hyperlink ref="H312" r:id="rId310" xr:uid="{B653F2AB-0AF0-41BD-ADFA-9A4B6265ADD0}"/>
    <hyperlink ref="H313" r:id="rId311" xr:uid="{86E0608A-371C-43A4-B316-E2EA7386A320}"/>
    <hyperlink ref="H314" r:id="rId312" xr:uid="{01519FF6-2165-4DF1-962D-9864B7602293}"/>
    <hyperlink ref="H315" r:id="rId313" xr:uid="{3B5E65FC-8789-4AA4-8180-DCA039A06D31}"/>
    <hyperlink ref="H316" r:id="rId314" xr:uid="{8FE078E1-E168-4591-BE1D-E43FCD148C7C}"/>
    <hyperlink ref="H317" r:id="rId315" xr:uid="{D877B199-1A6F-4A18-948C-97D536607BD1}"/>
    <hyperlink ref="H318" r:id="rId316" xr:uid="{1C38D0F1-4A10-4974-8A76-66D71B5A24B5}"/>
    <hyperlink ref="H319" r:id="rId317" xr:uid="{6D092ADA-1897-4158-BABC-B7031276B032}"/>
    <hyperlink ref="H320" r:id="rId318" xr:uid="{5D103D00-229E-4C7F-91D5-662347549568}"/>
    <hyperlink ref="H321" r:id="rId319" xr:uid="{13080A83-CAE7-4313-8D16-22831BD04F28}"/>
    <hyperlink ref="H322" r:id="rId320" xr:uid="{2EAAB810-5346-443D-A570-E05733DECFA2}"/>
    <hyperlink ref="H323" r:id="rId321" xr:uid="{552540E4-2929-4621-957C-762E0D55E313}"/>
    <hyperlink ref="H324" r:id="rId322" xr:uid="{5395FC26-6BE1-4D69-B5E6-CB837F8FB871}"/>
    <hyperlink ref="H325" r:id="rId323" xr:uid="{0ACDECCF-C158-4374-A760-803FC9BF6EB5}"/>
    <hyperlink ref="H326" r:id="rId324" xr:uid="{C38F1F96-B638-47E2-A0DC-17425D6B569D}"/>
    <hyperlink ref="H327" r:id="rId325" xr:uid="{E3DC29F4-3DF0-4930-A95C-E1A04BAABE9C}"/>
    <hyperlink ref="H328" r:id="rId326" xr:uid="{1624DA30-0930-4D25-92BA-1B0D5B27BE5A}"/>
    <hyperlink ref="H329" r:id="rId327" xr:uid="{95FCE9B6-894F-473C-BC87-5B8755CC3C1B}"/>
    <hyperlink ref="H330" r:id="rId328" xr:uid="{48C859AB-3951-4A40-A85A-4C1A34291E24}"/>
    <hyperlink ref="H331" r:id="rId329" xr:uid="{E26AECF6-E250-48FA-B9DA-04FA0D80A288}"/>
    <hyperlink ref="H332" r:id="rId330" xr:uid="{75417D54-C7B2-4CA2-9C7F-90FB7BB77DDD}"/>
    <hyperlink ref="H333" r:id="rId331" xr:uid="{9F2EA544-ADDA-446C-A571-2C49C31116C2}"/>
    <hyperlink ref="H334" r:id="rId332" xr:uid="{3A6D293B-2698-43F9-86D6-A26E65AF2A77}"/>
    <hyperlink ref="H335" r:id="rId333" xr:uid="{59C5841C-8F9C-4ADB-BCA8-8EDE0435FAF6}"/>
    <hyperlink ref="H336" r:id="rId334" xr:uid="{EB2D9652-33EC-4A47-A362-AF992D64327F}"/>
    <hyperlink ref="H337" r:id="rId335" xr:uid="{88615D1F-0063-474E-800E-E1A7EDF2CF1A}"/>
    <hyperlink ref="H338" r:id="rId336" xr:uid="{FAB0D306-2D84-4968-9884-8275A0E3EC23}"/>
    <hyperlink ref="H339" r:id="rId337" xr:uid="{19BEABE3-9F44-4B65-8511-FEFA2410ED7F}"/>
    <hyperlink ref="H340" r:id="rId338" xr:uid="{B6A45900-A608-4D79-8242-EF0AFE3FCBF1}"/>
    <hyperlink ref="H341" r:id="rId339" xr:uid="{2F8BFE1F-2F39-4883-9AAC-5E53F54406CD}"/>
    <hyperlink ref="H342" r:id="rId340" xr:uid="{5ACC302D-014B-41B8-BC22-48125FF877D1}"/>
    <hyperlink ref="H343" r:id="rId341" xr:uid="{BC0EC18A-C2D0-4C87-802B-72AEDC09C385}"/>
    <hyperlink ref="H344" r:id="rId342" xr:uid="{31D7BDB9-210C-45A6-97FA-386291239EFA}"/>
    <hyperlink ref="H345" r:id="rId343" xr:uid="{FAB906E3-1400-4C55-8ED8-4ED06EC7154E}"/>
    <hyperlink ref="H346" r:id="rId344" xr:uid="{5D9BAF06-D0FE-4074-9EFE-168B41CC4133}"/>
    <hyperlink ref="H347" r:id="rId345" xr:uid="{60620345-8FF3-4DBB-AEDA-1B74110844DC}"/>
    <hyperlink ref="H348" r:id="rId346" xr:uid="{3F7241CE-77DA-48D9-AFEE-1FED4AB5F52D}"/>
    <hyperlink ref="H349" r:id="rId347" xr:uid="{0AAEE87F-FFDA-47AC-A6FF-6B8219244FEC}"/>
    <hyperlink ref="H350" r:id="rId348" xr:uid="{028D880E-C6A1-4A88-A1F1-EF683DD7B45E}"/>
    <hyperlink ref="H351" r:id="rId349" xr:uid="{600BFE8E-749D-4766-8BE9-BE3A521B0466}"/>
    <hyperlink ref="H352" r:id="rId350" xr:uid="{BAAD5524-568C-41B0-9CBC-C49C460CA837}"/>
    <hyperlink ref="H353" r:id="rId351" xr:uid="{9D78F494-E4BF-43AF-B9C2-82A5FAD40B54}"/>
    <hyperlink ref="H354" r:id="rId352" xr:uid="{E116545F-BAE1-4CE3-8166-5BC57A480D94}"/>
    <hyperlink ref="H355" r:id="rId353" xr:uid="{02B4DA22-60EA-46B1-9557-4311B6314145}"/>
    <hyperlink ref="H356" r:id="rId354" xr:uid="{19C0D628-9F90-4613-852B-A99B01D2435B}"/>
    <hyperlink ref="H357" r:id="rId355" xr:uid="{20964FF2-34D7-4B38-8F88-78BF7E02B047}"/>
    <hyperlink ref="H358" r:id="rId356" xr:uid="{43EF7998-5EFD-40F6-AF66-B72BEF54381D}"/>
    <hyperlink ref="H359" r:id="rId357" xr:uid="{F2FAF5C5-A117-4EDE-9BA4-F32E132C36A9}"/>
    <hyperlink ref="H360" r:id="rId358" xr:uid="{C97D2240-C3CF-457B-B1E7-028DB9A3A400}"/>
    <hyperlink ref="H361" r:id="rId359" xr:uid="{34C23513-EB6C-4FC8-A6BC-7590C1D3ED0F}"/>
    <hyperlink ref="H362" r:id="rId360" xr:uid="{BD0BB825-D3D8-4002-9768-8DAD9D6F5336}"/>
    <hyperlink ref="H363" r:id="rId361" xr:uid="{3A56821C-7C16-4BB6-8E5E-036B9CAF2CC5}"/>
    <hyperlink ref="H364" r:id="rId362" xr:uid="{CF3C2560-A89B-4D15-8D1E-318B06EDE885}"/>
    <hyperlink ref="H365" r:id="rId363" xr:uid="{3164CC40-FA7E-4408-BF3A-9E247A428FC4}"/>
    <hyperlink ref="H366" r:id="rId364" xr:uid="{AECC7341-AD57-4C59-807B-5945166E820A}"/>
    <hyperlink ref="H367" r:id="rId365" xr:uid="{AE0A42FE-E24D-4276-9105-1898E7C97851}"/>
    <hyperlink ref="H368" r:id="rId366" xr:uid="{D80ED185-274E-4F0E-BD8F-B84DED9AD5CF}"/>
    <hyperlink ref="H369" r:id="rId367" xr:uid="{FB4226F6-7516-4348-8124-FFE5C011FFED}"/>
    <hyperlink ref="H370" r:id="rId368" xr:uid="{50C5228A-6E26-4E92-A4FE-FD796FFC8FE5}"/>
    <hyperlink ref="H371" r:id="rId369" xr:uid="{1B0EBF27-BB32-408A-98FE-DDC9016C4F75}"/>
    <hyperlink ref="H372" r:id="rId370" xr:uid="{FD32FD69-09AF-4597-AEBF-9513F6D73969}"/>
    <hyperlink ref="H373" r:id="rId371" xr:uid="{9AD59EAA-EB23-4DAC-A5A1-9892910AF013}"/>
    <hyperlink ref="H374" r:id="rId372" xr:uid="{6EE7463A-B594-4256-A8A4-F5C4DFC01E03}"/>
    <hyperlink ref="H375" r:id="rId373" xr:uid="{A062BF7E-5650-4B48-885B-CF9DD3B13159}"/>
    <hyperlink ref="H376" r:id="rId374" xr:uid="{2B9DB27C-B3C6-4610-8442-277CE56873F7}"/>
    <hyperlink ref="H377" r:id="rId375" xr:uid="{A656F254-B255-4FAC-B25C-B40F0A3968E0}"/>
    <hyperlink ref="H378" r:id="rId376" xr:uid="{78EDF6AE-8367-45A3-B5B4-05C6B493A8F2}"/>
    <hyperlink ref="H379" r:id="rId377" xr:uid="{077C3BFA-6AA5-42C5-96FB-709022714EF8}"/>
    <hyperlink ref="H380" r:id="rId378" xr:uid="{0005A2C1-9433-4E39-B576-EF19F59CEB53}"/>
    <hyperlink ref="H381" r:id="rId379" xr:uid="{F7439353-043C-44B1-8BB6-1B58017E13A7}"/>
    <hyperlink ref="H382" r:id="rId380" xr:uid="{0CE196BC-BA72-48EB-8085-8E57D5B026F6}"/>
    <hyperlink ref="H383" r:id="rId381" xr:uid="{9B11027E-9E0D-4885-99FD-F65E5BC17FAB}"/>
    <hyperlink ref="H384" r:id="rId382" xr:uid="{27E881B3-0051-438D-9C76-6EAA3CEA8E11}"/>
    <hyperlink ref="H385" r:id="rId383" xr:uid="{E6BA2259-F36F-4450-BEFB-950D4CF7F4E7}"/>
    <hyperlink ref="H386" r:id="rId384" xr:uid="{35141A5C-7765-4E1A-87BA-A55A185E2C9F}"/>
    <hyperlink ref="H387" r:id="rId385" xr:uid="{3388CA17-2716-4893-9622-8A206263D980}"/>
    <hyperlink ref="H388" r:id="rId386" xr:uid="{23398424-B76F-404F-9066-FEB0F73F872C}"/>
    <hyperlink ref="H389" r:id="rId387" xr:uid="{FC67D69E-E4FE-4ECA-8311-828FDA9316C8}"/>
    <hyperlink ref="H390" r:id="rId388" xr:uid="{9E8DF31B-6B0E-4CAF-9AD1-D0FA3DA780CA}"/>
    <hyperlink ref="H391" r:id="rId389" xr:uid="{5F70A7E9-FDCB-4AB9-9573-0852C75448BF}"/>
    <hyperlink ref="H392" r:id="rId390" xr:uid="{C33118B9-1A3E-48C3-B726-0F699F8D842B}"/>
    <hyperlink ref="H393" r:id="rId391" xr:uid="{46BEDE5F-2254-46A8-AA3A-4E84D6A4CA4E}"/>
    <hyperlink ref="H394" r:id="rId392" xr:uid="{A67BD4BA-B322-4635-B8A7-798BBE87D5BA}"/>
    <hyperlink ref="H395" r:id="rId393" xr:uid="{E5B4E5B6-FBEB-4897-B12A-FA874CD90F51}"/>
    <hyperlink ref="H396" r:id="rId394" xr:uid="{045978A2-C8AF-4724-A138-2E53737F1B20}"/>
    <hyperlink ref="H397" r:id="rId395" xr:uid="{61918EA0-A819-4303-AFDE-C30A549C7D81}"/>
    <hyperlink ref="H398" r:id="rId396" xr:uid="{84D5B15B-CD70-48C3-9866-4AE70243251D}"/>
    <hyperlink ref="H399" r:id="rId397" xr:uid="{561FE267-7501-4AE8-A3A1-B1A9B99ED1A4}"/>
    <hyperlink ref="H400" r:id="rId398" xr:uid="{F3679BAC-DEEC-4766-BF84-A421A5E19D36}"/>
    <hyperlink ref="H401" r:id="rId399" xr:uid="{39989B36-41AC-4BA0-A6A2-E7D6EF55E4A4}"/>
    <hyperlink ref="H402" r:id="rId400" xr:uid="{F86FF14D-6A77-495E-A80E-9D172B465018}"/>
    <hyperlink ref="H403" r:id="rId401" xr:uid="{D7C16A94-D322-43C0-B918-5FCF04ADC214}"/>
    <hyperlink ref="H404" r:id="rId402" xr:uid="{D39E67FD-6C94-43E5-B5BB-C4421A3D0E23}"/>
    <hyperlink ref="H405" r:id="rId403" xr:uid="{CCA93E2E-2D0B-4869-8D3A-94424578AA82}"/>
    <hyperlink ref="H406" r:id="rId404" xr:uid="{A1074E75-A654-4A72-A6CF-03EB12ED1CC5}"/>
    <hyperlink ref="H407" r:id="rId405" xr:uid="{9B6A0DD0-0CD4-49D6-A58B-D7D9ED19F1F8}"/>
    <hyperlink ref="H408" r:id="rId406" xr:uid="{D1BC55F6-B90C-4C27-829A-002018844C61}"/>
    <hyperlink ref="H409" r:id="rId407" xr:uid="{D1B50252-5250-47AA-8785-F1D9F2CAD904}"/>
    <hyperlink ref="H410" r:id="rId408" xr:uid="{C0563D8B-67F6-4834-A8E2-C7ADCC544884}"/>
    <hyperlink ref="H411" r:id="rId409" xr:uid="{D4ECFC70-FFBF-4FEB-99CE-AB9903D6D381}"/>
    <hyperlink ref="H412" r:id="rId410" xr:uid="{6E0CB800-A6EC-4A5D-9F76-26A57539200B}"/>
    <hyperlink ref="H413" r:id="rId411" xr:uid="{2776DE9F-BF3C-4DDC-9CD5-66017BCCAF83}"/>
    <hyperlink ref="H414" r:id="rId412" xr:uid="{7E2A37B5-A5AC-4D68-BF5C-4906984B97B1}"/>
    <hyperlink ref="H415" r:id="rId413" xr:uid="{DDE38EF9-3B6E-4A14-94CC-F138F192CE37}"/>
    <hyperlink ref="H416" r:id="rId414" xr:uid="{53076088-BF42-44C7-A2C5-71400914491E}"/>
    <hyperlink ref="H417" r:id="rId415" xr:uid="{2667B74F-F279-482B-84F1-68C7FC5E80AF}"/>
    <hyperlink ref="H418" r:id="rId416" xr:uid="{4E414779-72F8-46B2-A94F-0C527C2C2484}"/>
    <hyperlink ref="H419" r:id="rId417" xr:uid="{3BA3E3C6-E8BF-494B-8B55-E5A6D0292969}"/>
    <hyperlink ref="H420" r:id="rId418" xr:uid="{D0905F5C-E760-41D9-9A20-625BEA1371C2}"/>
    <hyperlink ref="H421" r:id="rId419" xr:uid="{A264C826-2CF4-4A00-9ECE-EB0A1D8B9089}"/>
    <hyperlink ref="H422" r:id="rId420" xr:uid="{C80A7429-AC25-4588-8D95-3A3604E2E77F}"/>
    <hyperlink ref="H423" r:id="rId421" xr:uid="{053719C7-7CFF-441D-9D33-98B531435837}"/>
    <hyperlink ref="H424" r:id="rId422" xr:uid="{620CD49F-1822-4AAE-897D-BB691441B178}"/>
    <hyperlink ref="H425" r:id="rId423" xr:uid="{3D51C331-EB01-4B82-AB87-207CD3DF6783}"/>
    <hyperlink ref="H426" r:id="rId424" xr:uid="{51052CD4-4FFE-4027-9378-107522D6317A}"/>
    <hyperlink ref="H427" r:id="rId425" xr:uid="{ABBA14DC-BD95-4AFA-9B49-C5D74576F9E2}"/>
    <hyperlink ref="H428" r:id="rId426" xr:uid="{24248134-0B15-4123-8642-91CCEE239AAC}"/>
    <hyperlink ref="H429" r:id="rId427" xr:uid="{1CA958BF-F2D9-4AD5-8570-4BA8344A6E19}"/>
    <hyperlink ref="H430" r:id="rId428" xr:uid="{9E64B7B2-1EA7-473D-BFC4-17FAC1C80A1C}"/>
    <hyperlink ref="H431" r:id="rId429" xr:uid="{CC4FB93B-C6A5-46E6-B59A-14C79508C61A}"/>
    <hyperlink ref="H432" r:id="rId430" xr:uid="{A297715E-5A2D-47EF-AD58-83A94F340FFD}"/>
    <hyperlink ref="H433" r:id="rId431" xr:uid="{4797A9B8-24B2-4DD6-8E1A-14260D6A15B3}"/>
    <hyperlink ref="H434" r:id="rId432" xr:uid="{45F7F8B1-C3CC-44F6-807C-B5D5C9390074}"/>
    <hyperlink ref="H435" r:id="rId433" xr:uid="{06FD878D-06FC-488B-9D31-1C3A0F154BD4}"/>
    <hyperlink ref="H436" r:id="rId434" xr:uid="{00713035-08E4-4539-B7FC-56ACD68FD0FE}"/>
    <hyperlink ref="H437" r:id="rId435" xr:uid="{0EBE6BDA-1B16-4441-8AFD-7E1F0A555829}"/>
    <hyperlink ref="H438" r:id="rId436" xr:uid="{0E6DDAE5-0C11-47F7-AA07-356D157DC933}"/>
    <hyperlink ref="H439" r:id="rId437" xr:uid="{4D57B14F-7CEC-495F-A00F-1DA9E589AE95}"/>
    <hyperlink ref="H440" r:id="rId438" xr:uid="{7B59D260-7724-4FF1-868E-B25DEB689F3E}"/>
    <hyperlink ref="H441" r:id="rId439" xr:uid="{2078BC13-0A50-4516-AF94-F6CA67F388DB}"/>
    <hyperlink ref="H442" r:id="rId440" xr:uid="{E5418C81-B743-4772-ACBE-971D716ACB04}"/>
    <hyperlink ref="H443" r:id="rId441" xr:uid="{A4425715-1C76-4511-A580-4F23543E14B0}"/>
    <hyperlink ref="H444" r:id="rId442" xr:uid="{288F3049-3310-4E8A-828C-F0992D56BBBC}"/>
    <hyperlink ref="H445" r:id="rId443" xr:uid="{8AF45D61-BEF3-4CD9-9D47-0541EE0D491E}"/>
    <hyperlink ref="H446" r:id="rId444" xr:uid="{1617D4E5-1F1D-4461-A819-CAD1418B58AE}"/>
    <hyperlink ref="H447" r:id="rId445" xr:uid="{1EBAB3DB-48AA-4FEA-9FBE-ED33085EFFF2}"/>
    <hyperlink ref="H448" r:id="rId446" xr:uid="{72D0C153-4DAE-4586-B384-697E8FBF4D92}"/>
    <hyperlink ref="H449" r:id="rId447" xr:uid="{98418926-D00A-47F4-A32A-F90388F68B6C}"/>
    <hyperlink ref="H450" r:id="rId448" xr:uid="{A6E8142D-0BC0-4337-939C-26DA14301D23}"/>
    <hyperlink ref="H451" r:id="rId449" xr:uid="{9C3EE601-35EC-42D8-A238-9A8BF6B82AA7}"/>
    <hyperlink ref="H452" r:id="rId450" xr:uid="{80480214-1BDB-4EAD-9D0A-29B145BC99DB}"/>
    <hyperlink ref="H453" r:id="rId451" xr:uid="{6B2AA33F-B62A-487A-B36A-49C98993E844}"/>
    <hyperlink ref="H454" r:id="rId452" xr:uid="{8E15C9A0-F679-4399-8FC7-9AAB726621D5}"/>
    <hyperlink ref="H455" r:id="rId453" xr:uid="{9D776979-02AD-4FD3-89D8-AA949CE591B5}"/>
    <hyperlink ref="H456" r:id="rId454" xr:uid="{893A3C17-80BB-4AE7-A69B-AF0A6BED8475}"/>
    <hyperlink ref="H457" r:id="rId455" xr:uid="{1DF931CE-9BC7-47C8-BB7F-443AB7914C2F}"/>
    <hyperlink ref="H458" r:id="rId456" xr:uid="{86CBDBA9-FA46-4DB1-B0B4-67485AD806F6}"/>
    <hyperlink ref="H459" r:id="rId457" xr:uid="{CE9EBCCB-50EC-449E-B2C9-38893A1D1003}"/>
    <hyperlink ref="H460" r:id="rId458" xr:uid="{0CC8C8CE-8065-4D89-9A50-249EB3455CF9}"/>
    <hyperlink ref="H461" r:id="rId459" xr:uid="{C9291334-53D3-48B9-BEF9-DC90493632AA}"/>
    <hyperlink ref="H462" r:id="rId460" xr:uid="{EF8E47D3-EA46-4A3C-AC8F-47314FF01D09}"/>
    <hyperlink ref="H463" r:id="rId461" xr:uid="{BCA0CE67-6BFD-4831-9360-2C805D5AC985}"/>
    <hyperlink ref="H464" r:id="rId462" xr:uid="{7BAE4A69-3A61-4DAA-BC18-87C314A82567}"/>
    <hyperlink ref="H465" r:id="rId463" xr:uid="{E23D6D8B-59A7-4D2A-BABB-B1A1AD884431}"/>
    <hyperlink ref="H466" r:id="rId464" xr:uid="{FD1A9286-D87C-4794-BAEC-31A48A155B44}"/>
    <hyperlink ref="H467" r:id="rId465" xr:uid="{7D53CCCE-5C99-4F56-9E8A-682B2E2FA959}"/>
    <hyperlink ref="H468" r:id="rId466" xr:uid="{47298189-F539-4769-82FC-E05192C9C1D5}"/>
    <hyperlink ref="H469" r:id="rId467" xr:uid="{47312E86-4418-4B9D-B509-73167A3EC285}"/>
    <hyperlink ref="H470" r:id="rId468" xr:uid="{FC92D2CF-49E0-473A-8601-6215BDB02ED3}"/>
    <hyperlink ref="H471" r:id="rId469" xr:uid="{3E478D2D-F866-433F-BF05-AF180C949D1A}"/>
    <hyperlink ref="H472" r:id="rId470" xr:uid="{334D5AF6-7F84-4DAA-B917-FCC4F6CD8775}"/>
    <hyperlink ref="H473" r:id="rId471" xr:uid="{7F7254FF-97C1-401A-8B69-53720DA213E7}"/>
    <hyperlink ref="H474" r:id="rId472" xr:uid="{F2709A47-D156-4D3F-B32C-12152E695BC3}"/>
    <hyperlink ref="H475" r:id="rId473" xr:uid="{70965E89-7627-4C70-BB3B-CEA5119B892A}"/>
    <hyperlink ref="H476" r:id="rId474" xr:uid="{EBC5E440-BE48-464E-AD9E-F6B83B82ED26}"/>
    <hyperlink ref="H477" r:id="rId475" xr:uid="{4FC79EC6-8494-4131-9A75-0B339A955371}"/>
    <hyperlink ref="H478" r:id="rId476" xr:uid="{3BB4B4A6-81DC-4533-8543-C6120D8BF148}"/>
    <hyperlink ref="H479" r:id="rId477" xr:uid="{4A150D13-4658-40A0-84F7-F616D6D892C0}"/>
    <hyperlink ref="H480" r:id="rId478" xr:uid="{52FFA38F-5F26-4747-81B8-F81FA0D5184A}"/>
    <hyperlink ref="H481" r:id="rId479" xr:uid="{45A61E57-0C63-4D6A-B543-763C5730408A}"/>
    <hyperlink ref="H482" r:id="rId480" xr:uid="{96BE1F2F-149F-4E36-A8C2-A966EC6255B6}"/>
    <hyperlink ref="H483" r:id="rId481" xr:uid="{A122A2FB-76BD-487C-A169-D6028BB575B0}"/>
    <hyperlink ref="H484" r:id="rId482" xr:uid="{F222E35F-BB4A-4102-B9D8-489575E0D96A}"/>
    <hyperlink ref="H485" r:id="rId483" xr:uid="{22CC19C3-17E1-4C4D-869B-8CC4924B6DF3}"/>
    <hyperlink ref="H486" r:id="rId484" xr:uid="{6BF90211-5D7E-4439-9CC5-20691111DBA4}"/>
    <hyperlink ref="H487" r:id="rId485" xr:uid="{078175A4-EE80-460E-B73C-9BE3627300A8}"/>
    <hyperlink ref="H488" r:id="rId486" xr:uid="{C5140301-5333-40B3-AD31-9C45A19B5083}"/>
    <hyperlink ref="H489" r:id="rId487" xr:uid="{4826C1DB-1906-4F86-B3DC-26E1ABC698D0}"/>
    <hyperlink ref="H490" r:id="rId488" xr:uid="{8D2D2BEB-2CE6-4BD6-9297-33D5869A00AC}"/>
    <hyperlink ref="H491" r:id="rId489" xr:uid="{CED0DFFE-1C55-48BE-9063-FF430C2792D1}"/>
    <hyperlink ref="H492" r:id="rId490" xr:uid="{B5DA2DD4-C171-4E02-989D-639A1DA2EE02}"/>
    <hyperlink ref="H493" r:id="rId491" xr:uid="{860061BB-8465-499C-B1DF-CA66EC0DB127}"/>
    <hyperlink ref="H494" r:id="rId492" xr:uid="{19720F10-9F82-442A-BFAA-3A9285682217}"/>
    <hyperlink ref="H495" r:id="rId493" xr:uid="{F7F2222C-2FE4-42ED-B3E9-8A3DDA03B11E}"/>
    <hyperlink ref="H496" r:id="rId494" xr:uid="{72278B9F-A167-4222-91C5-407979E14471}"/>
    <hyperlink ref="H497" r:id="rId495" xr:uid="{E0002539-5511-4046-BB21-C91BA91A9A98}"/>
    <hyperlink ref="H498" r:id="rId496" xr:uid="{C7252ABA-88A7-4C4C-8272-686818E5577E}"/>
    <hyperlink ref="H499" r:id="rId497" xr:uid="{EA4FE3EE-78AF-4EB7-B858-37A38D771435}"/>
    <hyperlink ref="H500" r:id="rId498" xr:uid="{BEBC8C4D-9A63-4E4C-BB0C-88EF97B58BFC}"/>
    <hyperlink ref="H501" r:id="rId499" xr:uid="{FF8A9E6C-BF8E-4385-8EA4-52E1772D192D}"/>
    <hyperlink ref="H502" r:id="rId500" xr:uid="{3A652314-A1EF-4502-B5B9-1E5F007D061F}"/>
    <hyperlink ref="H503" r:id="rId501" xr:uid="{2436BDA6-5BAD-4A17-9AD2-DB288D2DE42C}"/>
    <hyperlink ref="H504" r:id="rId502" xr:uid="{0752E8E4-865B-41FB-B922-F717D16BC746}"/>
    <hyperlink ref="H505" r:id="rId503" xr:uid="{E0D5CFC1-3E8D-42BF-908E-07BBDB24092B}"/>
    <hyperlink ref="H506" r:id="rId504" xr:uid="{6DC17E0D-0296-4A83-A683-24B7D5F54724}"/>
    <hyperlink ref="H507" r:id="rId505" xr:uid="{99D844D9-6370-467C-9A48-EBD8830662EB}"/>
    <hyperlink ref="H508" r:id="rId506" xr:uid="{33978105-57C7-486D-B1D0-807C8ACDD53C}"/>
    <hyperlink ref="H509" r:id="rId507" xr:uid="{A998F1EE-CAE3-416D-B8B1-89885A3FFE1C}"/>
    <hyperlink ref="H510" r:id="rId508" xr:uid="{8F687E34-B59D-4878-A60A-6DE6BC94B2AA}"/>
    <hyperlink ref="H511" r:id="rId509" xr:uid="{4338CEF2-3258-4A2A-865E-B0C1BF1ACC6F}"/>
    <hyperlink ref="H512" r:id="rId510" xr:uid="{B153EEF1-2459-4327-A131-DB014E7ECDE4}"/>
    <hyperlink ref="H513" r:id="rId511" xr:uid="{38C41C36-EE7D-4565-9D5D-2ABC4DA2A830}"/>
    <hyperlink ref="H514" r:id="rId512" xr:uid="{0921944E-085B-4C9E-8446-E727F7FAF7CA}"/>
    <hyperlink ref="H515" r:id="rId513" xr:uid="{9E8E4298-F558-4BE5-B5E9-E287A179F82A}"/>
    <hyperlink ref="H516" r:id="rId514" xr:uid="{9BB30D24-313E-4247-AC6E-4FA79A96E441}"/>
    <hyperlink ref="H517" r:id="rId515" xr:uid="{AE67912D-B7EB-4584-9580-B54216795508}"/>
    <hyperlink ref="H518" r:id="rId516" xr:uid="{0E7FBCB5-DF33-4649-8D7F-4955BA30139C}"/>
    <hyperlink ref="H519" r:id="rId517" xr:uid="{2A946D3E-300B-4F16-ADB6-BEEE9CF31F87}"/>
    <hyperlink ref="H520" r:id="rId518" xr:uid="{0C959249-42E9-4C92-828C-2919D103A500}"/>
    <hyperlink ref="H521" r:id="rId519" xr:uid="{1B04BDFE-4693-4EA8-9D66-8953D12C25BE}"/>
    <hyperlink ref="H522" r:id="rId520" xr:uid="{5707C7F1-3596-4375-B49A-819864B9B20D}"/>
    <hyperlink ref="H523" r:id="rId521" xr:uid="{DFAF2FA7-CF13-421A-9FE4-18B0BFAE6EA3}"/>
    <hyperlink ref="H524" r:id="rId522" xr:uid="{319E02CD-CE75-405A-B2C6-D52A11A1F808}"/>
    <hyperlink ref="H525" r:id="rId523" xr:uid="{6FBBA6F6-AE37-4239-8743-F617CA587177}"/>
    <hyperlink ref="H526" r:id="rId524" xr:uid="{60CA644A-CF30-45F0-81D5-F4E4356EF686}"/>
    <hyperlink ref="H527" r:id="rId525" xr:uid="{3EFDB3F6-0D58-4902-8AAA-488E60C43F49}"/>
    <hyperlink ref="H528" r:id="rId526" xr:uid="{F5BB8831-8F92-4CB1-B4C0-D25D75478D40}"/>
    <hyperlink ref="H529" r:id="rId527" xr:uid="{1A6C1FA1-9496-4598-B9A1-2073936FE142}"/>
    <hyperlink ref="H530" r:id="rId528" xr:uid="{43E27B54-8073-4A58-8390-3EAC9C974E7A}"/>
    <hyperlink ref="H531" r:id="rId529" xr:uid="{DAECB02A-5481-495B-B135-54AC7229D7DE}"/>
    <hyperlink ref="H532" r:id="rId530" xr:uid="{32545661-1565-41FA-9A14-B3C11D1AC04E}"/>
    <hyperlink ref="H533" r:id="rId531" xr:uid="{19020BC8-7B11-4A6D-B011-219AE0E9A78B}"/>
    <hyperlink ref="H534" r:id="rId532" xr:uid="{868404BB-4502-4F7A-8AC8-1AC76846A465}"/>
    <hyperlink ref="H535" r:id="rId533" xr:uid="{B51D27CA-8BBC-44FB-8220-7640B8379FA2}"/>
    <hyperlink ref="H536" r:id="rId534" xr:uid="{14998344-600F-4913-AD4B-96F1C6E77B4F}"/>
    <hyperlink ref="H537" r:id="rId535" xr:uid="{93F5E172-9151-4B0D-A6EE-AD614F00C8D6}"/>
    <hyperlink ref="H538" r:id="rId536" xr:uid="{2A9671A4-0BB2-4A7B-B182-3725190EECC0}"/>
    <hyperlink ref="H539" r:id="rId537" xr:uid="{7DF7DA4D-6304-46BD-8999-79F9D4731AEF}"/>
    <hyperlink ref="H540" r:id="rId538" xr:uid="{52C7EA95-0626-48BF-8BCA-6E265D2217A8}"/>
    <hyperlink ref="H541" r:id="rId539" xr:uid="{CB53F368-231C-4176-9467-17101CD6661B}"/>
    <hyperlink ref="H542" r:id="rId540" xr:uid="{465B36D1-D842-452F-8F38-4B15976FB017}"/>
    <hyperlink ref="H543" r:id="rId541" xr:uid="{2B6944B4-364D-44FE-9146-4EFE77D89E1D}"/>
    <hyperlink ref="H544" r:id="rId542" xr:uid="{6EB28545-94C5-43C3-BA64-134B05A980CE}"/>
    <hyperlink ref="H545" r:id="rId543" xr:uid="{84199508-19A3-420F-9256-9834C7AAEEFA}"/>
    <hyperlink ref="H546" r:id="rId544" xr:uid="{1277A66B-59FB-4D4B-B438-E8047C3124CD}"/>
    <hyperlink ref="H547" r:id="rId545" xr:uid="{8EBCFFC6-FFBF-4ED0-AE82-19B2DA0F0D43}"/>
    <hyperlink ref="H548" r:id="rId546" xr:uid="{1F6CE5F9-BD66-4E96-BA18-E1B38F6A18EC}"/>
    <hyperlink ref="H549" r:id="rId547" xr:uid="{908C9BCB-CFCD-4CE4-A8C3-CFF573057C22}"/>
    <hyperlink ref="H550" r:id="rId548" xr:uid="{0E2A2D27-862D-4B98-8666-B60AD4C80CC3}"/>
    <hyperlink ref="H551" r:id="rId549" xr:uid="{64C0D707-6FD3-4760-AE36-2D634FFCE870}"/>
    <hyperlink ref="H552" r:id="rId550" xr:uid="{5671C01E-C9B5-4EB9-B365-53B43F491C4F}"/>
    <hyperlink ref="H553" r:id="rId551" xr:uid="{05CD2E2F-ED2B-41FC-9CF6-F45B4FAFCFB0}"/>
    <hyperlink ref="H554" r:id="rId552" xr:uid="{05366933-94DB-495A-8A64-45E1157D0DC0}"/>
    <hyperlink ref="H555" r:id="rId553" xr:uid="{9AAB4C5B-C149-4F97-91B3-F8AAE1B6AF0F}"/>
    <hyperlink ref="H556" r:id="rId554" xr:uid="{A2AE46A3-FBAD-4321-8352-4827B7ECFF0D}"/>
    <hyperlink ref="H557" r:id="rId555" xr:uid="{D15C589B-18AE-4C3B-BBBF-BE143AC0A50C}"/>
    <hyperlink ref="H558" r:id="rId556" xr:uid="{FAA03571-B8F3-42AA-8C68-6D6003653C49}"/>
    <hyperlink ref="H559" r:id="rId557" xr:uid="{16F4BBE9-E07D-417F-A186-936056D2943A}"/>
    <hyperlink ref="H560" r:id="rId558" xr:uid="{8FD0BBB9-6C08-4496-BA18-E997BDA22B1D}"/>
    <hyperlink ref="H561" r:id="rId559" xr:uid="{E48AFC8A-4605-44BF-8689-E04A0CAC0145}"/>
    <hyperlink ref="H562" r:id="rId560" xr:uid="{41092864-2666-4144-9254-EF6CBAACA9C3}"/>
    <hyperlink ref="H563" r:id="rId561" xr:uid="{B97BDF95-D7B3-4630-ACA0-F664BBB9C2BC}"/>
    <hyperlink ref="H564" r:id="rId562" xr:uid="{F16ACF67-7209-4341-A865-089277FCFCA7}"/>
    <hyperlink ref="H565" r:id="rId563" xr:uid="{23477C7F-354D-4C05-8CCF-1C927D0E80E1}"/>
    <hyperlink ref="H566" r:id="rId564" xr:uid="{1F3606DB-838D-4A2C-B5CA-F615F1D3A434}"/>
    <hyperlink ref="H567" r:id="rId565" xr:uid="{42DD912B-E825-4D8C-B1C6-138FA2D6344B}"/>
    <hyperlink ref="H568" r:id="rId566" xr:uid="{21613EEC-27DF-4E47-85C2-87B126EFEF21}"/>
    <hyperlink ref="H569" r:id="rId567" xr:uid="{8434D198-32C3-4495-ABE8-B1DC7D7209FF}"/>
    <hyperlink ref="H570" r:id="rId568" xr:uid="{018A42B8-B7A3-4D3D-9B09-B6E77DE3E5C7}"/>
    <hyperlink ref="H571" r:id="rId569" xr:uid="{07392E02-A015-4300-99EC-8017BA418FB1}"/>
    <hyperlink ref="H572" r:id="rId570" xr:uid="{65AF5384-EACE-419F-B4A9-5D558CB4F3B1}"/>
    <hyperlink ref="H573" r:id="rId571" xr:uid="{45FD4C7A-E1DD-48A1-AB7F-154A9422496B}"/>
    <hyperlink ref="H574" r:id="rId572" xr:uid="{870429CD-DE60-448D-8377-789ABE538BE6}"/>
    <hyperlink ref="H575" r:id="rId573" xr:uid="{8ACABF8A-A7EA-4B47-A617-286BF9D2A2A3}"/>
    <hyperlink ref="H576" r:id="rId574" xr:uid="{EBBE1DA5-0843-4C05-800C-9031794A8F31}"/>
    <hyperlink ref="H577" r:id="rId575" xr:uid="{FF8E287D-9F6A-48B3-8BD6-D8115FD6DCF3}"/>
    <hyperlink ref="H578" r:id="rId576" xr:uid="{37C14738-D5D8-42DA-97D5-38707BBEC906}"/>
    <hyperlink ref="H579" r:id="rId577" xr:uid="{EB10E94A-29D2-4DBB-BCF8-DB8D32A0E983}"/>
    <hyperlink ref="H580" r:id="rId578" xr:uid="{13C2B7F4-71C8-404D-B777-F5425CDC3505}"/>
    <hyperlink ref="H581" r:id="rId579" xr:uid="{CF029A33-7ABB-4EE1-8213-53E5326F0CC4}"/>
    <hyperlink ref="H582" r:id="rId580" xr:uid="{4118917D-AE6D-4C7A-B09A-4AD0BA8FD841}"/>
    <hyperlink ref="H583" r:id="rId581" xr:uid="{AAD7A8A0-DBF5-42CF-BD81-82E7B44962A8}"/>
    <hyperlink ref="H584" r:id="rId582" xr:uid="{1EC0D48C-1AEE-493D-87F5-45992D0A4734}"/>
    <hyperlink ref="H585" r:id="rId583" xr:uid="{CF5EF0FB-7A0B-4F15-8C64-2BEB4EFD14A0}"/>
    <hyperlink ref="H586" r:id="rId584" xr:uid="{CEF3B1A7-B38F-4130-A17A-5ECE270D8051}"/>
    <hyperlink ref="H587" r:id="rId585" xr:uid="{AF4A7BA6-33BE-478A-ABC9-2235828588E9}"/>
    <hyperlink ref="H588" r:id="rId586" xr:uid="{4C07ACF0-DBCE-45E4-A1DA-F4540CD5DB7F}"/>
    <hyperlink ref="H589" r:id="rId587" xr:uid="{6B0EBC15-0DC9-48FC-8EED-A1C39A89FE9B}"/>
    <hyperlink ref="H590" r:id="rId588" xr:uid="{014A453D-00BF-4456-B998-06496A5F10EA}"/>
    <hyperlink ref="H591" r:id="rId589" xr:uid="{32F0F887-2B91-47DB-A81B-6A0FE3A0F847}"/>
    <hyperlink ref="H592" r:id="rId590" xr:uid="{82DFEB31-E9C5-4056-AE50-53A35139034F}"/>
    <hyperlink ref="H593" r:id="rId591" xr:uid="{6AEEB29E-EFA5-49F2-9B50-72212197A33E}"/>
    <hyperlink ref="H594" r:id="rId592" xr:uid="{32BB8ADD-754B-4859-822B-9CE8B1F687C6}"/>
    <hyperlink ref="H595" r:id="rId593" xr:uid="{7510EF84-AEC7-485C-820E-8504E38986F1}"/>
    <hyperlink ref="H596" r:id="rId594" xr:uid="{C30F8F2A-3566-4991-8BC5-445D2276548E}"/>
    <hyperlink ref="H597" r:id="rId595" xr:uid="{4EA56C19-D5CD-43F0-99DA-7698D9E80D75}"/>
    <hyperlink ref="H598" r:id="rId596" xr:uid="{82CD472B-F935-40AF-BDCB-70D227204D3D}"/>
    <hyperlink ref="H599" r:id="rId597" xr:uid="{9F210342-4B85-41B5-91C4-1BE43364E5A6}"/>
    <hyperlink ref="H600" r:id="rId598" xr:uid="{08A50F7C-1404-4454-A842-A832C0DCE316}"/>
    <hyperlink ref="H601" r:id="rId599" xr:uid="{2DD8E2CD-138C-4F59-9787-2C7AE8D3E258}"/>
    <hyperlink ref="H602" r:id="rId600" xr:uid="{495A6E6D-C5D0-4365-8B99-E293E7368BC0}"/>
    <hyperlink ref="H603" r:id="rId601" xr:uid="{CACF3EEB-9A50-458C-AAEF-A30419960289}"/>
    <hyperlink ref="H604" r:id="rId602" xr:uid="{0E1FE7EE-B98F-40FD-B426-432A39489CD7}"/>
    <hyperlink ref="H605" r:id="rId603" xr:uid="{92DB1F0A-899E-4DA2-AEA3-78B6F42817AC}"/>
    <hyperlink ref="H606" r:id="rId604" xr:uid="{8B997626-1955-4983-A32B-F811A6A7771F}"/>
    <hyperlink ref="H607" r:id="rId605" xr:uid="{F435934C-F845-42AF-AB10-3B1F3DBF2C66}"/>
    <hyperlink ref="H608" r:id="rId606" xr:uid="{E517E755-A28E-4749-9333-77B0E4F01E51}"/>
    <hyperlink ref="H609" r:id="rId607" xr:uid="{842E3F8D-60B8-46CF-9AC1-49C163F49002}"/>
    <hyperlink ref="H610" r:id="rId608" xr:uid="{EEED495E-DFBD-4BDF-BC44-63AC52C1EED4}"/>
    <hyperlink ref="H611" r:id="rId609" xr:uid="{63E4B4A3-CB0C-48F4-94E0-5F422BABAFE3}"/>
    <hyperlink ref="H612" r:id="rId610" xr:uid="{2FBC0387-65B7-4A2C-B190-A4813EC9EDF6}"/>
    <hyperlink ref="H613" r:id="rId611" xr:uid="{BE9767C9-1AA2-4C2E-8ADB-57DE8147FBB3}"/>
    <hyperlink ref="H614" r:id="rId612" xr:uid="{95FF3E2F-CB2A-46B5-9A60-1A7A2769E9BE}"/>
    <hyperlink ref="H615" r:id="rId613" xr:uid="{9337C649-F173-4E6F-B6C3-42001E2E9640}"/>
    <hyperlink ref="H616" r:id="rId614" xr:uid="{1E9A66DB-FBD7-4112-BBBD-9D45BAEF88BA}"/>
    <hyperlink ref="H617" r:id="rId615" xr:uid="{CE200618-1F0E-4292-B1F6-D7661D949684}"/>
    <hyperlink ref="H618" r:id="rId616" xr:uid="{BF353C25-9A70-46C8-869A-1F4CAC63F783}"/>
    <hyperlink ref="H619" r:id="rId617" xr:uid="{83AFEBC0-56D6-44B6-B3CB-50A3F5D649B1}"/>
    <hyperlink ref="H620" r:id="rId618" xr:uid="{95518CFD-E39C-45AF-AF45-C9BA71EDCBCC}"/>
    <hyperlink ref="H621" r:id="rId619" xr:uid="{19FBE2A0-2CFD-4968-A29F-873B83C25CFC}"/>
    <hyperlink ref="H622" r:id="rId620" xr:uid="{14BC08A4-7C30-4228-9F97-310B24C23AAA}"/>
    <hyperlink ref="H623" r:id="rId621" xr:uid="{8940728B-7438-4E4F-B78A-0BA3535CEAD6}"/>
    <hyperlink ref="H624" r:id="rId622" xr:uid="{0BC99724-EDDE-4493-B504-C1A8C5598E36}"/>
    <hyperlink ref="H625" r:id="rId623" xr:uid="{9FD4C581-F772-42D6-94FF-EDAFE8459938}"/>
    <hyperlink ref="H626" r:id="rId624" xr:uid="{03C4C77B-33E6-4C7B-8928-AFFE22130BF5}"/>
    <hyperlink ref="H627" r:id="rId625" xr:uid="{D9B4EE1E-A246-46FC-88E8-8D31FFFD1219}"/>
    <hyperlink ref="H628" r:id="rId626" xr:uid="{2F4A9069-833A-4D65-8B97-B14427941B11}"/>
    <hyperlink ref="H629" r:id="rId627" xr:uid="{D9983CC2-8F69-4E5A-A288-0AAB449B5208}"/>
    <hyperlink ref="H630" r:id="rId628" xr:uid="{9EAF307C-498B-4296-88CD-1E28B6F568C4}"/>
    <hyperlink ref="H631" r:id="rId629" xr:uid="{C041AE7F-014B-4D7E-B045-1938B0BA15FC}"/>
    <hyperlink ref="H632" r:id="rId630" xr:uid="{3135464F-513C-45CB-8696-BAC908CD3B8D}"/>
    <hyperlink ref="H633" r:id="rId631" xr:uid="{1163A3BF-A095-4C39-B96A-4F1C3247DE76}"/>
    <hyperlink ref="H634" r:id="rId632" xr:uid="{C97713AD-3947-47A0-9BE3-302F15AD1676}"/>
    <hyperlink ref="H635" r:id="rId633" xr:uid="{1185820D-5FF2-4E66-A2F1-915D95A4B77B}"/>
    <hyperlink ref="H636" r:id="rId634" xr:uid="{6B4B0BCB-EF79-4F84-B2E3-3619C0E58BC8}"/>
    <hyperlink ref="H637" r:id="rId635" xr:uid="{948A9051-DDEC-4D36-B5A8-7B2E556F6AA6}"/>
    <hyperlink ref="H638" r:id="rId636" xr:uid="{EA583BE8-41F0-489B-87AB-71646AC4BC7F}"/>
    <hyperlink ref="H639" r:id="rId637" xr:uid="{F28FBE0B-EA28-4CE1-ADD1-633283807996}"/>
    <hyperlink ref="H640" r:id="rId638" xr:uid="{D8A58F84-CFEA-42CE-B590-79D4225AC119}"/>
    <hyperlink ref="H641" r:id="rId639" xr:uid="{D7BFD120-E23F-4A67-BE15-A5225FC4F6EE}"/>
    <hyperlink ref="H642" r:id="rId640" xr:uid="{DE1BF0DB-3799-4FE0-AEB6-6D4EDB5FED38}"/>
    <hyperlink ref="H643" r:id="rId641" xr:uid="{37DB56F0-26E1-471C-9037-F075A944AEE3}"/>
    <hyperlink ref="H644" r:id="rId642" xr:uid="{D3A18E10-700B-4585-A77F-5E7A72047B51}"/>
    <hyperlink ref="H645" r:id="rId643" xr:uid="{8444FE74-BC0D-497C-9094-B7CA36E3BE1A}"/>
    <hyperlink ref="H646" r:id="rId644" xr:uid="{0214BCA5-EF67-4DBB-BBA9-941828B200EB}"/>
    <hyperlink ref="H647" r:id="rId645" xr:uid="{02726FB4-871F-46E5-B703-A3B3D3F593C4}"/>
    <hyperlink ref="H648" r:id="rId646" xr:uid="{E95940DE-3B61-4BD8-B047-AA20C7ABE48D}"/>
    <hyperlink ref="H649" r:id="rId647" xr:uid="{4BB0E803-F17C-4DD7-93B4-B54134A0EFA6}"/>
    <hyperlink ref="H650" r:id="rId648" xr:uid="{C8D8B6EC-1F86-43CC-8A96-A3B72B6C9517}"/>
    <hyperlink ref="H651" r:id="rId649" xr:uid="{85A4F04B-51F2-41D7-95B8-74D9F246AF90}"/>
    <hyperlink ref="H652" r:id="rId650" xr:uid="{57229A01-7FE2-4214-8224-63F5DC4D5C03}"/>
    <hyperlink ref="H653" r:id="rId651" xr:uid="{7DDFC46F-06FD-424C-A046-C58207A40278}"/>
    <hyperlink ref="H654" r:id="rId652" xr:uid="{95623526-CDBB-4B2A-A9AA-F393E5BB54BB}"/>
    <hyperlink ref="H655" r:id="rId653" xr:uid="{CF165ED3-563B-4BFD-ACE4-656A867CFE9C}"/>
    <hyperlink ref="H656" r:id="rId654" xr:uid="{00A180FF-7DC3-418E-BEE4-55182AAE1AD2}"/>
    <hyperlink ref="H657" r:id="rId655" xr:uid="{BFB5738E-0D8F-4540-AF01-2DA15BE51A31}"/>
    <hyperlink ref="H658" r:id="rId656" xr:uid="{0C9E3CAF-AA16-45E3-ABC9-8513EEE5014C}"/>
    <hyperlink ref="H659" r:id="rId657" xr:uid="{A91C9797-F2CF-4924-B16C-161B9427A797}"/>
    <hyperlink ref="H660" r:id="rId658" xr:uid="{ECCA8E10-7CCF-46D0-B003-5AED03D854B4}"/>
    <hyperlink ref="H661" r:id="rId659" xr:uid="{40B2E3FA-A98D-4379-9927-A7CC0D997D35}"/>
    <hyperlink ref="H662" r:id="rId660" xr:uid="{1A384FF1-8C3B-48DB-8D74-D7FAF794AFD6}"/>
    <hyperlink ref="H663" r:id="rId661" xr:uid="{09C379C0-5E96-422D-AB38-5864EE6AF495}"/>
    <hyperlink ref="H664" r:id="rId662" xr:uid="{9BCEBB3B-2BFD-4D4B-9F3D-4B7E3F3687C8}"/>
    <hyperlink ref="H665" r:id="rId663" xr:uid="{C00F622F-6FED-4161-A892-CB014B9124EC}"/>
    <hyperlink ref="H666" r:id="rId664" xr:uid="{B8380D83-D304-41DA-9906-4B51CF6988E2}"/>
    <hyperlink ref="H667" r:id="rId665" xr:uid="{C9186AE0-4D70-49DC-B79E-58C067435CAB}"/>
    <hyperlink ref="H668" r:id="rId666" xr:uid="{2B02C879-B812-4375-8FAD-3D43C102E260}"/>
    <hyperlink ref="H669" r:id="rId667" xr:uid="{84385464-8A28-4E9A-9EFF-9E9D8B0EC565}"/>
    <hyperlink ref="H670" r:id="rId668" xr:uid="{7C4296AE-DD62-40AD-93D2-E08CED55ECCC}"/>
    <hyperlink ref="H671" r:id="rId669" xr:uid="{F873DFCB-5861-4F73-BF13-9559ABAFA45E}"/>
    <hyperlink ref="H672" r:id="rId670" xr:uid="{B24D1AC1-E101-4242-ADAA-9E28D3AE4483}"/>
    <hyperlink ref="H673" r:id="rId671" xr:uid="{4FDA90A4-DAF6-41DD-9BCC-AEE0211F0F8A}"/>
    <hyperlink ref="H674" r:id="rId672" xr:uid="{DDDF0323-8BA3-47DA-B4D2-BFC9BC3E4783}"/>
    <hyperlink ref="H675" r:id="rId673" xr:uid="{26003829-010B-42F5-BE4B-5E45802B7CC5}"/>
    <hyperlink ref="H676" r:id="rId674" xr:uid="{40C1D55B-1245-4C2B-9895-753EBE9C1202}"/>
    <hyperlink ref="H677" r:id="rId675" xr:uid="{988040D0-67C7-42C4-8863-7E3C06955869}"/>
    <hyperlink ref="H678" r:id="rId676" xr:uid="{A137AD19-671B-489C-A69A-F46E59789554}"/>
    <hyperlink ref="H679" r:id="rId677" xr:uid="{7A955DE6-725B-4EF5-AE95-079622141278}"/>
    <hyperlink ref="H680" r:id="rId678" xr:uid="{741988AC-035B-4798-90C7-7E7006052DEA}"/>
    <hyperlink ref="H681" r:id="rId679" xr:uid="{4CE6E63B-D784-47E7-9A9C-008FB75A998A}"/>
    <hyperlink ref="H682" r:id="rId680" xr:uid="{DB61BEE2-CB48-4FA3-BC55-528AA5AFF387}"/>
    <hyperlink ref="H683" r:id="rId681" xr:uid="{37F61C64-29FA-45C1-B2C4-400DCE327A24}"/>
    <hyperlink ref="H684" r:id="rId682" xr:uid="{C87152FC-34FA-4691-B192-9987248E45B5}"/>
    <hyperlink ref="H685" r:id="rId683" xr:uid="{E74B560C-7DBA-4813-BB91-F94EE8CDFAF9}"/>
    <hyperlink ref="H686" r:id="rId684" xr:uid="{D770433C-7B34-482D-BAA8-F46A52B3DF5D}"/>
    <hyperlink ref="H687" r:id="rId685" xr:uid="{AA48B601-1121-4C7A-A4EF-659B94ED7CF8}"/>
    <hyperlink ref="H688" r:id="rId686" xr:uid="{CFEBE1FB-71EB-45B9-9863-314BDCD936FF}"/>
    <hyperlink ref="H689" r:id="rId687" xr:uid="{53A7ED1F-6B38-401E-88C7-11205BDC8F71}"/>
    <hyperlink ref="H690" r:id="rId688" xr:uid="{BEEF6BCF-AFC5-43F0-9766-BD4E3D5FC3E8}"/>
    <hyperlink ref="H691" r:id="rId689" xr:uid="{A1C53C23-A457-404C-B64B-20E3EB000706}"/>
    <hyperlink ref="H692" r:id="rId690" xr:uid="{4D1BBA66-85D0-4A2E-8981-89316DFE1666}"/>
    <hyperlink ref="H693" r:id="rId691" xr:uid="{EC5AD293-69A0-4EEE-AF78-2B8EF58CD7D0}"/>
    <hyperlink ref="H694" r:id="rId692" xr:uid="{F5B0FC4B-95A0-4E7E-9CD9-09089E229EB9}"/>
    <hyperlink ref="H695" r:id="rId693" xr:uid="{1D54FD64-4011-43A6-B3A9-72EE6AF0E0BE}"/>
    <hyperlink ref="H696" r:id="rId694" xr:uid="{8EF4AD2A-C0DA-4DFE-9C4A-3BB2ECF9A42C}"/>
    <hyperlink ref="H697" r:id="rId695" xr:uid="{2BF13719-869F-4637-9310-EB68664B1AD7}"/>
    <hyperlink ref="H698" r:id="rId696" xr:uid="{B5CCA7C0-A344-4588-A09A-32F40F5211BD}"/>
    <hyperlink ref="H699" r:id="rId697" xr:uid="{C89B2C71-A62F-4D39-B3C6-A17436AE844E}"/>
    <hyperlink ref="H700" r:id="rId698" xr:uid="{CBFDDB65-B116-479D-A5E0-9F21A95BA072}"/>
    <hyperlink ref="H701" r:id="rId699" xr:uid="{C2A6E5A2-BAF2-4EC2-8734-7AC14AB67F1B}"/>
    <hyperlink ref="H702" r:id="rId700" xr:uid="{1B50DEDC-8EC4-4C2E-9FCF-DE2B3565BC3C}"/>
    <hyperlink ref="H703" r:id="rId701" xr:uid="{47350C98-C703-4574-9E5F-84DF149D3577}"/>
    <hyperlink ref="H704" r:id="rId702" xr:uid="{AB1933CE-CC02-4066-AE9E-2C3FDE538D0D}"/>
    <hyperlink ref="H705" r:id="rId703" xr:uid="{5038A01E-D094-4531-8360-51E4A7D3FFF9}"/>
    <hyperlink ref="H706" r:id="rId704" xr:uid="{ED08DD7A-CA6D-43AC-B101-030C0A1B1187}"/>
    <hyperlink ref="H707" r:id="rId705" xr:uid="{BC46A363-AA38-4944-8BD7-3D0365C8F92B}"/>
    <hyperlink ref="H708" r:id="rId706" xr:uid="{2B327662-7915-4471-BAA7-315B94066D4F}"/>
    <hyperlink ref="H709" r:id="rId707" xr:uid="{2EADAEBB-1932-4DC7-A047-019E41A1DAE0}"/>
    <hyperlink ref="H710" r:id="rId708" xr:uid="{F23577FE-2CC4-4A90-BD16-D4277A1EFB0E}"/>
    <hyperlink ref="H711" r:id="rId709" xr:uid="{12099F76-76BD-4650-ABFD-C03DA7D61109}"/>
    <hyperlink ref="H712" r:id="rId710" xr:uid="{9057CEC8-4079-4761-A2E1-EE6973EB1D47}"/>
    <hyperlink ref="H713" r:id="rId711" xr:uid="{65F41F3E-BB03-4F4D-B64F-42263376EB7A}"/>
    <hyperlink ref="H714" r:id="rId712" xr:uid="{E846C966-FFD0-4B42-8596-736E0B0EBFE5}"/>
    <hyperlink ref="H715" r:id="rId713" xr:uid="{2F03D6C0-6CD6-49CB-96CE-8157EB3638AB}"/>
    <hyperlink ref="H716" r:id="rId714" xr:uid="{147CAD3D-2B7C-439D-8A53-7057B04EDA08}"/>
    <hyperlink ref="H717" r:id="rId715" xr:uid="{ADC97883-1478-4319-9C81-51EFF11CE614}"/>
    <hyperlink ref="H718" r:id="rId716" xr:uid="{095A5A80-8BD6-47CC-AE3E-773C1BD9DA6E}"/>
    <hyperlink ref="H719" r:id="rId717" xr:uid="{D04C76C8-EFDC-41AC-93D3-82054E886688}"/>
    <hyperlink ref="H720" r:id="rId718" xr:uid="{6B075151-7824-4225-B4B5-F2AA0B9FDCF3}"/>
    <hyperlink ref="H721" r:id="rId719" xr:uid="{0CDAAE2F-5CB9-4D7F-899B-4E3CEB51A25F}"/>
    <hyperlink ref="H722" r:id="rId720" xr:uid="{DC095815-3102-41F7-AE2E-F0C7686350FA}"/>
    <hyperlink ref="H723" r:id="rId721" xr:uid="{25DDE56A-E345-4BB4-BFB2-FFA5479AD0B9}"/>
    <hyperlink ref="H724" r:id="rId722" xr:uid="{7B33962C-AA95-4251-9FB9-497D3C1B55DB}"/>
    <hyperlink ref="H725" r:id="rId723" xr:uid="{9156575A-C44C-4049-B077-95140EBAEBE2}"/>
    <hyperlink ref="H726" r:id="rId724" xr:uid="{A9FE8730-566B-4814-8A72-67A0EC4789A0}"/>
    <hyperlink ref="H727" r:id="rId725" xr:uid="{C1DFE6EA-137B-4B84-9EF5-C5349A342698}"/>
    <hyperlink ref="H728" r:id="rId726" xr:uid="{FC377461-AF33-4FC0-88C6-AAD2A5610925}"/>
    <hyperlink ref="H729" r:id="rId727" xr:uid="{39037BAF-9A8F-4D80-88E5-58411C4950D6}"/>
    <hyperlink ref="H730" r:id="rId728" xr:uid="{FC0214FB-DE06-4520-AD88-3206B5BD082D}"/>
    <hyperlink ref="H731" r:id="rId729" xr:uid="{FEB1A931-176A-47EE-83DB-9835DE57C1EC}"/>
    <hyperlink ref="H732" r:id="rId730" xr:uid="{F08259A2-8407-49B5-B838-DBB29CD97EC8}"/>
    <hyperlink ref="H733" r:id="rId731" xr:uid="{D62727CB-5161-465C-9855-3AFE5184E5C5}"/>
    <hyperlink ref="H734" r:id="rId732" xr:uid="{498A418F-E481-40FF-AAAD-741751AB7C5B}"/>
    <hyperlink ref="H735" r:id="rId733" xr:uid="{ECF80410-313F-4074-9D11-7C433674067C}"/>
    <hyperlink ref="H736" r:id="rId734" xr:uid="{84844DCB-11F5-40A2-8D7D-9FE390F3E8AC}"/>
    <hyperlink ref="H737" r:id="rId735" xr:uid="{6ED58E41-15E7-4D9A-A6CF-B94B3BEA8588}"/>
    <hyperlink ref="H738" r:id="rId736" xr:uid="{DF0EE229-56A1-42CE-90CF-13F9E2A95FF7}"/>
    <hyperlink ref="H739" r:id="rId737" xr:uid="{B728C032-F409-41C7-B51F-4DDAAAE7F43D}"/>
    <hyperlink ref="H740" r:id="rId738" xr:uid="{60418BDE-2A28-4A34-8682-F1D0589EA170}"/>
    <hyperlink ref="H741" r:id="rId739" xr:uid="{B1DBA43C-4BB3-41A6-97EA-43B52F7E9CA4}"/>
    <hyperlink ref="H742" r:id="rId740" xr:uid="{D01F9EA7-7F2A-44E9-A394-CA4079D556F0}"/>
    <hyperlink ref="H743" r:id="rId741" xr:uid="{C724C730-8323-4DF4-81A5-4F2C54CC381A}"/>
    <hyperlink ref="H744" r:id="rId742" xr:uid="{CBAC5BA3-3CE9-4713-84CF-883DE6D260DE}"/>
    <hyperlink ref="H745" r:id="rId743" xr:uid="{03D65BAD-A5F6-409A-BF9F-9EC9AAD5D716}"/>
    <hyperlink ref="H746" r:id="rId744" xr:uid="{1B9AF504-05C4-4963-AE47-486E13FEA3AB}"/>
    <hyperlink ref="H747" r:id="rId745" xr:uid="{B253C883-4817-40B8-8423-7F7DF0B9E71D}"/>
    <hyperlink ref="H748" r:id="rId746" xr:uid="{E311E4B9-0EDE-47E8-8DD1-957A74416D13}"/>
    <hyperlink ref="H749" r:id="rId747" xr:uid="{6E37352A-D25F-4E4E-9491-8E18394936D3}"/>
    <hyperlink ref="H750" r:id="rId748" xr:uid="{749DDFD8-04F1-4FF1-ADD0-85E3BB041FD2}"/>
    <hyperlink ref="H751" r:id="rId749" xr:uid="{EAD16B6E-6159-4610-96F5-EC4685DC3CC5}"/>
    <hyperlink ref="H752" r:id="rId750" xr:uid="{FBF2C734-3775-494F-8FDD-E586A2E9A63F}"/>
    <hyperlink ref="H753" r:id="rId751" xr:uid="{814B2B2E-3DCC-43CC-AD88-E1D7480B07BB}"/>
    <hyperlink ref="H754" r:id="rId752" xr:uid="{51C26A43-9784-4EB5-8203-BBDC000AC383}"/>
    <hyperlink ref="H755" r:id="rId753" xr:uid="{8962512C-D68E-4EC8-942F-C87E3FE282C7}"/>
    <hyperlink ref="H756" r:id="rId754" xr:uid="{71BDD8F2-718B-4289-9ED2-A750B9A42B49}"/>
    <hyperlink ref="H757" r:id="rId755" xr:uid="{EE8E0993-8359-48BA-9D96-67632F3879A9}"/>
    <hyperlink ref="H758" r:id="rId756" xr:uid="{93A35696-90FA-4982-9C92-090079E95101}"/>
    <hyperlink ref="H759" r:id="rId757" xr:uid="{F08E23D8-D9F3-424B-9168-32B01A372185}"/>
    <hyperlink ref="H760" r:id="rId758" xr:uid="{4B4BBDD1-329E-4EA3-8EB2-60AC859001BD}"/>
    <hyperlink ref="H761" r:id="rId759" xr:uid="{0A2BB025-4338-4648-BD4E-3E8673FE3D91}"/>
    <hyperlink ref="H762" r:id="rId760" xr:uid="{8B48186C-1CA9-49CA-A96A-5062D8959D42}"/>
    <hyperlink ref="H763" r:id="rId761" xr:uid="{CCBD77F4-939D-4F1E-A675-D46C32FB0486}"/>
    <hyperlink ref="H764" r:id="rId762" xr:uid="{1013536E-4B95-490E-8D10-1546F46ECD9E}"/>
    <hyperlink ref="H765" r:id="rId763" xr:uid="{25305663-481F-49C3-A4DF-0DFBDC7D3FD4}"/>
    <hyperlink ref="H766" r:id="rId764" xr:uid="{B7288693-147D-4F7C-B399-528E8A9C1A4C}"/>
    <hyperlink ref="H767" r:id="rId765" xr:uid="{66D07F04-034C-4574-AE40-0E47F56FEA95}"/>
    <hyperlink ref="H768" r:id="rId766" xr:uid="{AC1A3F06-F4DF-4E92-9043-B878C738EBD2}"/>
    <hyperlink ref="H769" r:id="rId767" xr:uid="{D3C8C0FF-E13B-41B0-B809-853B4464DBEE}"/>
    <hyperlink ref="H770" r:id="rId768" xr:uid="{1D13158C-E451-4483-8418-D2081C26038F}"/>
    <hyperlink ref="H771" r:id="rId769" xr:uid="{7233E6F8-0C16-4215-842C-A7E6C7DA51EB}"/>
    <hyperlink ref="H772" r:id="rId770" xr:uid="{9A8152C3-1419-4DD7-826C-3A91CBD57C16}"/>
    <hyperlink ref="H773" r:id="rId771" xr:uid="{7F3C8204-0073-4D02-B0CF-AFF3E28312F1}"/>
    <hyperlink ref="H774" r:id="rId772" xr:uid="{EE8F0C0E-5048-45D0-90C7-E56CF20CAFFE}"/>
    <hyperlink ref="H775" r:id="rId773" xr:uid="{2F4346F2-8D57-4FE7-9FCB-09DA5E9375B1}"/>
    <hyperlink ref="H776" r:id="rId774" xr:uid="{74067B89-B6DA-4420-8669-7C140BADD40F}"/>
    <hyperlink ref="H777" r:id="rId775" xr:uid="{8E6F7096-753F-4D7E-A737-B3D6935755A0}"/>
    <hyperlink ref="H778" r:id="rId776" xr:uid="{ACC19EF9-CBFE-4A4A-813C-97DFBF9B6B2D}"/>
    <hyperlink ref="H779" r:id="rId777" xr:uid="{296D5337-CBF7-4479-8F29-ED046B715109}"/>
    <hyperlink ref="H780" r:id="rId778" xr:uid="{DAE259D5-3AA4-49B9-B554-28B8C96E29FE}"/>
    <hyperlink ref="H781" r:id="rId779" xr:uid="{39E04E55-EC28-4AB5-B5EE-0024B7C086DB}"/>
    <hyperlink ref="H782" r:id="rId780" xr:uid="{78966405-053B-494F-A755-88A876F7A295}"/>
    <hyperlink ref="H783" r:id="rId781" xr:uid="{6B811E6C-0DE0-4850-B620-FA09B0D3B154}"/>
    <hyperlink ref="H784" r:id="rId782" xr:uid="{1B98701C-98D6-42EE-B4DF-713AC65C6A5E}"/>
    <hyperlink ref="H785" r:id="rId783" xr:uid="{87EF87BB-9D93-4F3A-B97A-71DA6A6187D1}"/>
    <hyperlink ref="H786" r:id="rId784" xr:uid="{520283EA-AC7F-4243-A52C-E0E587F78585}"/>
    <hyperlink ref="H787" r:id="rId785" xr:uid="{03FDE27F-87F0-4079-B5D0-DFD217EC90B3}"/>
    <hyperlink ref="H788" r:id="rId786" xr:uid="{C9B74A94-3E6A-45EE-9D2C-0307E95A0427}"/>
    <hyperlink ref="H789" r:id="rId787" xr:uid="{C1728655-F8A6-4FA9-8DF8-2F8E7257FD12}"/>
    <hyperlink ref="H790" r:id="rId788" xr:uid="{89EA840D-6ACF-4C93-A3D4-69AD7B6A3A54}"/>
    <hyperlink ref="H791" r:id="rId789" xr:uid="{169DB31D-D3D5-437A-9FA0-6DDFF98DE12F}"/>
    <hyperlink ref="H792" r:id="rId790" xr:uid="{38D1CA0A-8A3A-48F3-AA1A-7E27B54D98A6}"/>
    <hyperlink ref="H793" r:id="rId791" xr:uid="{5C52259E-1193-4321-B228-3BE75CC12B51}"/>
    <hyperlink ref="H794" r:id="rId792" xr:uid="{71B0A890-D7FB-43EB-A6FB-BB068747E13D}"/>
    <hyperlink ref="H795" r:id="rId793" xr:uid="{9F3FDE22-82B6-4892-B4FB-5EC94D5E5A2D}"/>
    <hyperlink ref="H796" r:id="rId794" xr:uid="{91DBB396-629B-4A70-AAFE-B1CDE3A19A9C}"/>
    <hyperlink ref="H797" r:id="rId795" xr:uid="{5490CADD-88BF-4889-9C75-17D44F1A4DAA}"/>
    <hyperlink ref="H798" r:id="rId796" xr:uid="{BCF2694F-A19E-4D10-AFA7-53B3AA6B62E9}"/>
    <hyperlink ref="H799" r:id="rId797" xr:uid="{5CFB2B3A-BBDB-47BE-A123-A942F7A3D9B9}"/>
    <hyperlink ref="H800" r:id="rId798" xr:uid="{6668D099-DEE1-498A-AD6E-8EE263FE49E3}"/>
    <hyperlink ref="H801" r:id="rId799" xr:uid="{A0788680-36B0-4987-A13D-4A89346A93FF}"/>
    <hyperlink ref="H802" r:id="rId800" xr:uid="{75BCF84B-13FE-43BA-97B9-933CB8804FD2}"/>
    <hyperlink ref="H803" r:id="rId801" xr:uid="{964D43C1-EF47-4C73-AFE7-613E2C6BBF3E}"/>
    <hyperlink ref="H804" r:id="rId802" xr:uid="{0C78C8DC-6088-4A2F-A010-4A37691F627C}"/>
    <hyperlink ref="H805" r:id="rId803" xr:uid="{0C6A507F-2298-44EA-BC1F-6B35E386C719}"/>
    <hyperlink ref="H806" r:id="rId804" xr:uid="{8FFA9C2D-602E-403D-9B4C-77BBF4B8798F}"/>
    <hyperlink ref="H807" r:id="rId805" xr:uid="{6A92DA64-9D72-4867-8ADC-6600D1E61C48}"/>
    <hyperlink ref="H808" r:id="rId806" xr:uid="{9948371C-D4FF-4414-9051-B1F1C692B4F2}"/>
    <hyperlink ref="H809" r:id="rId807" xr:uid="{D0DC2787-1B85-4834-BD2C-DF7AA423439A}"/>
    <hyperlink ref="H810" r:id="rId808" xr:uid="{E0B5CBD4-9957-4DDC-857B-DC614551FA22}"/>
    <hyperlink ref="H811" r:id="rId809" xr:uid="{680CD12B-F0DD-4BD3-BD67-D7FDB98120EF}"/>
    <hyperlink ref="H812" r:id="rId810" xr:uid="{ED9FC8A0-72FB-47A6-B08C-C89DAEDDF388}"/>
    <hyperlink ref="H813" r:id="rId811" xr:uid="{1342B7B5-BD31-4B2B-AC03-A748C7DD03B5}"/>
    <hyperlink ref="H814" r:id="rId812" xr:uid="{28AF435C-56A6-4BAD-8022-AD66B480BBD5}"/>
    <hyperlink ref="H815" r:id="rId813" xr:uid="{7B32C400-A64D-41BD-9E97-763D9A41C7BC}"/>
    <hyperlink ref="H816" r:id="rId814" xr:uid="{BD9EEC03-6A0A-435C-A3C6-990436B15A42}"/>
    <hyperlink ref="H817" r:id="rId815" xr:uid="{F50B579A-741A-4100-A93C-06C7C97F60F4}"/>
    <hyperlink ref="H818" r:id="rId816" xr:uid="{4875E027-B7F8-4521-8A57-EA407C2B4B1D}"/>
    <hyperlink ref="H819" r:id="rId817" xr:uid="{BC0121FF-11B1-4D20-94CE-A9E1D3ED3C05}"/>
    <hyperlink ref="H820" r:id="rId818" xr:uid="{5FD9175F-A2C2-4522-8D25-3198E86CFCF5}"/>
    <hyperlink ref="H821" r:id="rId819" xr:uid="{C37AF65D-409A-4AF0-BC70-E9394864C90D}"/>
    <hyperlink ref="H822" r:id="rId820" xr:uid="{F1BE7E00-02FD-4425-BF10-8C4087C7C710}"/>
    <hyperlink ref="H823" r:id="rId821" xr:uid="{E24144C7-83B7-4E48-9846-2FAF90AC3040}"/>
    <hyperlink ref="H824" r:id="rId822" xr:uid="{693A0462-166E-4240-BA46-23E67BBD0FEC}"/>
    <hyperlink ref="H825" r:id="rId823" xr:uid="{0F74E25A-C0D7-4356-865F-7D6EA660AFDB}"/>
    <hyperlink ref="H826" r:id="rId824" xr:uid="{6A214195-DA28-4256-945D-077F60261998}"/>
    <hyperlink ref="H827" r:id="rId825" xr:uid="{02A2C8B0-4C63-40FA-AC5B-D2CA9FFDD87F}"/>
    <hyperlink ref="H828" r:id="rId826" xr:uid="{81F095C9-8005-4D1D-A2F3-18B5EFB31CC2}"/>
    <hyperlink ref="H829" r:id="rId827" xr:uid="{643ACEBD-1529-4B8E-ACD7-7FFADD6E1FC6}"/>
    <hyperlink ref="H830" r:id="rId828" xr:uid="{933396EA-080F-473F-BAF8-975592662E6C}"/>
    <hyperlink ref="H831" r:id="rId829" xr:uid="{AB34A705-3736-4E64-8FCF-A41BA6ABB4B1}"/>
    <hyperlink ref="H832" r:id="rId830" xr:uid="{323F48F7-9E2C-4656-A854-C864B62894B6}"/>
    <hyperlink ref="H833" r:id="rId831" xr:uid="{84F1574B-EE6A-40C4-8077-EE403170DD0B}"/>
    <hyperlink ref="H834" r:id="rId832" xr:uid="{00D9A62E-2BF3-4C7D-A164-8B749E03A925}"/>
    <hyperlink ref="H835" r:id="rId833" xr:uid="{66A604CE-C317-4856-A65A-F945D2739E73}"/>
    <hyperlink ref="H836" r:id="rId834" xr:uid="{E24E536E-02E2-4DE1-B351-A04640EC4EA1}"/>
    <hyperlink ref="H837" r:id="rId835" xr:uid="{DB02E713-40AA-42D7-B6FA-1D9F13BB92FC}"/>
    <hyperlink ref="H838" r:id="rId836" xr:uid="{72C60577-7D63-4ED9-AFE9-0140D6A4EBD6}"/>
    <hyperlink ref="H839" r:id="rId837" xr:uid="{7E209D63-74AB-4804-8FAF-C866E6627E44}"/>
    <hyperlink ref="H840" r:id="rId838" xr:uid="{1616186E-F3C9-4E76-A7AA-DC51011FC242}"/>
    <hyperlink ref="H841" r:id="rId839" xr:uid="{5D48D44F-2B33-42A6-8BDB-7F7813E71BC0}"/>
    <hyperlink ref="H842" r:id="rId840" xr:uid="{07DF5ED3-5A12-4BE9-A603-90EF3D30BEDA}"/>
    <hyperlink ref="H843" r:id="rId841" xr:uid="{FEFFC665-E70F-4960-B3F9-467BFAB81392}"/>
    <hyperlink ref="H844" r:id="rId842" xr:uid="{E46AAF12-9043-4B01-ACD1-E3D455F12E32}"/>
    <hyperlink ref="H845" r:id="rId843" xr:uid="{C10DA64C-E289-4F40-9B92-ADB9EE447B97}"/>
    <hyperlink ref="H846" r:id="rId844" xr:uid="{BCE885EE-8CC5-4943-8150-E7113B567AF4}"/>
    <hyperlink ref="H847" r:id="rId845" xr:uid="{426169E6-E3A8-4FF6-9C23-F2E158734C20}"/>
    <hyperlink ref="H848" r:id="rId846" xr:uid="{89663A05-8202-4C49-8FDE-296EAC0FCF35}"/>
    <hyperlink ref="H849" r:id="rId847" xr:uid="{3FBEB771-6AB2-4ED7-9B15-B9243E359964}"/>
    <hyperlink ref="H850" r:id="rId848" xr:uid="{DE8298B2-36DD-4E60-B12E-8242928AB95C}"/>
    <hyperlink ref="H851" r:id="rId849" xr:uid="{F73D3638-60B5-4B65-BC1B-450C68141601}"/>
    <hyperlink ref="H852" r:id="rId850" xr:uid="{8D14332A-853C-4238-8CB2-A14292CEF2A3}"/>
    <hyperlink ref="H853" r:id="rId851" xr:uid="{23EE5A1E-22FD-4924-AECA-943B10EC3F0A}"/>
    <hyperlink ref="H854" r:id="rId852" xr:uid="{65BAC6A4-0689-4599-81DC-8D292D501E4F}"/>
    <hyperlink ref="H855" r:id="rId853" xr:uid="{4BFA26EA-B5B9-4828-96B0-5AB3BF344234}"/>
    <hyperlink ref="H856" r:id="rId854" xr:uid="{60BE5EA4-2442-4E79-8F93-4BF2E9FBDCCC}"/>
    <hyperlink ref="H857" r:id="rId855" xr:uid="{EB85B3CB-E9AE-4BA4-82A1-59C26F3E7EB5}"/>
    <hyperlink ref="H858" r:id="rId856" xr:uid="{2043CB0C-A1C0-4DA6-A515-20A934C58716}"/>
    <hyperlink ref="H859" r:id="rId857" xr:uid="{D9D81BF2-28CF-4711-BEB2-01BEBD9A26C4}"/>
    <hyperlink ref="H860" r:id="rId858" xr:uid="{9C643D4E-325C-42DD-9CA1-12D2C67DFD7E}"/>
    <hyperlink ref="H861" r:id="rId859" xr:uid="{9772F139-3226-4C42-8001-BA5BE4219B5B}"/>
    <hyperlink ref="H862" r:id="rId860" xr:uid="{F91D9760-32A5-4459-B121-7195ECE63B2D}"/>
    <hyperlink ref="H863" r:id="rId861" xr:uid="{3B0630BA-390F-468B-96CF-C470E1E59E2E}"/>
    <hyperlink ref="H864" r:id="rId862" xr:uid="{7E4309F5-396D-498E-B9DC-9C18D5F8A1B7}"/>
    <hyperlink ref="H865" r:id="rId863" xr:uid="{F6EF04A1-47D7-45F9-BB50-9BFEF84FFC93}"/>
    <hyperlink ref="H866" r:id="rId864" xr:uid="{BF12F93E-65E6-42E7-B042-02121201D4BE}"/>
    <hyperlink ref="H867" r:id="rId865" xr:uid="{5D3E29C3-55A9-470E-BDF0-042EF730955A}"/>
    <hyperlink ref="H868" r:id="rId866" xr:uid="{CF96BABA-7597-46C5-8513-C85CA795BD97}"/>
    <hyperlink ref="H869" r:id="rId867" xr:uid="{57082F1E-737A-49C2-8010-F5383AECF21F}"/>
    <hyperlink ref="H870" r:id="rId868" xr:uid="{C94D6EEE-C422-4DAC-A369-22D0AFB680AC}"/>
    <hyperlink ref="H871" r:id="rId869" xr:uid="{CC9189D9-47E8-4CB0-A757-37F098683366}"/>
    <hyperlink ref="H872" r:id="rId870" xr:uid="{7F9A32DF-1099-4FEB-ACB6-4877226F65D0}"/>
    <hyperlink ref="H873" r:id="rId871" xr:uid="{DDB54280-F433-4B2C-8F43-DEFF5E4C9B36}"/>
    <hyperlink ref="H874" r:id="rId872" xr:uid="{2C26E26F-98D0-4B79-AFBB-4EB5B0ABFDC5}"/>
    <hyperlink ref="H875" r:id="rId873" xr:uid="{738E7140-C4AD-4989-94FF-384E9EE23506}"/>
    <hyperlink ref="H876" r:id="rId874" xr:uid="{2CBAFF87-11AD-4EAE-8077-782973B4DE55}"/>
    <hyperlink ref="H877" r:id="rId875" xr:uid="{02097748-3F06-4EA9-82F6-7A345F99825F}"/>
    <hyperlink ref="H878" r:id="rId876" xr:uid="{4FB8C94A-49B2-48F5-8174-A1280F73AA80}"/>
    <hyperlink ref="H879" r:id="rId877" xr:uid="{4A55628F-8431-491B-AF54-AF9C6498CEB1}"/>
    <hyperlink ref="H880" r:id="rId878" xr:uid="{A4600DF8-705E-4324-BA74-9704BAEBE13D}"/>
    <hyperlink ref="H881" r:id="rId879" xr:uid="{AC2F0B1C-AF61-4F78-902F-DC6FDC3577B9}"/>
    <hyperlink ref="H882" r:id="rId880" xr:uid="{AB7874ED-CAB3-47CD-93F6-8443B87A3B03}"/>
    <hyperlink ref="H883" r:id="rId881" xr:uid="{7CE860E3-C2B2-4438-9000-BFCA553A4F82}"/>
    <hyperlink ref="H884" r:id="rId882" xr:uid="{9A4181C5-5A3E-48CE-88A0-DECC05C51CA7}"/>
    <hyperlink ref="H885" r:id="rId883" xr:uid="{B3060E48-8A3B-4C12-8496-02A1DB936206}"/>
    <hyperlink ref="H886" r:id="rId884" xr:uid="{93FFB3F1-827C-4099-A653-41032F1CAB6B}"/>
    <hyperlink ref="H887" r:id="rId885" xr:uid="{E2A9B1B0-9551-4D1C-9CBD-CC1BE8033092}"/>
    <hyperlink ref="H888" r:id="rId886" xr:uid="{C761CC6D-BF3A-4BC0-AE87-AB973CF874F2}"/>
    <hyperlink ref="H889" r:id="rId887" xr:uid="{6BDE72BD-0FFA-46BA-9E71-9F9411F04B91}"/>
    <hyperlink ref="H890" r:id="rId888" xr:uid="{471F792F-4A51-4475-A6CD-AC3F975C8BB7}"/>
    <hyperlink ref="H891" r:id="rId889" xr:uid="{12C8688A-D284-4DDD-9EE0-28E0C72B03D1}"/>
    <hyperlink ref="H892" r:id="rId890" xr:uid="{2C4219FF-2054-438A-9BF4-F61B3FD45E9B}"/>
    <hyperlink ref="H893" r:id="rId891" xr:uid="{5794B632-6570-4B0F-9075-1D5F7DA459B4}"/>
    <hyperlink ref="H894" r:id="rId892" xr:uid="{2BD67E55-7F00-4220-9A4C-F90A2C7A3FB9}"/>
    <hyperlink ref="H895" r:id="rId893" xr:uid="{199E9968-AAFF-4710-A61E-DB62A1301198}"/>
    <hyperlink ref="H896" r:id="rId894" xr:uid="{FC0CE125-F3B9-4296-8750-FB9BB10B70CE}"/>
    <hyperlink ref="H897" r:id="rId895" xr:uid="{9EF00220-8CA0-40CD-8253-CDE146521521}"/>
    <hyperlink ref="H898" r:id="rId896" xr:uid="{422DE3EF-7D20-4AD1-BE53-7FEEE8AD73C0}"/>
    <hyperlink ref="H899" r:id="rId897" xr:uid="{5C7CE4B0-0A1A-4D27-8CD3-E5D23C60E160}"/>
    <hyperlink ref="H900" r:id="rId898" xr:uid="{2B0758B1-33F1-4AD0-B286-5278D80E2CBB}"/>
    <hyperlink ref="H901" r:id="rId899" xr:uid="{D5D8E459-459F-4FCD-AF26-34AFA66D96C1}"/>
    <hyperlink ref="H902" r:id="rId900" xr:uid="{AF5DA2F1-E621-40B6-816C-5527507F14A6}"/>
    <hyperlink ref="H903" r:id="rId901" xr:uid="{A279A9A7-CD00-4884-8062-35400A266905}"/>
    <hyperlink ref="H904" r:id="rId902" xr:uid="{1A9A29FA-B776-4261-918F-24B6528B7DC5}"/>
    <hyperlink ref="H905" r:id="rId903" xr:uid="{4A35F3FB-AC4E-4022-8A69-50E316844189}"/>
    <hyperlink ref="H906" r:id="rId904" xr:uid="{A7B79841-F4C6-4844-98B0-7E48EDDA3F14}"/>
    <hyperlink ref="H907" r:id="rId905" xr:uid="{359D4367-C20F-4E3B-9FB0-51BBEDB75151}"/>
    <hyperlink ref="H908" r:id="rId906" xr:uid="{AC8FD05C-3724-4687-8B17-9C379E30C7C2}"/>
    <hyperlink ref="H909" r:id="rId907" xr:uid="{232E1E66-52FE-4169-B53C-50596FA8608F}"/>
    <hyperlink ref="H910" r:id="rId908" xr:uid="{EF098915-86EA-4A42-AD60-0ED2AC2586E8}"/>
    <hyperlink ref="H911" r:id="rId909" xr:uid="{95CFFDD3-4DCF-4C64-BF8A-CE5C3D408038}"/>
    <hyperlink ref="H912" r:id="rId910" xr:uid="{4078BD60-166C-4839-97D5-A2D6135E988C}"/>
    <hyperlink ref="H913" r:id="rId911" xr:uid="{12D78F7C-3B57-488E-B4B9-278EF667A0F3}"/>
    <hyperlink ref="H914" r:id="rId912" xr:uid="{A3DFEFF3-5E2F-408F-A3DE-162EABFDC357}"/>
    <hyperlink ref="H915" r:id="rId913" xr:uid="{123C0E1A-C2FB-4A47-9EFB-A1401A2486E0}"/>
    <hyperlink ref="H916" r:id="rId914" xr:uid="{ABA49C02-A057-423D-873C-ED721F73BD0B}"/>
    <hyperlink ref="H917" r:id="rId915" xr:uid="{FF4D5393-B04A-42D4-9966-7CCB1726A585}"/>
    <hyperlink ref="H918" r:id="rId916" xr:uid="{EB0E96EC-63DB-4E4B-B227-3FD88F57AD81}"/>
    <hyperlink ref="H919" r:id="rId917" xr:uid="{951C6D87-72DB-4BB7-A432-EFB0AA1522B5}"/>
    <hyperlink ref="H920" r:id="rId918" xr:uid="{99EDCEB2-4F86-4170-B299-D682C1E3B083}"/>
    <hyperlink ref="H921" r:id="rId919" xr:uid="{472891E4-8DD5-4C5E-BC25-5559D2C51EF0}"/>
    <hyperlink ref="H922" r:id="rId920" xr:uid="{F234C445-1F9A-465F-9BD2-5B1F5467836C}"/>
    <hyperlink ref="H923" r:id="rId921" xr:uid="{9FB796E2-2E37-4F88-9AFA-90C34A8EC6ED}"/>
    <hyperlink ref="H924" r:id="rId922" xr:uid="{20712E65-D6EB-447D-A536-04C4B758B15D}"/>
    <hyperlink ref="H925" r:id="rId923" xr:uid="{D724BA19-3897-45EF-B8FB-0BDA32F345F8}"/>
    <hyperlink ref="H926" r:id="rId924" xr:uid="{2C0CE002-BFD5-4321-879C-D2251D6F181B}"/>
    <hyperlink ref="H927" r:id="rId925" xr:uid="{75972DD6-86FC-40D6-81CD-220DEFB27D6A}"/>
    <hyperlink ref="H928" r:id="rId926" xr:uid="{500ADF64-1552-4AB0-8980-BAA2083EFB0B}"/>
    <hyperlink ref="H929" r:id="rId927" xr:uid="{84823D6C-FA34-4171-95B8-CA3B2C635725}"/>
    <hyperlink ref="H930" r:id="rId928" xr:uid="{65B2D982-1DB4-4044-A3C4-A939F1D46EB6}"/>
    <hyperlink ref="H931" r:id="rId929" xr:uid="{5B5A7916-33D7-4E74-974D-3F96998127B5}"/>
    <hyperlink ref="H932" r:id="rId930" xr:uid="{0C75DFC6-8646-4A88-BB5E-382CA117F275}"/>
    <hyperlink ref="H933" r:id="rId931" xr:uid="{3DECF4C9-5B7E-4AE4-904C-FD2C2051B7B3}"/>
    <hyperlink ref="H934" r:id="rId932" xr:uid="{E4CFC51E-E1FD-4F29-8DC0-F39796543A39}"/>
    <hyperlink ref="H935" r:id="rId933" xr:uid="{536BD491-4674-41FA-8D93-76D634C4B5FC}"/>
    <hyperlink ref="H936" r:id="rId934" xr:uid="{254FCA88-2F8D-441F-A0F7-961A2E955F81}"/>
    <hyperlink ref="H937" r:id="rId935" xr:uid="{A0C19B6A-D537-4BE1-8498-3FD060242D1B}"/>
    <hyperlink ref="H938" r:id="rId936" xr:uid="{FD3B2EFA-B3FB-4105-9559-4DF16C7CD43D}"/>
    <hyperlink ref="H939" r:id="rId937" xr:uid="{14C94F2A-C9BD-4DA3-AB9A-EEFEEDCA8C5A}"/>
    <hyperlink ref="H940" r:id="rId938" xr:uid="{12377B1D-7EDB-4C06-A4C9-713BEC5E5FD3}"/>
    <hyperlink ref="H941" r:id="rId939" xr:uid="{DF6A17CA-B6DB-489B-AD3B-FFBF2472A4F1}"/>
    <hyperlink ref="H942" r:id="rId940" xr:uid="{BEF15D6B-5E01-45C1-9C2D-D501061CAD99}"/>
    <hyperlink ref="H943" r:id="rId941" xr:uid="{F306A88A-284D-47A9-8E41-DBFF936688C5}"/>
    <hyperlink ref="H944" r:id="rId942" xr:uid="{D6485260-A765-416D-9C09-F30DDEB83F76}"/>
    <hyperlink ref="H945" r:id="rId943" xr:uid="{C9C077A2-BE3A-4EBA-9B9D-CE55703BF26E}"/>
    <hyperlink ref="H946" r:id="rId944" xr:uid="{CBCA721D-5BBA-47A9-9BC0-C49831B20581}"/>
    <hyperlink ref="H947" r:id="rId945" xr:uid="{05145864-989E-44E3-85E6-133605BD64FB}"/>
    <hyperlink ref="H948" r:id="rId946" xr:uid="{F6218F85-6C09-40A0-B4D2-5FF435AC6E1D}"/>
    <hyperlink ref="H949" r:id="rId947" xr:uid="{BD800F1E-B017-473C-A93B-06BF97961009}"/>
    <hyperlink ref="H950" r:id="rId948" xr:uid="{82592AD6-93BB-4AB6-8BB3-B3EB7A6B0F12}"/>
    <hyperlink ref="H951" r:id="rId949" xr:uid="{42102F28-E174-46BE-82BF-47FFA1FBA7B9}"/>
    <hyperlink ref="H952" r:id="rId950" xr:uid="{760F53E1-1EAD-4D72-8DB3-2AC4D93C251A}"/>
    <hyperlink ref="H953" r:id="rId951" xr:uid="{0BB8B1C4-76B7-44A5-887B-C1820F7827E8}"/>
    <hyperlink ref="H954" r:id="rId952" xr:uid="{9678A145-8E53-48DB-BE10-BE774CD1C0DC}"/>
    <hyperlink ref="H955" r:id="rId953" xr:uid="{CFC337D3-4787-445F-A726-6663DFB2CFE1}"/>
    <hyperlink ref="H956" r:id="rId954" xr:uid="{8C5C67ED-D48F-4177-BE28-84073FFEA9E3}"/>
    <hyperlink ref="H957" r:id="rId955" xr:uid="{CF7DC254-E489-4961-A0F9-11EDB86E8108}"/>
    <hyperlink ref="H958" r:id="rId956" xr:uid="{936F6DC5-206A-4458-9523-E229AF8B7708}"/>
    <hyperlink ref="H959" r:id="rId957" xr:uid="{BF584974-CC7D-4ADA-ACB9-A8CF7302DE2F}"/>
    <hyperlink ref="H960" r:id="rId958" xr:uid="{CDF24D91-BCC9-4D83-AB3B-B1E52F013645}"/>
    <hyperlink ref="H961" r:id="rId959" xr:uid="{A70D5397-37C7-4E18-8AF6-058BFE9C378D}"/>
    <hyperlink ref="H962" r:id="rId960" xr:uid="{8EB9A154-6164-4700-828D-8D1247E860F7}"/>
    <hyperlink ref="H963" r:id="rId961" xr:uid="{AA87DD2A-759E-48C8-A3A8-C2C7479CA59D}"/>
    <hyperlink ref="H964" r:id="rId962" xr:uid="{8D5C7268-0CC4-4748-8723-1AB61696CB76}"/>
    <hyperlink ref="H965" r:id="rId963" xr:uid="{326AAEE7-F23C-452E-B24A-1119878005B6}"/>
    <hyperlink ref="H966" r:id="rId964" xr:uid="{79060E32-E926-4345-8C05-C9D77C570D74}"/>
    <hyperlink ref="H967" r:id="rId965" xr:uid="{B6A7FB4B-401B-4E4E-AEFC-6217B0EFDA7F}"/>
    <hyperlink ref="H968" r:id="rId966" xr:uid="{2E9497BB-E598-4775-9CEC-5B11C7A80F61}"/>
    <hyperlink ref="H969" r:id="rId967" xr:uid="{997C913A-C8E8-4D1F-8FEF-B23C5905B374}"/>
    <hyperlink ref="H970" r:id="rId968" xr:uid="{2457A280-79EA-4176-AE8C-FF954B9B0399}"/>
    <hyperlink ref="H971" r:id="rId969" xr:uid="{90645D60-A4FC-4974-A32C-0B809A8BB4FC}"/>
    <hyperlink ref="H972" r:id="rId970" xr:uid="{A6EB3A70-270D-4049-A78B-081E92A12DCD}"/>
    <hyperlink ref="H973" r:id="rId971" xr:uid="{7D45A967-2D7A-4A39-A2A5-92A10C78AFD7}"/>
    <hyperlink ref="H974" r:id="rId972" xr:uid="{032C1E5B-A0F9-4DC5-AC13-E6AABB2EE57E}"/>
    <hyperlink ref="H975" r:id="rId973" xr:uid="{04E8CDA6-6666-4902-B098-D6CF96514001}"/>
    <hyperlink ref="H976" r:id="rId974" xr:uid="{8BE31FFF-200C-46A9-A3A8-5983EAB8FE30}"/>
    <hyperlink ref="H977" r:id="rId975" xr:uid="{B03AA3C7-CAC8-4523-9FEA-230D190AC9D8}"/>
  </hyperlinks>
  <pageMargins left="0.7" right="0.7" top="0.75" bottom="0.75" header="0.3" footer="0.3"/>
  <drawing r:id="rId976"/>
  <tableParts count="1">
    <tablePart r:id="rId977"/>
  </tableParts>
  <extLst>
    <ext xmlns:x15="http://schemas.microsoft.com/office/spreadsheetml/2010/11/main" uri="{3A4CF648-6AED-40f4-86FF-DC5316D8AED3}">
      <x14:slicerList xmlns:x14="http://schemas.microsoft.com/office/spreadsheetml/2009/9/main">
        <x14:slicer r:id="rId97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B8C8-516C-4B59-8D47-998BA5593300}">
  <dimension ref="A3:E44"/>
  <sheetViews>
    <sheetView topLeftCell="A23" workbookViewId="0">
      <selection activeCell="C41" sqref="C41"/>
    </sheetView>
  </sheetViews>
  <sheetFormatPr baseColWidth="10" defaultRowHeight="16.8" x14ac:dyDescent="0.4"/>
  <cols>
    <col min="1" max="1" width="30" bestFit="1" customWidth="1"/>
    <col min="2" max="2" width="23.296875" bestFit="1" customWidth="1"/>
    <col min="3" max="3" width="15.09765625" bestFit="1" customWidth="1"/>
    <col min="4" max="4" width="16.296875" bestFit="1" customWidth="1"/>
    <col min="5" max="5" width="12.19921875" bestFit="1" customWidth="1"/>
    <col min="6" max="6" width="12.59765625" bestFit="1" customWidth="1"/>
    <col min="7" max="7" width="12.296875" bestFit="1" customWidth="1"/>
  </cols>
  <sheetData>
    <row r="3" spans="1:5" x14ac:dyDescent="0.4">
      <c r="A3" s="1" t="s">
        <v>339</v>
      </c>
      <c r="B3" s="1" t="s">
        <v>337</v>
      </c>
      <c r="C3" s="2"/>
      <c r="D3" s="2"/>
      <c r="E3" s="2"/>
    </row>
    <row r="4" spans="1:5" x14ac:dyDescent="0.4">
      <c r="A4" s="1" t="s">
        <v>12</v>
      </c>
      <c r="B4" s="2" t="s">
        <v>448</v>
      </c>
      <c r="C4" s="2" t="s">
        <v>530</v>
      </c>
      <c r="D4" s="2" t="s">
        <v>705</v>
      </c>
      <c r="E4" s="2" t="s">
        <v>336</v>
      </c>
    </row>
    <row r="5" spans="1:5" x14ac:dyDescent="0.4">
      <c r="A5" s="2" t="s">
        <v>210</v>
      </c>
      <c r="B5" s="3">
        <v>37.5</v>
      </c>
      <c r="C5" s="3">
        <v>50</v>
      </c>
      <c r="D5" s="3">
        <v>50</v>
      </c>
      <c r="E5" s="3">
        <v>40</v>
      </c>
    </row>
    <row r="6" spans="1:5" x14ac:dyDescent="0.4">
      <c r="A6" s="2" t="s">
        <v>89</v>
      </c>
      <c r="B6" s="3">
        <v>42.25</v>
      </c>
      <c r="C6" s="3">
        <v>46</v>
      </c>
      <c r="D6" s="3">
        <v>40</v>
      </c>
      <c r="E6" s="3">
        <v>42.4</v>
      </c>
    </row>
    <row r="7" spans="1:5" x14ac:dyDescent="0.4">
      <c r="A7" s="2" t="s">
        <v>94</v>
      </c>
      <c r="B7" s="3">
        <v>22.875</v>
      </c>
      <c r="C7" s="3">
        <v>50</v>
      </c>
      <c r="D7" s="3">
        <v>40</v>
      </c>
      <c r="E7" s="3">
        <v>27.3</v>
      </c>
    </row>
    <row r="8" spans="1:5" x14ac:dyDescent="0.4">
      <c r="A8" s="2" t="s">
        <v>99</v>
      </c>
      <c r="B8" s="3">
        <v>43.75</v>
      </c>
      <c r="C8" s="3">
        <v>50</v>
      </c>
      <c r="D8" s="3">
        <v>50</v>
      </c>
      <c r="E8" s="3">
        <v>45</v>
      </c>
    </row>
    <row r="9" spans="1:5" x14ac:dyDescent="0.4">
      <c r="A9" s="2" t="s">
        <v>147</v>
      </c>
      <c r="B9" s="3">
        <v>40.75</v>
      </c>
      <c r="C9" s="3">
        <v>35</v>
      </c>
      <c r="D9" s="3">
        <v>50</v>
      </c>
      <c r="E9" s="3">
        <v>41.1</v>
      </c>
    </row>
    <row r="10" spans="1:5" x14ac:dyDescent="0.4">
      <c r="A10" s="2" t="s">
        <v>46</v>
      </c>
      <c r="B10" s="3">
        <v>11.875</v>
      </c>
      <c r="C10" s="3">
        <v>0</v>
      </c>
      <c r="D10" s="3">
        <v>0</v>
      </c>
      <c r="E10" s="3">
        <v>9.5</v>
      </c>
    </row>
    <row r="11" spans="1:5" x14ac:dyDescent="0.4">
      <c r="A11" s="2" t="s">
        <v>192</v>
      </c>
      <c r="B11" s="3">
        <v>49.25</v>
      </c>
      <c r="C11" s="3">
        <v>50</v>
      </c>
      <c r="D11" s="3">
        <v>43</v>
      </c>
      <c r="E11" s="3">
        <v>48.7</v>
      </c>
    </row>
    <row r="12" spans="1:5" x14ac:dyDescent="0.4">
      <c r="A12" s="2" t="s">
        <v>112</v>
      </c>
      <c r="B12" s="3">
        <v>23.875</v>
      </c>
      <c r="C12" s="3">
        <v>45</v>
      </c>
      <c r="D12" s="3">
        <v>21</v>
      </c>
      <c r="E12" s="3">
        <v>25.7</v>
      </c>
    </row>
    <row r="13" spans="1:5" x14ac:dyDescent="0.4">
      <c r="A13" s="2" t="s">
        <v>215</v>
      </c>
      <c r="B13" s="3">
        <v>49.125</v>
      </c>
      <c r="C13" s="3">
        <v>60</v>
      </c>
      <c r="D13" s="3">
        <v>47</v>
      </c>
      <c r="E13" s="3">
        <v>50</v>
      </c>
    </row>
    <row r="14" spans="1:5" x14ac:dyDescent="0.4">
      <c r="A14" s="2" t="s">
        <v>197</v>
      </c>
      <c r="B14" s="3">
        <v>29.125</v>
      </c>
      <c r="C14" s="3">
        <v>50</v>
      </c>
      <c r="D14" s="3">
        <v>40</v>
      </c>
      <c r="E14" s="3">
        <v>32.299999999999997</v>
      </c>
    </row>
    <row r="15" spans="1:5" x14ac:dyDescent="0.4">
      <c r="A15" s="2" t="s">
        <v>60</v>
      </c>
      <c r="B15" s="3">
        <v>48.75</v>
      </c>
      <c r="C15" s="3">
        <v>50</v>
      </c>
      <c r="D15" s="3">
        <v>45</v>
      </c>
      <c r="E15" s="3">
        <v>48.5</v>
      </c>
    </row>
    <row r="16" spans="1:5" x14ac:dyDescent="0.4">
      <c r="A16" s="2" t="s">
        <v>75</v>
      </c>
      <c r="B16" s="3">
        <v>50</v>
      </c>
      <c r="C16" s="3">
        <v>50</v>
      </c>
      <c r="D16" s="3">
        <v>45</v>
      </c>
      <c r="E16" s="3">
        <v>49.5</v>
      </c>
    </row>
    <row r="17" spans="1:5" x14ac:dyDescent="0.4">
      <c r="A17" s="2" t="s">
        <v>163</v>
      </c>
      <c r="B17" s="3">
        <v>18.125</v>
      </c>
      <c r="C17" s="3">
        <v>0</v>
      </c>
      <c r="D17" s="3">
        <v>46</v>
      </c>
      <c r="E17" s="3">
        <v>19.100000000000001</v>
      </c>
    </row>
    <row r="18" spans="1:5" x14ac:dyDescent="0.4">
      <c r="A18" s="2" t="s">
        <v>127</v>
      </c>
      <c r="B18" s="3">
        <v>50</v>
      </c>
      <c r="C18" s="3">
        <v>50</v>
      </c>
      <c r="D18" s="3">
        <v>45</v>
      </c>
      <c r="E18" s="3">
        <v>49.5</v>
      </c>
    </row>
    <row r="19" spans="1:5" x14ac:dyDescent="0.4">
      <c r="A19" s="2" t="s">
        <v>187</v>
      </c>
      <c r="B19" s="3">
        <v>49.25</v>
      </c>
      <c r="C19" s="3">
        <v>13</v>
      </c>
      <c r="D19" s="3">
        <v>43</v>
      </c>
      <c r="E19" s="3">
        <v>45</v>
      </c>
    </row>
    <row r="20" spans="1:5" x14ac:dyDescent="0.4">
      <c r="A20" s="2" t="s">
        <v>201</v>
      </c>
      <c r="B20" s="3">
        <v>17.5</v>
      </c>
      <c r="C20" s="3">
        <v>0</v>
      </c>
      <c r="D20" s="3">
        <v>10</v>
      </c>
      <c r="E20" s="3">
        <v>15</v>
      </c>
    </row>
    <row r="21" spans="1:5" x14ac:dyDescent="0.4">
      <c r="A21" s="2" t="s">
        <v>142</v>
      </c>
      <c r="B21" s="3">
        <v>50</v>
      </c>
      <c r="C21" s="3">
        <v>50</v>
      </c>
      <c r="D21" s="3">
        <v>50</v>
      </c>
      <c r="E21" s="3">
        <v>50</v>
      </c>
    </row>
    <row r="22" spans="1:5" x14ac:dyDescent="0.4">
      <c r="A22" s="2" t="s">
        <v>132</v>
      </c>
      <c r="B22" s="3">
        <v>50</v>
      </c>
      <c r="C22" s="3">
        <v>50</v>
      </c>
      <c r="D22" s="3">
        <v>45</v>
      </c>
      <c r="E22" s="3">
        <v>49.5</v>
      </c>
    </row>
    <row r="23" spans="1:5" x14ac:dyDescent="0.4">
      <c r="A23" s="2" t="s">
        <v>137</v>
      </c>
      <c r="B23" s="3">
        <v>50</v>
      </c>
      <c r="C23" s="3">
        <v>50</v>
      </c>
      <c r="D23" s="3">
        <v>50</v>
      </c>
      <c r="E23" s="3">
        <v>50</v>
      </c>
    </row>
    <row r="24" spans="1:5" x14ac:dyDescent="0.4">
      <c r="A24" s="2" t="s">
        <v>80</v>
      </c>
      <c r="B24" s="3">
        <v>43.5</v>
      </c>
      <c r="C24" s="3">
        <v>23</v>
      </c>
      <c r="D24" s="3">
        <v>50</v>
      </c>
      <c r="E24" s="3">
        <v>42.1</v>
      </c>
    </row>
    <row r="25" spans="1:5" x14ac:dyDescent="0.4">
      <c r="A25" s="2" t="s">
        <v>160</v>
      </c>
      <c r="B25" s="3">
        <v>22.875</v>
      </c>
      <c r="C25" s="3">
        <v>50</v>
      </c>
      <c r="D25" s="3">
        <v>40</v>
      </c>
      <c r="E25" s="3">
        <v>27.3</v>
      </c>
    </row>
    <row r="26" spans="1:5" x14ac:dyDescent="0.4">
      <c r="A26" s="2" t="s">
        <v>104</v>
      </c>
      <c r="B26" s="3">
        <v>36</v>
      </c>
      <c r="C26" s="3">
        <v>25</v>
      </c>
      <c r="D26" s="3">
        <v>40</v>
      </c>
      <c r="E26" s="3">
        <v>35.299999999999997</v>
      </c>
    </row>
    <row r="27" spans="1:5" x14ac:dyDescent="0.4">
      <c r="A27" s="2" t="s">
        <v>85</v>
      </c>
      <c r="B27" s="3">
        <v>42.875</v>
      </c>
      <c r="C27" s="3">
        <v>23</v>
      </c>
      <c r="D27" s="3">
        <v>50</v>
      </c>
      <c r="E27" s="3">
        <v>41.6</v>
      </c>
    </row>
    <row r="28" spans="1:5" x14ac:dyDescent="0.4">
      <c r="A28" s="2" t="s">
        <v>51</v>
      </c>
      <c r="B28" s="3">
        <v>0</v>
      </c>
      <c r="C28" s="3">
        <v>0</v>
      </c>
      <c r="D28" s="3">
        <v>40</v>
      </c>
      <c r="E28" s="3">
        <v>4</v>
      </c>
    </row>
    <row r="29" spans="1:5" x14ac:dyDescent="0.4">
      <c r="A29" s="2" t="s">
        <v>56</v>
      </c>
      <c r="B29" s="3">
        <v>50</v>
      </c>
      <c r="C29" s="3">
        <v>50</v>
      </c>
      <c r="D29" s="3">
        <v>50</v>
      </c>
      <c r="E29" s="3">
        <v>50</v>
      </c>
    </row>
    <row r="30" spans="1:5" x14ac:dyDescent="0.4">
      <c r="A30" s="2" t="s">
        <v>205</v>
      </c>
      <c r="B30" s="3">
        <v>49.25</v>
      </c>
      <c r="C30" s="3">
        <v>13</v>
      </c>
      <c r="D30" s="3">
        <v>43</v>
      </c>
      <c r="E30" s="3">
        <v>45</v>
      </c>
    </row>
    <row r="31" spans="1:5" x14ac:dyDescent="0.4">
      <c r="A31" s="2" t="s">
        <v>117</v>
      </c>
      <c r="B31" s="3">
        <v>37.875</v>
      </c>
      <c r="C31" s="3">
        <v>60</v>
      </c>
      <c r="D31" s="3">
        <v>47</v>
      </c>
      <c r="E31" s="3">
        <v>41</v>
      </c>
    </row>
    <row r="32" spans="1:5" x14ac:dyDescent="0.4">
      <c r="A32" s="2" t="s">
        <v>122</v>
      </c>
      <c r="B32" s="3">
        <v>48.75</v>
      </c>
      <c r="C32" s="3">
        <v>50</v>
      </c>
      <c r="D32" s="3">
        <v>50</v>
      </c>
      <c r="E32" s="3">
        <v>49</v>
      </c>
    </row>
    <row r="33" spans="1:5" x14ac:dyDescent="0.4">
      <c r="A33" s="2" t="s">
        <v>41</v>
      </c>
      <c r="B33" s="3">
        <v>42.25</v>
      </c>
      <c r="C33" s="3">
        <v>40</v>
      </c>
      <c r="D33" s="3">
        <v>46</v>
      </c>
      <c r="E33" s="3">
        <v>42.4</v>
      </c>
    </row>
    <row r="34" spans="1:5" x14ac:dyDescent="0.4">
      <c r="A34" s="2" t="s">
        <v>24</v>
      </c>
      <c r="B34" s="3">
        <v>50</v>
      </c>
      <c r="C34" s="3">
        <v>50</v>
      </c>
      <c r="D34" s="3">
        <v>45</v>
      </c>
      <c r="E34" s="3">
        <v>49.5</v>
      </c>
    </row>
    <row r="35" spans="1:5" x14ac:dyDescent="0.4">
      <c r="A35" s="2" t="s">
        <v>178</v>
      </c>
      <c r="B35" s="3">
        <v>40.75</v>
      </c>
      <c r="C35" s="3">
        <v>35</v>
      </c>
      <c r="D35" s="3">
        <v>50</v>
      </c>
      <c r="E35" s="3">
        <v>41.1</v>
      </c>
    </row>
    <row r="36" spans="1:5" x14ac:dyDescent="0.4">
      <c r="A36" s="2" t="s">
        <v>65</v>
      </c>
      <c r="B36" s="3">
        <v>42.625</v>
      </c>
      <c r="C36" s="3">
        <v>50</v>
      </c>
      <c r="D36" s="3">
        <v>50</v>
      </c>
      <c r="E36" s="3">
        <v>44.1</v>
      </c>
    </row>
    <row r="37" spans="1:5" x14ac:dyDescent="0.4">
      <c r="A37" s="2" t="s">
        <v>152</v>
      </c>
      <c r="B37" s="3">
        <v>17.5</v>
      </c>
      <c r="C37" s="3">
        <v>0</v>
      </c>
      <c r="D37" s="3">
        <v>10</v>
      </c>
      <c r="E37" s="3">
        <v>15</v>
      </c>
    </row>
    <row r="38" spans="1:5" x14ac:dyDescent="0.4">
      <c r="A38" s="2" t="s">
        <v>168</v>
      </c>
      <c r="B38" s="3">
        <v>36.375</v>
      </c>
      <c r="C38" s="3">
        <v>50</v>
      </c>
      <c r="D38" s="3">
        <v>50</v>
      </c>
      <c r="E38" s="3">
        <v>39.1</v>
      </c>
    </row>
    <row r="39" spans="1:5" x14ac:dyDescent="0.4">
      <c r="A39" s="2" t="s">
        <v>70</v>
      </c>
      <c r="B39" s="3">
        <v>42.625</v>
      </c>
      <c r="C39" s="3">
        <v>50</v>
      </c>
      <c r="D39" s="3">
        <v>50</v>
      </c>
      <c r="E39" s="3">
        <v>44.1</v>
      </c>
    </row>
    <row r="40" spans="1:5" x14ac:dyDescent="0.4">
      <c r="A40" s="2" t="s">
        <v>107</v>
      </c>
      <c r="B40" s="3">
        <v>49.125</v>
      </c>
      <c r="C40" s="3">
        <v>60</v>
      </c>
      <c r="D40" s="3">
        <v>47</v>
      </c>
      <c r="E40" s="3">
        <v>50</v>
      </c>
    </row>
    <row r="41" spans="1:5" x14ac:dyDescent="0.4">
      <c r="A41" s="2" t="s">
        <v>31</v>
      </c>
      <c r="B41" s="3">
        <v>36.25</v>
      </c>
      <c r="C41" s="3">
        <v>35</v>
      </c>
      <c r="D41" s="3">
        <v>30</v>
      </c>
      <c r="E41" s="3">
        <v>35.5</v>
      </c>
    </row>
    <row r="42" spans="1:5" x14ac:dyDescent="0.4">
      <c r="A42" s="2" t="s">
        <v>173</v>
      </c>
      <c r="B42" s="3">
        <v>37.5</v>
      </c>
      <c r="C42" s="3">
        <v>50</v>
      </c>
      <c r="D42" s="3">
        <v>45</v>
      </c>
      <c r="E42" s="3">
        <v>39.5</v>
      </c>
    </row>
    <row r="43" spans="1:5" x14ac:dyDescent="0.4">
      <c r="A43" s="2" t="s">
        <v>36</v>
      </c>
      <c r="B43" s="3">
        <v>31.25</v>
      </c>
      <c r="C43" s="3">
        <v>23</v>
      </c>
      <c r="D43" s="3">
        <v>30</v>
      </c>
      <c r="E43" s="3">
        <v>30.3</v>
      </c>
    </row>
    <row r="44" spans="1:5" x14ac:dyDescent="0.4">
      <c r="A44" s="2" t="s">
        <v>336</v>
      </c>
      <c r="B44" s="3">
        <v>38.240384615384613</v>
      </c>
      <c r="C44" s="3">
        <v>38.102564102564102</v>
      </c>
      <c r="D44" s="3">
        <v>41.615384615384613</v>
      </c>
      <c r="E44" s="3">
        <v>38.564102564102562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6C31C-0503-4C38-BA2F-E9BBF3C2D9CA}">
  <dimension ref="A3:O45"/>
  <sheetViews>
    <sheetView topLeftCell="J1" workbookViewId="0">
      <pane ySplit="5" topLeftCell="A29" activePane="bottomLeft" state="frozen"/>
      <selection pane="bottomLeft" activeCell="K42" sqref="K42"/>
    </sheetView>
  </sheetViews>
  <sheetFormatPr baseColWidth="10" defaultRowHeight="16.8" x14ac:dyDescent="0.4"/>
  <cols>
    <col min="1" max="1" width="30" bestFit="1" customWidth="1"/>
    <col min="2" max="2" width="40.19921875" bestFit="1" customWidth="1"/>
    <col min="3" max="3" width="56.296875" bestFit="1" customWidth="1"/>
    <col min="4" max="4" width="54.19921875" bestFit="1" customWidth="1"/>
    <col min="5" max="5" width="37" bestFit="1" customWidth="1"/>
    <col min="6" max="6" width="33.5" bestFit="1" customWidth="1"/>
    <col min="7" max="7" width="39.59765625" bestFit="1" customWidth="1"/>
    <col min="8" max="8" width="33" bestFit="1" customWidth="1"/>
    <col min="9" max="9" width="31.296875" bestFit="1" customWidth="1"/>
    <col min="10" max="10" width="19.296875" bestFit="1" customWidth="1"/>
    <col min="11" max="11" width="27.296875" bestFit="1" customWidth="1"/>
    <col min="12" max="12" width="20.09765625" bestFit="1" customWidth="1"/>
    <col min="13" max="13" width="33.796875" bestFit="1" customWidth="1"/>
    <col min="14" max="14" width="21.296875" bestFit="1" customWidth="1"/>
    <col min="15" max="15" width="12.19921875" bestFit="1" customWidth="1"/>
  </cols>
  <sheetData>
    <row r="3" spans="1:15" x14ac:dyDescent="0.4">
      <c r="A3" s="1" t="s">
        <v>339</v>
      </c>
      <c r="B3" s="1" t="s">
        <v>337</v>
      </c>
      <c r="C3" s="2"/>
      <c r="D3" s="2"/>
      <c r="E3" s="2"/>
      <c r="F3" s="2"/>
      <c r="G3" s="2"/>
      <c r="H3" s="2"/>
      <c r="I3" s="2"/>
      <c r="J3" s="2"/>
      <c r="K3" s="2"/>
      <c r="L3" s="2"/>
      <c r="M3" s="2"/>
      <c r="N3" s="2"/>
      <c r="O3" s="2"/>
    </row>
    <row r="4" spans="1:15" x14ac:dyDescent="0.4">
      <c r="A4" s="2"/>
      <c r="B4" s="2" t="s">
        <v>448</v>
      </c>
      <c r="C4" s="2"/>
      <c r="D4" s="2"/>
      <c r="E4" s="2"/>
      <c r="F4" s="2"/>
      <c r="G4" s="2"/>
      <c r="H4" s="2"/>
      <c r="I4" s="2"/>
      <c r="J4" s="2" t="s">
        <v>731</v>
      </c>
      <c r="K4" s="2" t="s">
        <v>530</v>
      </c>
      <c r="L4" s="2" t="s">
        <v>732</v>
      </c>
      <c r="M4" s="2" t="s">
        <v>705</v>
      </c>
      <c r="N4" s="2" t="s">
        <v>733</v>
      </c>
      <c r="O4" s="2" t="s">
        <v>336</v>
      </c>
    </row>
    <row r="5" spans="1:15" x14ac:dyDescent="0.4">
      <c r="A5" s="1" t="s">
        <v>12</v>
      </c>
      <c r="B5" s="2" t="s">
        <v>449</v>
      </c>
      <c r="C5" s="2" t="s">
        <v>466</v>
      </c>
      <c r="D5" s="2" t="s">
        <v>483</v>
      </c>
      <c r="E5" s="2" t="s">
        <v>504</v>
      </c>
      <c r="F5" s="2" t="s">
        <v>564</v>
      </c>
      <c r="G5" s="2" t="s">
        <v>600</v>
      </c>
      <c r="H5" s="2" t="s">
        <v>636</v>
      </c>
      <c r="I5" s="2" t="s">
        <v>668</v>
      </c>
      <c r="J5" s="2"/>
      <c r="K5" s="2" t="s">
        <v>531</v>
      </c>
      <c r="L5" s="2"/>
      <c r="M5" s="2" t="s">
        <v>706</v>
      </c>
      <c r="N5" s="2"/>
      <c r="O5" s="2"/>
    </row>
    <row r="6" spans="1:15" x14ac:dyDescent="0.4">
      <c r="A6" s="2" t="s">
        <v>210</v>
      </c>
      <c r="B6" s="3">
        <v>50</v>
      </c>
      <c r="C6" s="3">
        <v>50</v>
      </c>
      <c r="D6" s="3">
        <v>50</v>
      </c>
      <c r="E6" s="3">
        <v>50</v>
      </c>
      <c r="F6" s="3">
        <v>0</v>
      </c>
      <c r="G6" s="3">
        <v>0</v>
      </c>
      <c r="H6" s="3">
        <v>50</v>
      </c>
      <c r="I6" s="3">
        <v>50</v>
      </c>
      <c r="J6" s="3">
        <v>37.5</v>
      </c>
      <c r="K6" s="3">
        <v>50</v>
      </c>
      <c r="L6" s="3">
        <v>50</v>
      </c>
      <c r="M6" s="3">
        <v>50</v>
      </c>
      <c r="N6" s="3">
        <v>50</v>
      </c>
      <c r="O6" s="3">
        <v>40</v>
      </c>
    </row>
    <row r="7" spans="1:15" x14ac:dyDescent="0.4">
      <c r="A7" s="2" t="s">
        <v>89</v>
      </c>
      <c r="B7" s="3">
        <v>45</v>
      </c>
      <c r="C7" s="3">
        <v>45</v>
      </c>
      <c r="D7" s="3">
        <v>50</v>
      </c>
      <c r="E7" s="3">
        <v>50</v>
      </c>
      <c r="F7" s="3">
        <v>0</v>
      </c>
      <c r="G7" s="3">
        <v>48</v>
      </c>
      <c r="H7" s="3">
        <v>50</v>
      </c>
      <c r="I7" s="3">
        <v>50</v>
      </c>
      <c r="J7" s="3">
        <v>42.25</v>
      </c>
      <c r="K7" s="3">
        <v>46</v>
      </c>
      <c r="L7" s="3">
        <v>46</v>
      </c>
      <c r="M7" s="3">
        <v>40</v>
      </c>
      <c r="N7" s="3">
        <v>40</v>
      </c>
      <c r="O7" s="3">
        <v>42.4</v>
      </c>
    </row>
    <row r="8" spans="1:15" x14ac:dyDescent="0.4">
      <c r="A8" s="2" t="s">
        <v>94</v>
      </c>
      <c r="B8" s="3">
        <v>48</v>
      </c>
      <c r="C8" s="3">
        <v>45</v>
      </c>
      <c r="D8" s="3">
        <v>40</v>
      </c>
      <c r="E8" s="3">
        <v>50</v>
      </c>
      <c r="F8" s="3">
        <v>0</v>
      </c>
      <c r="G8" s="3">
        <v>0</v>
      </c>
      <c r="H8" s="3">
        <v>0</v>
      </c>
      <c r="I8" s="3">
        <v>0</v>
      </c>
      <c r="J8" s="3">
        <v>22.875</v>
      </c>
      <c r="K8" s="3">
        <v>50</v>
      </c>
      <c r="L8" s="3">
        <v>50</v>
      </c>
      <c r="M8" s="3">
        <v>40</v>
      </c>
      <c r="N8" s="3">
        <v>40</v>
      </c>
      <c r="O8" s="3">
        <v>27.3</v>
      </c>
    </row>
    <row r="9" spans="1:15" x14ac:dyDescent="0.4">
      <c r="A9" s="2" t="s">
        <v>99</v>
      </c>
      <c r="B9" s="3">
        <v>50</v>
      </c>
      <c r="C9" s="3">
        <v>50</v>
      </c>
      <c r="D9" s="3">
        <v>0</v>
      </c>
      <c r="E9" s="3">
        <v>50</v>
      </c>
      <c r="F9" s="3">
        <v>50</v>
      </c>
      <c r="G9" s="3">
        <v>50</v>
      </c>
      <c r="H9" s="3">
        <v>50</v>
      </c>
      <c r="I9" s="3">
        <v>50</v>
      </c>
      <c r="J9" s="3">
        <v>43.75</v>
      </c>
      <c r="K9" s="3">
        <v>50</v>
      </c>
      <c r="L9" s="3">
        <v>50</v>
      </c>
      <c r="M9" s="3">
        <v>50</v>
      </c>
      <c r="N9" s="3">
        <v>50</v>
      </c>
      <c r="O9" s="3">
        <v>45</v>
      </c>
    </row>
    <row r="10" spans="1:15" x14ac:dyDescent="0.4">
      <c r="A10" s="2" t="s">
        <v>147</v>
      </c>
      <c r="B10" s="3">
        <v>45</v>
      </c>
      <c r="C10" s="3">
        <v>35</v>
      </c>
      <c r="D10" s="3">
        <v>50</v>
      </c>
      <c r="E10" s="3">
        <v>45</v>
      </c>
      <c r="F10" s="3">
        <v>23</v>
      </c>
      <c r="G10" s="3">
        <v>28</v>
      </c>
      <c r="H10" s="3">
        <v>50</v>
      </c>
      <c r="I10" s="3">
        <v>50</v>
      </c>
      <c r="J10" s="3">
        <v>40.75</v>
      </c>
      <c r="K10" s="3">
        <v>35</v>
      </c>
      <c r="L10" s="3">
        <v>35</v>
      </c>
      <c r="M10" s="3">
        <v>50</v>
      </c>
      <c r="N10" s="3">
        <v>50</v>
      </c>
      <c r="O10" s="3">
        <v>41.1</v>
      </c>
    </row>
    <row r="11" spans="1:15" x14ac:dyDescent="0.4">
      <c r="A11" s="2" t="s">
        <v>46</v>
      </c>
      <c r="B11" s="3">
        <v>35</v>
      </c>
      <c r="C11" s="3">
        <v>20</v>
      </c>
      <c r="D11" s="3">
        <v>40</v>
      </c>
      <c r="E11" s="3">
        <v>0</v>
      </c>
      <c r="F11" s="3">
        <v>0</v>
      </c>
      <c r="G11" s="3">
        <v>0</v>
      </c>
      <c r="H11" s="3">
        <v>0</v>
      </c>
      <c r="I11" s="3">
        <v>0</v>
      </c>
      <c r="J11" s="3">
        <v>11.875</v>
      </c>
      <c r="K11" s="3">
        <v>0</v>
      </c>
      <c r="L11" s="3">
        <v>0</v>
      </c>
      <c r="M11" s="3">
        <v>0</v>
      </c>
      <c r="N11" s="3">
        <v>0</v>
      </c>
      <c r="O11" s="3">
        <v>9.5</v>
      </c>
    </row>
    <row r="12" spans="1:15" x14ac:dyDescent="0.4">
      <c r="A12" s="2" t="s">
        <v>192</v>
      </c>
      <c r="B12" s="3">
        <v>50</v>
      </c>
      <c r="C12" s="3">
        <v>50</v>
      </c>
      <c r="D12" s="3">
        <v>50</v>
      </c>
      <c r="E12" s="3">
        <v>50</v>
      </c>
      <c r="F12" s="3">
        <v>46</v>
      </c>
      <c r="G12" s="3">
        <v>50</v>
      </c>
      <c r="H12" s="3">
        <v>50</v>
      </c>
      <c r="I12" s="3">
        <v>48</v>
      </c>
      <c r="J12" s="3">
        <v>49.25</v>
      </c>
      <c r="K12" s="3">
        <v>50</v>
      </c>
      <c r="L12" s="3">
        <v>50</v>
      </c>
      <c r="M12" s="3">
        <v>43</v>
      </c>
      <c r="N12" s="3">
        <v>43</v>
      </c>
      <c r="O12" s="3">
        <v>48.7</v>
      </c>
    </row>
    <row r="13" spans="1:15" x14ac:dyDescent="0.4">
      <c r="A13" s="2" t="s">
        <v>112</v>
      </c>
      <c r="B13" s="3">
        <v>0</v>
      </c>
      <c r="C13" s="3">
        <v>0</v>
      </c>
      <c r="D13" s="3">
        <v>0</v>
      </c>
      <c r="E13" s="3">
        <v>46</v>
      </c>
      <c r="F13" s="3">
        <v>40</v>
      </c>
      <c r="G13" s="3">
        <v>45</v>
      </c>
      <c r="H13" s="3">
        <v>35</v>
      </c>
      <c r="I13" s="3">
        <v>25</v>
      </c>
      <c r="J13" s="3">
        <v>23.875</v>
      </c>
      <c r="K13" s="3">
        <v>45</v>
      </c>
      <c r="L13" s="3">
        <v>45</v>
      </c>
      <c r="M13" s="3">
        <v>21</v>
      </c>
      <c r="N13" s="3">
        <v>21</v>
      </c>
      <c r="O13" s="3">
        <v>25.7</v>
      </c>
    </row>
    <row r="14" spans="1:15" x14ac:dyDescent="0.4">
      <c r="A14" s="2" t="s">
        <v>215</v>
      </c>
      <c r="B14" s="3">
        <v>50</v>
      </c>
      <c r="C14" s="3">
        <v>48</v>
      </c>
      <c r="D14" s="3">
        <v>50</v>
      </c>
      <c r="E14" s="3">
        <v>50</v>
      </c>
      <c r="F14" s="3">
        <v>50</v>
      </c>
      <c r="G14" s="3">
        <v>50</v>
      </c>
      <c r="H14" s="3">
        <v>50</v>
      </c>
      <c r="I14" s="3">
        <v>45</v>
      </c>
      <c r="J14" s="3">
        <v>49.125</v>
      </c>
      <c r="K14" s="3">
        <v>60</v>
      </c>
      <c r="L14" s="3">
        <v>60</v>
      </c>
      <c r="M14" s="3">
        <v>47</v>
      </c>
      <c r="N14" s="3">
        <v>47</v>
      </c>
      <c r="O14" s="3">
        <v>50</v>
      </c>
    </row>
    <row r="15" spans="1:15" x14ac:dyDescent="0.4">
      <c r="A15" s="2" t="s">
        <v>197</v>
      </c>
      <c r="B15" s="3">
        <v>48</v>
      </c>
      <c r="C15" s="3">
        <v>45</v>
      </c>
      <c r="D15" s="3">
        <v>40</v>
      </c>
      <c r="E15" s="3">
        <v>50</v>
      </c>
      <c r="F15" s="3">
        <v>0</v>
      </c>
      <c r="G15" s="3">
        <v>50</v>
      </c>
      <c r="H15" s="3">
        <v>0</v>
      </c>
      <c r="I15" s="3">
        <v>0</v>
      </c>
      <c r="J15" s="3">
        <v>29.125</v>
      </c>
      <c r="K15" s="3">
        <v>50</v>
      </c>
      <c r="L15" s="3">
        <v>50</v>
      </c>
      <c r="M15" s="3">
        <v>40</v>
      </c>
      <c r="N15" s="3">
        <v>40</v>
      </c>
      <c r="O15" s="3">
        <v>32.299999999999997</v>
      </c>
    </row>
    <row r="16" spans="1:15" x14ac:dyDescent="0.4">
      <c r="A16" s="2" t="s">
        <v>60</v>
      </c>
      <c r="B16" s="3">
        <v>50</v>
      </c>
      <c r="C16" s="3">
        <v>50</v>
      </c>
      <c r="D16" s="3">
        <v>50</v>
      </c>
      <c r="E16" s="3">
        <v>50</v>
      </c>
      <c r="F16" s="3">
        <v>50</v>
      </c>
      <c r="G16" s="3">
        <v>40</v>
      </c>
      <c r="H16" s="3">
        <v>50</v>
      </c>
      <c r="I16" s="3">
        <v>50</v>
      </c>
      <c r="J16" s="3">
        <v>48.75</v>
      </c>
      <c r="K16" s="3">
        <v>50</v>
      </c>
      <c r="L16" s="3">
        <v>50</v>
      </c>
      <c r="M16" s="3">
        <v>45</v>
      </c>
      <c r="N16" s="3">
        <v>45</v>
      </c>
      <c r="O16" s="3">
        <v>48.5</v>
      </c>
    </row>
    <row r="17" spans="1:15" x14ac:dyDescent="0.4">
      <c r="A17" s="2" t="s">
        <v>75</v>
      </c>
      <c r="B17" s="3">
        <v>50</v>
      </c>
      <c r="C17" s="3">
        <v>50</v>
      </c>
      <c r="D17" s="3">
        <v>50</v>
      </c>
      <c r="E17" s="3">
        <v>50</v>
      </c>
      <c r="F17" s="3">
        <v>50</v>
      </c>
      <c r="G17" s="3">
        <v>50</v>
      </c>
      <c r="H17" s="3">
        <v>50</v>
      </c>
      <c r="I17" s="3">
        <v>50</v>
      </c>
      <c r="J17" s="3">
        <v>50</v>
      </c>
      <c r="K17" s="3">
        <v>50</v>
      </c>
      <c r="L17" s="3">
        <v>50</v>
      </c>
      <c r="M17" s="3">
        <v>45</v>
      </c>
      <c r="N17" s="3">
        <v>45</v>
      </c>
      <c r="O17" s="3">
        <v>49.5</v>
      </c>
    </row>
    <row r="18" spans="1:15" x14ac:dyDescent="0.4">
      <c r="A18" s="2" t="s">
        <v>163</v>
      </c>
      <c r="B18" s="3">
        <v>35</v>
      </c>
      <c r="C18" s="3">
        <v>20</v>
      </c>
      <c r="D18" s="3">
        <v>40</v>
      </c>
      <c r="E18" s="3">
        <v>50</v>
      </c>
      <c r="F18" s="3">
        <v>0</v>
      </c>
      <c r="G18" s="3">
        <v>0</v>
      </c>
      <c r="H18" s="3">
        <v>0</v>
      </c>
      <c r="I18" s="3">
        <v>0</v>
      </c>
      <c r="J18" s="3">
        <v>18.125</v>
      </c>
      <c r="K18" s="3">
        <v>0</v>
      </c>
      <c r="L18" s="3">
        <v>0</v>
      </c>
      <c r="M18" s="3">
        <v>46</v>
      </c>
      <c r="N18" s="3">
        <v>46</v>
      </c>
      <c r="O18" s="3">
        <v>19.100000000000001</v>
      </c>
    </row>
    <row r="19" spans="1:15" x14ac:dyDescent="0.4">
      <c r="A19" s="2" t="s">
        <v>127</v>
      </c>
      <c r="B19" s="3">
        <v>50</v>
      </c>
      <c r="C19" s="3">
        <v>50</v>
      </c>
      <c r="D19" s="3">
        <v>50</v>
      </c>
      <c r="E19" s="3">
        <v>50</v>
      </c>
      <c r="F19" s="3">
        <v>50</v>
      </c>
      <c r="G19" s="3">
        <v>50</v>
      </c>
      <c r="H19" s="3">
        <v>50</v>
      </c>
      <c r="I19" s="3">
        <v>50</v>
      </c>
      <c r="J19" s="3">
        <v>50</v>
      </c>
      <c r="K19" s="3">
        <v>50</v>
      </c>
      <c r="L19" s="3">
        <v>50</v>
      </c>
      <c r="M19" s="3">
        <v>45</v>
      </c>
      <c r="N19" s="3">
        <v>45</v>
      </c>
      <c r="O19" s="3">
        <v>49.5</v>
      </c>
    </row>
    <row r="20" spans="1:15" x14ac:dyDescent="0.4">
      <c r="A20" s="2" t="s">
        <v>187</v>
      </c>
      <c r="B20" s="3">
        <v>50</v>
      </c>
      <c r="C20" s="3">
        <v>50</v>
      </c>
      <c r="D20" s="3">
        <v>50</v>
      </c>
      <c r="E20" s="3">
        <v>50</v>
      </c>
      <c r="F20" s="3">
        <v>46</v>
      </c>
      <c r="G20" s="3">
        <v>50</v>
      </c>
      <c r="H20" s="3">
        <v>50</v>
      </c>
      <c r="I20" s="3">
        <v>48</v>
      </c>
      <c r="J20" s="3">
        <v>49.25</v>
      </c>
      <c r="K20" s="3">
        <v>13</v>
      </c>
      <c r="L20" s="3">
        <v>13</v>
      </c>
      <c r="M20" s="3">
        <v>43</v>
      </c>
      <c r="N20" s="3">
        <v>43</v>
      </c>
      <c r="O20" s="3">
        <v>45</v>
      </c>
    </row>
    <row r="21" spans="1:15" x14ac:dyDescent="0.4">
      <c r="A21" s="2" t="s">
        <v>201</v>
      </c>
      <c r="B21" s="3">
        <v>40</v>
      </c>
      <c r="C21" s="3">
        <v>50</v>
      </c>
      <c r="D21" s="3">
        <v>50</v>
      </c>
      <c r="E21" s="3">
        <v>0</v>
      </c>
      <c r="F21" s="3">
        <v>0</v>
      </c>
      <c r="G21" s="3">
        <v>0</v>
      </c>
      <c r="H21" s="3">
        <v>0</v>
      </c>
      <c r="I21" s="3">
        <v>0</v>
      </c>
      <c r="J21" s="3">
        <v>17.5</v>
      </c>
      <c r="K21" s="3">
        <v>0</v>
      </c>
      <c r="L21" s="3">
        <v>0</v>
      </c>
      <c r="M21" s="3">
        <v>10</v>
      </c>
      <c r="N21" s="3">
        <v>10</v>
      </c>
      <c r="O21" s="3">
        <v>15</v>
      </c>
    </row>
    <row r="22" spans="1:15" x14ac:dyDescent="0.4">
      <c r="A22" s="2" t="s">
        <v>142</v>
      </c>
      <c r="B22" s="3">
        <v>50</v>
      </c>
      <c r="C22" s="3">
        <v>50</v>
      </c>
      <c r="D22" s="3">
        <v>50</v>
      </c>
      <c r="E22" s="3">
        <v>50</v>
      </c>
      <c r="F22" s="3">
        <v>50</v>
      </c>
      <c r="G22" s="3">
        <v>50</v>
      </c>
      <c r="H22" s="3">
        <v>50</v>
      </c>
      <c r="I22" s="3">
        <v>50</v>
      </c>
      <c r="J22" s="3">
        <v>50</v>
      </c>
      <c r="K22" s="3">
        <v>50</v>
      </c>
      <c r="L22" s="3">
        <v>50</v>
      </c>
      <c r="M22" s="3">
        <v>50</v>
      </c>
      <c r="N22" s="3">
        <v>50</v>
      </c>
      <c r="O22" s="3">
        <v>50</v>
      </c>
    </row>
    <row r="23" spans="1:15" x14ac:dyDescent="0.4">
      <c r="A23" s="2" t="s">
        <v>132</v>
      </c>
      <c r="B23" s="3">
        <v>50</v>
      </c>
      <c r="C23" s="3">
        <v>50</v>
      </c>
      <c r="D23" s="3">
        <v>50</v>
      </c>
      <c r="E23" s="3">
        <v>50</v>
      </c>
      <c r="F23" s="3">
        <v>50</v>
      </c>
      <c r="G23" s="3">
        <v>50</v>
      </c>
      <c r="H23" s="3">
        <v>50</v>
      </c>
      <c r="I23" s="3">
        <v>50</v>
      </c>
      <c r="J23" s="3">
        <v>50</v>
      </c>
      <c r="K23" s="3">
        <v>50</v>
      </c>
      <c r="L23" s="3">
        <v>50</v>
      </c>
      <c r="M23" s="3">
        <v>45</v>
      </c>
      <c r="N23" s="3">
        <v>45</v>
      </c>
      <c r="O23" s="3">
        <v>49.5</v>
      </c>
    </row>
    <row r="24" spans="1:15" x14ac:dyDescent="0.4">
      <c r="A24" s="2" t="s">
        <v>137</v>
      </c>
      <c r="B24" s="3">
        <v>50</v>
      </c>
      <c r="C24" s="3">
        <v>50</v>
      </c>
      <c r="D24" s="3">
        <v>50</v>
      </c>
      <c r="E24" s="3">
        <v>50</v>
      </c>
      <c r="F24" s="3">
        <v>50</v>
      </c>
      <c r="G24" s="3">
        <v>50</v>
      </c>
      <c r="H24" s="3">
        <v>50</v>
      </c>
      <c r="I24" s="3">
        <v>50</v>
      </c>
      <c r="J24" s="3">
        <v>50</v>
      </c>
      <c r="K24" s="3">
        <v>50</v>
      </c>
      <c r="L24" s="3">
        <v>50</v>
      </c>
      <c r="M24" s="3">
        <v>50</v>
      </c>
      <c r="N24" s="3">
        <v>50</v>
      </c>
      <c r="O24" s="3">
        <v>50</v>
      </c>
    </row>
    <row r="25" spans="1:15" x14ac:dyDescent="0.4">
      <c r="A25" s="2" t="s">
        <v>80</v>
      </c>
      <c r="B25" s="3">
        <v>50</v>
      </c>
      <c r="C25" s="3">
        <v>50</v>
      </c>
      <c r="D25" s="3">
        <v>50</v>
      </c>
      <c r="E25" s="3">
        <v>50</v>
      </c>
      <c r="F25" s="3">
        <v>48</v>
      </c>
      <c r="G25" s="3">
        <v>0</v>
      </c>
      <c r="H25" s="3">
        <v>50</v>
      </c>
      <c r="I25" s="3">
        <v>50</v>
      </c>
      <c r="J25" s="3">
        <v>43.5</v>
      </c>
      <c r="K25" s="3">
        <v>23</v>
      </c>
      <c r="L25" s="3">
        <v>23</v>
      </c>
      <c r="M25" s="3">
        <v>50</v>
      </c>
      <c r="N25" s="3">
        <v>50</v>
      </c>
      <c r="O25" s="3">
        <v>42.1</v>
      </c>
    </row>
    <row r="26" spans="1:15" x14ac:dyDescent="0.4">
      <c r="A26" s="2" t="s">
        <v>160</v>
      </c>
      <c r="B26" s="3">
        <v>48</v>
      </c>
      <c r="C26" s="3">
        <v>45</v>
      </c>
      <c r="D26" s="3">
        <v>40</v>
      </c>
      <c r="E26" s="3">
        <v>50</v>
      </c>
      <c r="F26" s="3">
        <v>0</v>
      </c>
      <c r="G26" s="3">
        <v>0</v>
      </c>
      <c r="H26" s="3">
        <v>0</v>
      </c>
      <c r="I26" s="3">
        <v>0</v>
      </c>
      <c r="J26" s="3">
        <v>22.875</v>
      </c>
      <c r="K26" s="3">
        <v>50</v>
      </c>
      <c r="L26" s="3">
        <v>50</v>
      </c>
      <c r="M26" s="3">
        <v>40</v>
      </c>
      <c r="N26" s="3">
        <v>40</v>
      </c>
      <c r="O26" s="3">
        <v>27.3</v>
      </c>
    </row>
    <row r="27" spans="1:15" x14ac:dyDescent="0.4">
      <c r="A27" s="2" t="s">
        <v>104</v>
      </c>
      <c r="B27" s="3">
        <v>50</v>
      </c>
      <c r="C27" s="3">
        <v>50</v>
      </c>
      <c r="D27" s="3">
        <v>45</v>
      </c>
      <c r="E27" s="3">
        <v>45</v>
      </c>
      <c r="F27" s="3">
        <v>48</v>
      </c>
      <c r="G27" s="3">
        <v>50</v>
      </c>
      <c r="H27" s="3">
        <v>0</v>
      </c>
      <c r="I27" s="3">
        <v>0</v>
      </c>
      <c r="J27" s="3">
        <v>36</v>
      </c>
      <c r="K27" s="3">
        <v>25</v>
      </c>
      <c r="L27" s="3">
        <v>25</v>
      </c>
      <c r="M27" s="3">
        <v>40</v>
      </c>
      <c r="N27" s="3">
        <v>40</v>
      </c>
      <c r="O27" s="3">
        <v>35.299999999999997</v>
      </c>
    </row>
    <row r="28" spans="1:15" x14ac:dyDescent="0.4">
      <c r="A28" s="2" t="s">
        <v>85</v>
      </c>
      <c r="B28" s="3">
        <v>50</v>
      </c>
      <c r="C28" s="3">
        <v>50</v>
      </c>
      <c r="D28" s="3">
        <v>45</v>
      </c>
      <c r="E28" s="3">
        <v>50</v>
      </c>
      <c r="F28" s="3">
        <v>48</v>
      </c>
      <c r="G28" s="3">
        <v>0</v>
      </c>
      <c r="H28" s="3">
        <v>50</v>
      </c>
      <c r="I28" s="3">
        <v>50</v>
      </c>
      <c r="J28" s="3">
        <v>42.875</v>
      </c>
      <c r="K28" s="3">
        <v>23</v>
      </c>
      <c r="L28" s="3">
        <v>23</v>
      </c>
      <c r="M28" s="3">
        <v>50</v>
      </c>
      <c r="N28" s="3">
        <v>50</v>
      </c>
      <c r="O28" s="3">
        <v>41.6</v>
      </c>
    </row>
    <row r="29" spans="1:15" x14ac:dyDescent="0.4">
      <c r="A29" s="2" t="s">
        <v>51</v>
      </c>
      <c r="B29" s="3">
        <v>0</v>
      </c>
      <c r="C29" s="3">
        <v>0</v>
      </c>
      <c r="D29" s="3">
        <v>0</v>
      </c>
      <c r="E29" s="3">
        <v>0</v>
      </c>
      <c r="F29" s="3">
        <v>0</v>
      </c>
      <c r="G29" s="3">
        <v>0</v>
      </c>
      <c r="H29" s="3">
        <v>0</v>
      </c>
      <c r="I29" s="3">
        <v>0</v>
      </c>
      <c r="J29" s="3">
        <v>0</v>
      </c>
      <c r="K29" s="3">
        <v>0</v>
      </c>
      <c r="L29" s="3">
        <v>0</v>
      </c>
      <c r="M29" s="3">
        <v>40</v>
      </c>
      <c r="N29" s="3">
        <v>40</v>
      </c>
      <c r="O29" s="3">
        <v>4</v>
      </c>
    </row>
    <row r="30" spans="1:15" x14ac:dyDescent="0.4">
      <c r="A30" s="2" t="s">
        <v>56</v>
      </c>
      <c r="B30" s="3">
        <v>50</v>
      </c>
      <c r="C30" s="3">
        <v>50</v>
      </c>
      <c r="D30" s="3">
        <v>50</v>
      </c>
      <c r="E30" s="3">
        <v>50</v>
      </c>
      <c r="F30" s="3">
        <v>50</v>
      </c>
      <c r="G30" s="3">
        <v>50</v>
      </c>
      <c r="H30" s="3">
        <v>50</v>
      </c>
      <c r="I30" s="3">
        <v>50</v>
      </c>
      <c r="J30" s="3">
        <v>50</v>
      </c>
      <c r="K30" s="3">
        <v>50</v>
      </c>
      <c r="L30" s="3">
        <v>50</v>
      </c>
      <c r="M30" s="3">
        <v>50</v>
      </c>
      <c r="N30" s="3">
        <v>50</v>
      </c>
      <c r="O30" s="3">
        <v>50</v>
      </c>
    </row>
    <row r="31" spans="1:15" x14ac:dyDescent="0.4">
      <c r="A31" s="2" t="s">
        <v>205</v>
      </c>
      <c r="B31" s="3">
        <v>50</v>
      </c>
      <c r="C31" s="3">
        <v>50</v>
      </c>
      <c r="D31" s="3">
        <v>50</v>
      </c>
      <c r="E31" s="3">
        <v>50</v>
      </c>
      <c r="F31" s="3">
        <v>46</v>
      </c>
      <c r="G31" s="3">
        <v>50</v>
      </c>
      <c r="H31" s="3">
        <v>50</v>
      </c>
      <c r="I31" s="3">
        <v>48</v>
      </c>
      <c r="J31" s="3">
        <v>49.25</v>
      </c>
      <c r="K31" s="3">
        <v>13</v>
      </c>
      <c r="L31" s="3">
        <v>13</v>
      </c>
      <c r="M31" s="3">
        <v>43</v>
      </c>
      <c r="N31" s="3">
        <v>43</v>
      </c>
      <c r="O31" s="3">
        <v>45</v>
      </c>
    </row>
    <row r="32" spans="1:15" x14ac:dyDescent="0.4">
      <c r="A32" s="2" t="s">
        <v>117</v>
      </c>
      <c r="B32" s="3">
        <v>50</v>
      </c>
      <c r="C32" s="3">
        <v>48</v>
      </c>
      <c r="D32" s="3">
        <v>50</v>
      </c>
      <c r="E32" s="3">
        <v>0</v>
      </c>
      <c r="F32" s="3">
        <v>30</v>
      </c>
      <c r="G32" s="3">
        <v>30</v>
      </c>
      <c r="H32" s="3">
        <v>50</v>
      </c>
      <c r="I32" s="3">
        <v>45</v>
      </c>
      <c r="J32" s="3">
        <v>37.875</v>
      </c>
      <c r="K32" s="3">
        <v>60</v>
      </c>
      <c r="L32" s="3">
        <v>60</v>
      </c>
      <c r="M32" s="3">
        <v>47</v>
      </c>
      <c r="N32" s="3">
        <v>47</v>
      </c>
      <c r="O32" s="3">
        <v>41</v>
      </c>
    </row>
    <row r="33" spans="1:15" x14ac:dyDescent="0.4">
      <c r="A33" s="2" t="s">
        <v>122</v>
      </c>
      <c r="B33" s="3">
        <v>50</v>
      </c>
      <c r="C33" s="3">
        <v>50</v>
      </c>
      <c r="D33" s="3">
        <v>50</v>
      </c>
      <c r="E33" s="3">
        <v>50</v>
      </c>
      <c r="F33" s="3">
        <v>40</v>
      </c>
      <c r="G33" s="3">
        <v>50</v>
      </c>
      <c r="H33" s="3">
        <v>50</v>
      </c>
      <c r="I33" s="3">
        <v>50</v>
      </c>
      <c r="J33" s="3">
        <v>48.75</v>
      </c>
      <c r="K33" s="3">
        <v>50</v>
      </c>
      <c r="L33" s="3">
        <v>50</v>
      </c>
      <c r="M33" s="3">
        <v>50</v>
      </c>
      <c r="N33" s="3">
        <v>50</v>
      </c>
      <c r="O33" s="3">
        <v>49</v>
      </c>
    </row>
    <row r="34" spans="1:15" x14ac:dyDescent="0.4">
      <c r="A34" s="2" t="s">
        <v>41</v>
      </c>
      <c r="B34" s="3">
        <v>35</v>
      </c>
      <c r="C34" s="3">
        <v>20</v>
      </c>
      <c r="D34" s="3">
        <v>40</v>
      </c>
      <c r="E34" s="3">
        <v>50</v>
      </c>
      <c r="F34" s="3">
        <v>46</v>
      </c>
      <c r="G34" s="3">
        <v>50</v>
      </c>
      <c r="H34" s="3">
        <v>50</v>
      </c>
      <c r="I34" s="3">
        <v>47</v>
      </c>
      <c r="J34" s="3">
        <v>42.25</v>
      </c>
      <c r="K34" s="3">
        <v>40</v>
      </c>
      <c r="L34" s="3">
        <v>40</v>
      </c>
      <c r="M34" s="3">
        <v>46</v>
      </c>
      <c r="N34" s="3">
        <v>46</v>
      </c>
      <c r="O34" s="3">
        <v>42.4</v>
      </c>
    </row>
    <row r="35" spans="1:15" x14ac:dyDescent="0.4">
      <c r="A35" s="2" t="s">
        <v>24</v>
      </c>
      <c r="B35" s="3">
        <v>50</v>
      </c>
      <c r="C35" s="3">
        <v>50</v>
      </c>
      <c r="D35" s="3">
        <v>50</v>
      </c>
      <c r="E35" s="3">
        <v>50</v>
      </c>
      <c r="F35" s="3">
        <v>50</v>
      </c>
      <c r="G35" s="3">
        <v>50</v>
      </c>
      <c r="H35" s="3">
        <v>50</v>
      </c>
      <c r="I35" s="3">
        <v>50</v>
      </c>
      <c r="J35" s="3">
        <v>50</v>
      </c>
      <c r="K35" s="3">
        <v>50</v>
      </c>
      <c r="L35" s="3">
        <v>50</v>
      </c>
      <c r="M35" s="3">
        <v>45</v>
      </c>
      <c r="N35" s="3">
        <v>45</v>
      </c>
      <c r="O35" s="3">
        <v>49.5</v>
      </c>
    </row>
    <row r="36" spans="1:15" x14ac:dyDescent="0.4">
      <c r="A36" s="2" t="s">
        <v>178</v>
      </c>
      <c r="B36" s="3">
        <v>45</v>
      </c>
      <c r="C36" s="3">
        <v>35</v>
      </c>
      <c r="D36" s="3">
        <v>50</v>
      </c>
      <c r="E36" s="3">
        <v>45</v>
      </c>
      <c r="F36" s="3">
        <v>23</v>
      </c>
      <c r="G36" s="3">
        <v>28</v>
      </c>
      <c r="H36" s="3">
        <v>50</v>
      </c>
      <c r="I36" s="3">
        <v>50</v>
      </c>
      <c r="J36" s="3">
        <v>40.75</v>
      </c>
      <c r="K36" s="3">
        <v>35</v>
      </c>
      <c r="L36" s="3">
        <v>35</v>
      </c>
      <c r="M36" s="3">
        <v>50</v>
      </c>
      <c r="N36" s="3">
        <v>50</v>
      </c>
      <c r="O36" s="3">
        <v>41.1</v>
      </c>
    </row>
    <row r="37" spans="1:15" x14ac:dyDescent="0.4">
      <c r="A37" s="2" t="s">
        <v>65</v>
      </c>
      <c r="B37" s="3">
        <v>50</v>
      </c>
      <c r="C37" s="3">
        <v>25</v>
      </c>
      <c r="D37" s="3">
        <v>16</v>
      </c>
      <c r="E37" s="3">
        <v>50</v>
      </c>
      <c r="F37" s="3">
        <v>50</v>
      </c>
      <c r="G37" s="3">
        <v>50</v>
      </c>
      <c r="H37" s="3">
        <v>50</v>
      </c>
      <c r="I37" s="3">
        <v>50</v>
      </c>
      <c r="J37" s="3">
        <v>42.625</v>
      </c>
      <c r="K37" s="3">
        <v>50</v>
      </c>
      <c r="L37" s="3">
        <v>50</v>
      </c>
      <c r="M37" s="3">
        <v>50</v>
      </c>
      <c r="N37" s="3">
        <v>50</v>
      </c>
      <c r="O37" s="3">
        <v>44.1</v>
      </c>
    </row>
    <row r="38" spans="1:15" x14ac:dyDescent="0.4">
      <c r="A38" s="2" t="s">
        <v>152</v>
      </c>
      <c r="B38" s="3">
        <v>40</v>
      </c>
      <c r="C38" s="3">
        <v>50</v>
      </c>
      <c r="D38" s="3">
        <v>50</v>
      </c>
      <c r="E38" s="3">
        <v>0</v>
      </c>
      <c r="F38" s="3">
        <v>0</v>
      </c>
      <c r="G38" s="3">
        <v>0</v>
      </c>
      <c r="H38" s="3">
        <v>0</v>
      </c>
      <c r="I38" s="3">
        <v>0</v>
      </c>
      <c r="J38" s="3">
        <v>17.5</v>
      </c>
      <c r="K38" s="3">
        <v>0</v>
      </c>
      <c r="L38" s="3">
        <v>0</v>
      </c>
      <c r="M38" s="3">
        <v>10</v>
      </c>
      <c r="N38" s="3">
        <v>10</v>
      </c>
      <c r="O38" s="3">
        <v>15</v>
      </c>
    </row>
    <row r="39" spans="1:15" x14ac:dyDescent="0.4">
      <c r="A39" s="2" t="s">
        <v>168</v>
      </c>
      <c r="B39" s="3">
        <v>50</v>
      </c>
      <c r="C39" s="3">
        <v>25</v>
      </c>
      <c r="D39" s="3">
        <v>16</v>
      </c>
      <c r="E39" s="3">
        <v>0</v>
      </c>
      <c r="F39" s="3">
        <v>50</v>
      </c>
      <c r="G39" s="3">
        <v>50</v>
      </c>
      <c r="H39" s="3">
        <v>50</v>
      </c>
      <c r="I39" s="3">
        <v>50</v>
      </c>
      <c r="J39" s="3">
        <v>36.375</v>
      </c>
      <c r="K39" s="3">
        <v>50</v>
      </c>
      <c r="L39" s="3">
        <v>50</v>
      </c>
      <c r="M39" s="3">
        <v>50</v>
      </c>
      <c r="N39" s="3">
        <v>50</v>
      </c>
      <c r="O39" s="3">
        <v>39.1</v>
      </c>
    </row>
    <row r="40" spans="1:15" x14ac:dyDescent="0.4">
      <c r="A40" s="2" t="s">
        <v>70</v>
      </c>
      <c r="B40" s="3">
        <v>50</v>
      </c>
      <c r="C40" s="3">
        <v>25</v>
      </c>
      <c r="D40" s="3">
        <v>16</v>
      </c>
      <c r="E40" s="3">
        <v>50</v>
      </c>
      <c r="F40" s="3">
        <v>50</v>
      </c>
      <c r="G40" s="3">
        <v>50</v>
      </c>
      <c r="H40" s="3">
        <v>50</v>
      </c>
      <c r="I40" s="3">
        <v>50</v>
      </c>
      <c r="J40" s="3">
        <v>42.625</v>
      </c>
      <c r="K40" s="3">
        <v>50</v>
      </c>
      <c r="L40" s="3">
        <v>50</v>
      </c>
      <c r="M40" s="3">
        <v>50</v>
      </c>
      <c r="N40" s="3">
        <v>50</v>
      </c>
      <c r="O40" s="3">
        <v>44.1</v>
      </c>
    </row>
    <row r="41" spans="1:15" x14ac:dyDescent="0.4">
      <c r="A41" s="2" t="s">
        <v>107</v>
      </c>
      <c r="B41" s="3">
        <v>50</v>
      </c>
      <c r="C41" s="3">
        <v>48</v>
      </c>
      <c r="D41" s="3">
        <v>50</v>
      </c>
      <c r="E41" s="3">
        <v>50</v>
      </c>
      <c r="F41" s="3">
        <v>50</v>
      </c>
      <c r="G41" s="3">
        <v>50</v>
      </c>
      <c r="H41" s="3">
        <v>50</v>
      </c>
      <c r="I41" s="3">
        <v>45</v>
      </c>
      <c r="J41" s="3">
        <v>49.125</v>
      </c>
      <c r="K41" s="3">
        <v>60</v>
      </c>
      <c r="L41" s="3">
        <v>60</v>
      </c>
      <c r="M41" s="3">
        <v>47</v>
      </c>
      <c r="N41" s="3">
        <v>47</v>
      </c>
      <c r="O41" s="3">
        <v>50</v>
      </c>
    </row>
    <row r="42" spans="1:15" x14ac:dyDescent="0.4">
      <c r="A42" s="2" t="s">
        <v>31</v>
      </c>
      <c r="B42" s="3">
        <v>45</v>
      </c>
      <c r="C42" s="3">
        <v>45</v>
      </c>
      <c r="D42" s="3">
        <v>50</v>
      </c>
      <c r="E42" s="3">
        <v>50</v>
      </c>
      <c r="F42" s="3">
        <v>50</v>
      </c>
      <c r="G42" s="3">
        <v>50</v>
      </c>
      <c r="H42" s="3">
        <v>0</v>
      </c>
      <c r="I42" s="3">
        <v>0</v>
      </c>
      <c r="J42" s="3">
        <v>36.25</v>
      </c>
      <c r="K42" s="3">
        <v>35</v>
      </c>
      <c r="L42" s="3">
        <v>35</v>
      </c>
      <c r="M42" s="3">
        <v>30</v>
      </c>
      <c r="N42" s="3">
        <v>30</v>
      </c>
      <c r="O42" s="3">
        <v>35.5</v>
      </c>
    </row>
    <row r="43" spans="1:15" x14ac:dyDescent="0.4">
      <c r="A43" s="2" t="s">
        <v>173</v>
      </c>
      <c r="B43" s="3">
        <v>50</v>
      </c>
      <c r="C43" s="3">
        <v>50</v>
      </c>
      <c r="D43" s="3">
        <v>50</v>
      </c>
      <c r="E43" s="3">
        <v>50</v>
      </c>
      <c r="F43" s="3">
        <v>50</v>
      </c>
      <c r="G43" s="3">
        <v>50</v>
      </c>
      <c r="H43" s="3">
        <v>0</v>
      </c>
      <c r="I43" s="3">
        <v>0</v>
      </c>
      <c r="J43" s="3">
        <v>37.5</v>
      </c>
      <c r="K43" s="3">
        <v>50</v>
      </c>
      <c r="L43" s="3">
        <v>50</v>
      </c>
      <c r="M43" s="3">
        <v>45</v>
      </c>
      <c r="N43" s="3">
        <v>45</v>
      </c>
      <c r="O43" s="3">
        <v>39.5</v>
      </c>
    </row>
    <row r="44" spans="1:15" x14ac:dyDescent="0.4">
      <c r="A44" s="2" t="s">
        <v>36</v>
      </c>
      <c r="B44" s="3">
        <v>50</v>
      </c>
      <c r="C44" s="3">
        <v>50</v>
      </c>
      <c r="D44" s="3">
        <v>50</v>
      </c>
      <c r="E44" s="3">
        <v>50</v>
      </c>
      <c r="F44" s="3">
        <v>0</v>
      </c>
      <c r="G44" s="3">
        <v>50</v>
      </c>
      <c r="H44" s="3">
        <v>0</v>
      </c>
      <c r="I44" s="3">
        <v>0</v>
      </c>
      <c r="J44" s="3">
        <v>31.25</v>
      </c>
      <c r="K44" s="3">
        <v>23</v>
      </c>
      <c r="L44" s="3">
        <v>23</v>
      </c>
      <c r="M44" s="3">
        <v>30</v>
      </c>
      <c r="N44" s="3">
        <v>30</v>
      </c>
      <c r="O44" s="3">
        <v>30.3</v>
      </c>
    </row>
    <row r="45" spans="1:15" x14ac:dyDescent="0.4">
      <c r="A45" s="2" t="s">
        <v>336</v>
      </c>
      <c r="B45" s="3">
        <v>45.102564102564102</v>
      </c>
      <c r="C45" s="3">
        <v>41.641025641025642</v>
      </c>
      <c r="D45" s="3">
        <v>41.743589743589745</v>
      </c>
      <c r="E45" s="3">
        <v>41.820512820512818</v>
      </c>
      <c r="F45" s="3">
        <v>32.92307692307692</v>
      </c>
      <c r="G45" s="3">
        <v>35.102564102564102</v>
      </c>
      <c r="H45" s="3">
        <v>34.230769230769234</v>
      </c>
      <c r="I45" s="3">
        <v>33.358974358974358</v>
      </c>
      <c r="J45" s="3">
        <v>38.240384615384613</v>
      </c>
      <c r="K45" s="3">
        <v>38.102564102564102</v>
      </c>
      <c r="L45" s="3">
        <v>38.102564102564102</v>
      </c>
      <c r="M45" s="3">
        <v>41.615384615384613</v>
      </c>
      <c r="N45" s="3">
        <v>41.615384615384613</v>
      </c>
      <c r="O45" s="3">
        <v>38.564102564102562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A462-F0A2-4C0F-874F-096ABE218CEF}">
  <dimension ref="A2:G45"/>
  <sheetViews>
    <sheetView workbookViewId="0">
      <pane ySplit="5" topLeftCell="A18" activePane="bottomLeft" state="frozen"/>
      <selection pane="bottomLeft" activeCell="A5" sqref="A5"/>
    </sheetView>
  </sheetViews>
  <sheetFormatPr baseColWidth="10" defaultRowHeight="16.8" x14ac:dyDescent="0.4"/>
  <cols>
    <col min="1" max="1" width="30" bestFit="1" customWidth="1"/>
    <col min="2" max="2" width="23.296875" bestFit="1" customWidth="1"/>
    <col min="3" max="5" width="16" bestFit="1" customWidth="1"/>
    <col min="6" max="6" width="16.69921875" bestFit="1" customWidth="1"/>
    <col min="7" max="7" width="12.296875" bestFit="1" customWidth="1"/>
    <col min="8" max="9" width="16.69921875" bestFit="1" customWidth="1"/>
    <col min="12" max="12" width="12.296875" bestFit="1" customWidth="1"/>
  </cols>
  <sheetData>
    <row r="2" spans="1:7" x14ac:dyDescent="0.4">
      <c r="A2" s="1" t="s">
        <v>17</v>
      </c>
      <c r="B2" s="2" t="s">
        <v>445</v>
      </c>
    </row>
    <row r="4" spans="1:7" x14ac:dyDescent="0.4">
      <c r="A4" s="1" t="s">
        <v>339</v>
      </c>
      <c r="B4" s="1" t="s">
        <v>337</v>
      </c>
      <c r="C4" s="2"/>
      <c r="D4" s="2"/>
      <c r="E4" s="2"/>
      <c r="F4" s="4"/>
      <c r="G4" s="4"/>
    </row>
    <row r="5" spans="1:7" x14ac:dyDescent="0.4">
      <c r="A5" s="1" t="s">
        <v>12</v>
      </c>
      <c r="B5" s="2" t="s">
        <v>700</v>
      </c>
      <c r="C5" s="2" t="s">
        <v>502</v>
      </c>
      <c r="D5" s="2" t="s">
        <v>501</v>
      </c>
      <c r="E5" s="2" t="s">
        <v>446</v>
      </c>
      <c r="F5" s="4" t="s">
        <v>734</v>
      </c>
      <c r="G5" s="5" t="s">
        <v>344</v>
      </c>
    </row>
    <row r="6" spans="1:7" x14ac:dyDescent="0.4">
      <c r="A6" s="2" t="s">
        <v>210</v>
      </c>
      <c r="B6" s="3">
        <v>50</v>
      </c>
      <c r="C6" s="3">
        <v>50</v>
      </c>
      <c r="D6" s="3">
        <v>50</v>
      </c>
      <c r="E6" s="3">
        <v>50</v>
      </c>
      <c r="F6" s="3">
        <v>50</v>
      </c>
      <c r="G6" s="3">
        <f t="shared" ref="G6:G44" si="0">COUNTIF(B6:F6,0)</f>
        <v>0</v>
      </c>
    </row>
    <row r="7" spans="1:7" x14ac:dyDescent="0.4">
      <c r="A7" s="2" t="s">
        <v>89</v>
      </c>
      <c r="B7" s="3">
        <v>50</v>
      </c>
      <c r="C7" s="3">
        <v>25</v>
      </c>
      <c r="D7" s="3">
        <v>50</v>
      </c>
      <c r="E7" s="3">
        <v>0</v>
      </c>
      <c r="F7" s="3">
        <v>50</v>
      </c>
      <c r="G7" s="3">
        <f t="shared" si="0"/>
        <v>1</v>
      </c>
    </row>
    <row r="8" spans="1:7" x14ac:dyDescent="0.4">
      <c r="A8" s="2" t="s">
        <v>94</v>
      </c>
      <c r="B8" s="3">
        <v>50</v>
      </c>
      <c r="C8" s="3">
        <v>0</v>
      </c>
      <c r="D8" s="3">
        <v>0</v>
      </c>
      <c r="E8" s="3">
        <v>0</v>
      </c>
      <c r="F8" s="3">
        <v>50</v>
      </c>
      <c r="G8" s="3">
        <f t="shared" si="0"/>
        <v>3</v>
      </c>
    </row>
    <row r="9" spans="1:7" x14ac:dyDescent="0.4">
      <c r="A9" s="2" t="s">
        <v>99</v>
      </c>
      <c r="B9" s="3">
        <v>50</v>
      </c>
      <c r="C9" s="3">
        <v>25</v>
      </c>
      <c r="D9" s="3">
        <v>50</v>
      </c>
      <c r="E9" s="3">
        <v>50</v>
      </c>
      <c r="F9" s="3">
        <v>50</v>
      </c>
      <c r="G9" s="3">
        <f t="shared" si="0"/>
        <v>0</v>
      </c>
    </row>
    <row r="10" spans="1:7" x14ac:dyDescent="0.4">
      <c r="A10" s="2" t="s">
        <v>147</v>
      </c>
      <c r="B10" s="3">
        <v>50</v>
      </c>
      <c r="C10" s="3">
        <v>50</v>
      </c>
      <c r="D10" s="3">
        <v>50</v>
      </c>
      <c r="E10" s="3">
        <v>50</v>
      </c>
      <c r="F10" s="3">
        <v>50</v>
      </c>
      <c r="G10" s="3">
        <f t="shared" si="0"/>
        <v>0</v>
      </c>
    </row>
    <row r="11" spans="1:7" x14ac:dyDescent="0.4">
      <c r="A11" s="2" t="s">
        <v>46</v>
      </c>
      <c r="B11" s="3">
        <v>0</v>
      </c>
      <c r="C11" s="3">
        <v>25</v>
      </c>
      <c r="D11" s="3">
        <v>0</v>
      </c>
      <c r="E11" s="3">
        <v>50</v>
      </c>
      <c r="F11" s="3">
        <v>50</v>
      </c>
      <c r="G11" s="3">
        <f t="shared" si="0"/>
        <v>2</v>
      </c>
    </row>
    <row r="12" spans="1:7" x14ac:dyDescent="0.4">
      <c r="A12" s="2" t="s">
        <v>192</v>
      </c>
      <c r="B12" s="3">
        <v>50</v>
      </c>
      <c r="C12" s="3">
        <v>25</v>
      </c>
      <c r="D12" s="3">
        <v>0</v>
      </c>
      <c r="E12" s="3">
        <v>50</v>
      </c>
      <c r="F12" s="3">
        <v>50</v>
      </c>
      <c r="G12" s="3">
        <f t="shared" si="0"/>
        <v>1</v>
      </c>
    </row>
    <row r="13" spans="1:7" x14ac:dyDescent="0.4">
      <c r="A13" s="2" t="s">
        <v>112</v>
      </c>
      <c r="B13" s="3">
        <v>50</v>
      </c>
      <c r="C13" s="3">
        <v>50</v>
      </c>
      <c r="D13" s="3">
        <v>50</v>
      </c>
      <c r="E13" s="3">
        <v>0</v>
      </c>
      <c r="F13" s="3">
        <v>50</v>
      </c>
      <c r="G13" s="3">
        <f t="shared" si="0"/>
        <v>1</v>
      </c>
    </row>
    <row r="14" spans="1:7" x14ac:dyDescent="0.4">
      <c r="A14" s="2" t="s">
        <v>215</v>
      </c>
      <c r="B14" s="3">
        <v>50</v>
      </c>
      <c r="C14" s="3">
        <v>50</v>
      </c>
      <c r="D14" s="3">
        <v>50</v>
      </c>
      <c r="E14" s="3">
        <v>50</v>
      </c>
      <c r="F14" s="3">
        <v>50</v>
      </c>
      <c r="G14" s="3">
        <f t="shared" si="0"/>
        <v>0</v>
      </c>
    </row>
    <row r="15" spans="1:7" x14ac:dyDescent="0.4">
      <c r="A15" s="2" t="s">
        <v>197</v>
      </c>
      <c r="B15" s="3">
        <v>50</v>
      </c>
      <c r="C15" s="3">
        <v>25</v>
      </c>
      <c r="D15" s="3">
        <v>0</v>
      </c>
      <c r="E15" s="3">
        <v>50</v>
      </c>
      <c r="F15" s="3">
        <v>50</v>
      </c>
      <c r="G15" s="3">
        <f t="shared" si="0"/>
        <v>1</v>
      </c>
    </row>
    <row r="16" spans="1:7" x14ac:dyDescent="0.4">
      <c r="A16" s="2" t="s">
        <v>60</v>
      </c>
      <c r="B16" s="3">
        <v>50</v>
      </c>
      <c r="C16" s="3">
        <v>50</v>
      </c>
      <c r="D16" s="3">
        <v>50</v>
      </c>
      <c r="E16" s="3">
        <v>50</v>
      </c>
      <c r="F16" s="3">
        <v>50</v>
      </c>
      <c r="G16" s="3">
        <f t="shared" si="0"/>
        <v>0</v>
      </c>
    </row>
    <row r="17" spans="1:7" x14ac:dyDescent="0.4">
      <c r="A17" s="2" t="s">
        <v>75</v>
      </c>
      <c r="B17" s="3">
        <v>0</v>
      </c>
      <c r="C17" s="3">
        <v>50</v>
      </c>
      <c r="D17" s="3">
        <v>50</v>
      </c>
      <c r="E17" s="3">
        <v>50</v>
      </c>
      <c r="F17" s="3">
        <v>50</v>
      </c>
      <c r="G17" s="3">
        <f t="shared" si="0"/>
        <v>1</v>
      </c>
    </row>
    <row r="18" spans="1:7" x14ac:dyDescent="0.4">
      <c r="A18" s="2" t="s">
        <v>163</v>
      </c>
      <c r="B18" s="3">
        <v>50</v>
      </c>
      <c r="C18" s="3">
        <v>25</v>
      </c>
      <c r="D18" s="3">
        <v>0</v>
      </c>
      <c r="E18" s="3">
        <v>50</v>
      </c>
      <c r="F18" s="3">
        <v>50</v>
      </c>
      <c r="G18" s="3">
        <f t="shared" si="0"/>
        <v>1</v>
      </c>
    </row>
    <row r="19" spans="1:7" x14ac:dyDescent="0.4">
      <c r="A19" s="2" t="s">
        <v>127</v>
      </c>
      <c r="B19" s="3">
        <v>50</v>
      </c>
      <c r="C19" s="3">
        <v>50</v>
      </c>
      <c r="D19" s="3">
        <v>50</v>
      </c>
      <c r="E19" s="3">
        <v>50</v>
      </c>
      <c r="F19" s="3">
        <v>50</v>
      </c>
      <c r="G19" s="3">
        <f t="shared" si="0"/>
        <v>0</v>
      </c>
    </row>
    <row r="20" spans="1:7" x14ac:dyDescent="0.4">
      <c r="A20" s="2" t="s">
        <v>187</v>
      </c>
      <c r="B20" s="3">
        <v>0</v>
      </c>
      <c r="C20" s="3">
        <v>50</v>
      </c>
      <c r="D20" s="3">
        <v>50</v>
      </c>
      <c r="E20" s="3">
        <v>50</v>
      </c>
      <c r="F20" s="3">
        <v>50</v>
      </c>
      <c r="G20" s="3">
        <f t="shared" si="0"/>
        <v>1</v>
      </c>
    </row>
    <row r="21" spans="1:7" x14ac:dyDescent="0.4">
      <c r="A21" s="2" t="s">
        <v>201</v>
      </c>
      <c r="B21" s="3">
        <v>0</v>
      </c>
      <c r="C21" s="3">
        <v>0</v>
      </c>
      <c r="D21" s="3">
        <v>0</v>
      </c>
      <c r="E21" s="3">
        <v>0</v>
      </c>
      <c r="F21" s="3">
        <v>50</v>
      </c>
      <c r="G21" s="3">
        <f t="shared" si="0"/>
        <v>4</v>
      </c>
    </row>
    <row r="22" spans="1:7" x14ac:dyDescent="0.4">
      <c r="A22" s="2" t="s">
        <v>142</v>
      </c>
      <c r="B22" s="3">
        <v>0</v>
      </c>
      <c r="C22" s="3">
        <v>50</v>
      </c>
      <c r="D22" s="3">
        <v>50</v>
      </c>
      <c r="E22" s="3">
        <v>50</v>
      </c>
      <c r="F22" s="3">
        <v>50</v>
      </c>
      <c r="G22" s="3">
        <f t="shared" si="0"/>
        <v>1</v>
      </c>
    </row>
    <row r="23" spans="1:7" x14ac:dyDescent="0.4">
      <c r="A23" s="2" t="s">
        <v>132</v>
      </c>
      <c r="B23" s="3">
        <v>0</v>
      </c>
      <c r="C23" s="3">
        <v>50</v>
      </c>
      <c r="D23" s="3">
        <v>0</v>
      </c>
      <c r="E23" s="3">
        <v>50</v>
      </c>
      <c r="F23" s="3">
        <v>50</v>
      </c>
      <c r="G23" s="3">
        <f t="shared" si="0"/>
        <v>2</v>
      </c>
    </row>
    <row r="24" spans="1:7" x14ac:dyDescent="0.4">
      <c r="A24" s="2" t="s">
        <v>137</v>
      </c>
      <c r="B24" s="3">
        <v>0</v>
      </c>
      <c r="C24" s="3">
        <v>50</v>
      </c>
      <c r="D24" s="3">
        <v>50</v>
      </c>
      <c r="E24" s="3">
        <v>50</v>
      </c>
      <c r="F24" s="3">
        <v>50</v>
      </c>
      <c r="G24" s="3">
        <f t="shared" si="0"/>
        <v>1</v>
      </c>
    </row>
    <row r="25" spans="1:7" x14ac:dyDescent="0.4">
      <c r="A25" s="2" t="s">
        <v>80</v>
      </c>
      <c r="B25" s="3">
        <v>50</v>
      </c>
      <c r="C25" s="3">
        <v>25</v>
      </c>
      <c r="D25" s="3">
        <v>50</v>
      </c>
      <c r="E25" s="3">
        <v>50</v>
      </c>
      <c r="F25" s="3">
        <v>50</v>
      </c>
      <c r="G25" s="3">
        <f t="shared" si="0"/>
        <v>0</v>
      </c>
    </row>
    <row r="26" spans="1:7" x14ac:dyDescent="0.4">
      <c r="A26" s="2" t="s">
        <v>160</v>
      </c>
      <c r="B26" s="3">
        <v>0</v>
      </c>
      <c r="C26" s="3">
        <v>25</v>
      </c>
      <c r="D26" s="3">
        <v>0</v>
      </c>
      <c r="E26" s="3">
        <v>50</v>
      </c>
      <c r="F26" s="3">
        <v>50</v>
      </c>
      <c r="G26" s="3">
        <f t="shared" si="0"/>
        <v>2</v>
      </c>
    </row>
    <row r="27" spans="1:7" x14ac:dyDescent="0.4">
      <c r="A27" s="2" t="s">
        <v>104</v>
      </c>
      <c r="B27" s="3">
        <v>50</v>
      </c>
      <c r="C27" s="3">
        <v>50</v>
      </c>
      <c r="D27" s="3">
        <v>50</v>
      </c>
      <c r="E27" s="3">
        <v>50</v>
      </c>
      <c r="F27" s="3">
        <v>50</v>
      </c>
      <c r="G27" s="3">
        <f t="shared" si="0"/>
        <v>0</v>
      </c>
    </row>
    <row r="28" spans="1:7" x14ac:dyDescent="0.4">
      <c r="A28" s="2" t="s">
        <v>85</v>
      </c>
      <c r="B28" s="3">
        <v>50</v>
      </c>
      <c r="C28" s="3">
        <v>25</v>
      </c>
      <c r="D28" s="3">
        <v>50</v>
      </c>
      <c r="E28" s="3">
        <v>50</v>
      </c>
      <c r="F28" s="3">
        <v>50</v>
      </c>
      <c r="G28" s="3">
        <f t="shared" si="0"/>
        <v>0</v>
      </c>
    </row>
    <row r="29" spans="1:7" x14ac:dyDescent="0.4">
      <c r="A29" s="2" t="s">
        <v>51</v>
      </c>
      <c r="B29" s="3">
        <v>0</v>
      </c>
      <c r="C29" s="3">
        <v>25</v>
      </c>
      <c r="D29" s="3">
        <v>0</v>
      </c>
      <c r="E29" s="3">
        <v>50</v>
      </c>
      <c r="F29" s="3">
        <v>50</v>
      </c>
      <c r="G29" s="3">
        <f t="shared" si="0"/>
        <v>2</v>
      </c>
    </row>
    <row r="30" spans="1:7" x14ac:dyDescent="0.4">
      <c r="A30" s="2" t="s">
        <v>56</v>
      </c>
      <c r="B30" s="3">
        <v>50</v>
      </c>
      <c r="C30" s="3">
        <v>25</v>
      </c>
      <c r="D30" s="3">
        <v>50</v>
      </c>
      <c r="E30" s="3">
        <v>50</v>
      </c>
      <c r="F30" s="3">
        <v>50</v>
      </c>
      <c r="G30" s="3">
        <f t="shared" si="0"/>
        <v>0</v>
      </c>
    </row>
    <row r="31" spans="1:7" x14ac:dyDescent="0.4">
      <c r="A31" s="2" t="s">
        <v>205</v>
      </c>
      <c r="B31" s="3">
        <v>0</v>
      </c>
      <c r="C31" s="3">
        <v>50</v>
      </c>
      <c r="D31" s="3">
        <v>50</v>
      </c>
      <c r="E31" s="3">
        <v>50</v>
      </c>
      <c r="F31" s="3">
        <v>50</v>
      </c>
      <c r="G31" s="3">
        <f t="shared" si="0"/>
        <v>1</v>
      </c>
    </row>
    <row r="32" spans="1:7" x14ac:dyDescent="0.4">
      <c r="A32" s="2" t="s">
        <v>117</v>
      </c>
      <c r="B32" s="3">
        <v>50</v>
      </c>
      <c r="C32" s="3">
        <v>50</v>
      </c>
      <c r="D32" s="3">
        <v>50</v>
      </c>
      <c r="E32" s="3">
        <v>50</v>
      </c>
      <c r="F32" s="3">
        <v>50</v>
      </c>
      <c r="G32" s="3">
        <f t="shared" si="0"/>
        <v>0</v>
      </c>
    </row>
    <row r="33" spans="1:7" x14ac:dyDescent="0.4">
      <c r="A33" s="2" t="s">
        <v>122</v>
      </c>
      <c r="B33" s="3">
        <v>50</v>
      </c>
      <c r="C33" s="3">
        <v>25</v>
      </c>
      <c r="D33" s="3">
        <v>50</v>
      </c>
      <c r="E33" s="3">
        <v>50</v>
      </c>
      <c r="F33" s="3">
        <v>50</v>
      </c>
      <c r="G33" s="3">
        <f t="shared" si="0"/>
        <v>0</v>
      </c>
    </row>
    <row r="34" spans="1:7" x14ac:dyDescent="0.4">
      <c r="A34" s="2" t="s">
        <v>41</v>
      </c>
      <c r="B34" s="3">
        <v>50</v>
      </c>
      <c r="C34" s="3">
        <v>50</v>
      </c>
      <c r="D34" s="3">
        <v>0</v>
      </c>
      <c r="E34" s="3">
        <v>50</v>
      </c>
      <c r="F34" s="3">
        <v>50</v>
      </c>
      <c r="G34" s="3">
        <f t="shared" si="0"/>
        <v>1</v>
      </c>
    </row>
    <row r="35" spans="1:7" x14ac:dyDescent="0.4">
      <c r="A35" s="2" t="s">
        <v>24</v>
      </c>
      <c r="B35" s="3">
        <v>50</v>
      </c>
      <c r="C35" s="3">
        <v>50</v>
      </c>
      <c r="D35" s="3">
        <v>50</v>
      </c>
      <c r="E35" s="3">
        <v>50</v>
      </c>
      <c r="F35" s="3">
        <v>50</v>
      </c>
      <c r="G35" s="3">
        <f t="shared" si="0"/>
        <v>0</v>
      </c>
    </row>
    <row r="36" spans="1:7" x14ac:dyDescent="0.4">
      <c r="A36" s="2" t="s">
        <v>178</v>
      </c>
      <c r="B36" s="3">
        <v>0</v>
      </c>
      <c r="C36" s="3">
        <v>50</v>
      </c>
      <c r="D36" s="3">
        <v>50</v>
      </c>
      <c r="E36" s="3">
        <v>50</v>
      </c>
      <c r="F36" s="3">
        <v>50</v>
      </c>
      <c r="G36" s="3">
        <f t="shared" si="0"/>
        <v>1</v>
      </c>
    </row>
    <row r="37" spans="1:7" x14ac:dyDescent="0.4">
      <c r="A37" s="2" t="s">
        <v>65</v>
      </c>
      <c r="B37" s="3">
        <v>50</v>
      </c>
      <c r="C37" s="3">
        <v>50</v>
      </c>
      <c r="D37" s="3">
        <v>50</v>
      </c>
      <c r="E37" s="3">
        <v>50</v>
      </c>
      <c r="F37" s="3">
        <v>50</v>
      </c>
      <c r="G37" s="3">
        <f t="shared" si="0"/>
        <v>0</v>
      </c>
    </row>
    <row r="38" spans="1:7" x14ac:dyDescent="0.4">
      <c r="A38" s="2" t="s">
        <v>152</v>
      </c>
      <c r="B38" s="3">
        <v>50</v>
      </c>
      <c r="C38" s="3">
        <v>0</v>
      </c>
      <c r="D38" s="3">
        <v>0</v>
      </c>
      <c r="E38" s="3">
        <v>0</v>
      </c>
      <c r="F38" s="3">
        <v>50</v>
      </c>
      <c r="G38" s="3">
        <f t="shared" si="0"/>
        <v>3</v>
      </c>
    </row>
    <row r="39" spans="1:7" x14ac:dyDescent="0.4">
      <c r="A39" s="2" t="s">
        <v>168</v>
      </c>
      <c r="B39" s="3">
        <v>50</v>
      </c>
      <c r="C39" s="3">
        <v>50</v>
      </c>
      <c r="D39" s="3">
        <v>50</v>
      </c>
      <c r="E39" s="3">
        <v>50</v>
      </c>
      <c r="F39" s="3">
        <v>50</v>
      </c>
      <c r="G39" s="3">
        <f t="shared" si="0"/>
        <v>0</v>
      </c>
    </row>
    <row r="40" spans="1:7" x14ac:dyDescent="0.4">
      <c r="A40" s="2" t="s">
        <v>70</v>
      </c>
      <c r="B40" s="3">
        <v>50</v>
      </c>
      <c r="C40" s="3">
        <v>50</v>
      </c>
      <c r="D40" s="3">
        <v>50</v>
      </c>
      <c r="E40" s="3">
        <v>50</v>
      </c>
      <c r="F40" s="3">
        <v>50</v>
      </c>
      <c r="G40" s="3">
        <f t="shared" si="0"/>
        <v>0</v>
      </c>
    </row>
    <row r="41" spans="1:7" x14ac:dyDescent="0.4">
      <c r="A41" s="2" t="s">
        <v>107</v>
      </c>
      <c r="B41" s="3">
        <v>50</v>
      </c>
      <c r="C41" s="3">
        <v>50</v>
      </c>
      <c r="D41" s="3">
        <v>50</v>
      </c>
      <c r="E41" s="3">
        <v>50</v>
      </c>
      <c r="F41" s="3">
        <v>50</v>
      </c>
      <c r="G41" s="3">
        <f t="shared" si="0"/>
        <v>0</v>
      </c>
    </row>
    <row r="42" spans="1:7" x14ac:dyDescent="0.4">
      <c r="A42" s="2" t="s">
        <v>31</v>
      </c>
      <c r="B42" s="3">
        <v>0</v>
      </c>
      <c r="C42" s="3">
        <v>25</v>
      </c>
      <c r="D42" s="3">
        <v>50</v>
      </c>
      <c r="E42" s="3">
        <v>0</v>
      </c>
      <c r="F42" s="3">
        <v>50</v>
      </c>
      <c r="G42" s="3">
        <f t="shared" si="0"/>
        <v>2</v>
      </c>
    </row>
    <row r="43" spans="1:7" x14ac:dyDescent="0.4">
      <c r="A43" s="2" t="s">
        <v>173</v>
      </c>
      <c r="B43" s="3">
        <v>0</v>
      </c>
      <c r="C43" s="3">
        <v>50</v>
      </c>
      <c r="D43" s="3">
        <v>50</v>
      </c>
      <c r="E43" s="3">
        <v>50</v>
      </c>
      <c r="F43" s="3">
        <v>50</v>
      </c>
      <c r="G43" s="3">
        <f t="shared" si="0"/>
        <v>1</v>
      </c>
    </row>
    <row r="44" spans="1:7" x14ac:dyDescent="0.4">
      <c r="A44" s="2" t="s">
        <v>36</v>
      </c>
      <c r="B44" s="3">
        <v>0</v>
      </c>
      <c r="C44" s="3">
        <v>25</v>
      </c>
      <c r="D44" s="3">
        <v>50</v>
      </c>
      <c r="E44" s="3">
        <v>50</v>
      </c>
      <c r="F44" s="3">
        <v>50</v>
      </c>
      <c r="G44" s="3">
        <f t="shared" si="0"/>
        <v>1</v>
      </c>
    </row>
    <row r="45" spans="1:7" x14ac:dyDescent="0.4">
      <c r="A45" s="2" t="s">
        <v>336</v>
      </c>
      <c r="B45" s="3">
        <v>32.051282051282051</v>
      </c>
      <c r="C45" s="3">
        <v>37.179487179487182</v>
      </c>
      <c r="D45" s="3">
        <v>35.897435897435898</v>
      </c>
      <c r="E45" s="3">
        <v>42.307692307692307</v>
      </c>
      <c r="F45" s="6">
        <f>AVERAGE(F6:F44)</f>
        <v>50</v>
      </c>
      <c r="G45" s="6">
        <f>AVERAGE(G6:G44)</f>
        <v>0.87179487179487181</v>
      </c>
    </row>
  </sheetData>
  <conditionalFormatting pivot="1" sqref="B6:E44">
    <cfRule type="cellIs" dxfId="219" priority="4" operator="equal">
      <formula>0</formula>
    </cfRule>
  </conditionalFormatting>
  <conditionalFormatting sqref="G6:G45">
    <cfRule type="cellIs" dxfId="218" priority="2" operator="equal">
      <formula>0</formula>
    </cfRule>
  </conditionalFormatting>
  <conditionalFormatting sqref="F6:F44">
    <cfRule type="cellIs" dxfId="217" priority="1" operator="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1F6DD-1B87-4A19-A614-CC0B48B94D51}">
  <sheetPr filterMode="1"/>
  <dimension ref="A1:R56"/>
  <sheetViews>
    <sheetView zoomScaleNormal="100" workbookViewId="0">
      <pane xSplit="1" ySplit="1" topLeftCell="J38" activePane="bottomRight" state="frozen"/>
      <selection pane="topRight" activeCell="B1" sqref="B1"/>
      <selection pane="bottomLeft" activeCell="A2" sqref="A2"/>
      <selection pane="bottomRight" activeCell="M38" sqref="M38"/>
    </sheetView>
  </sheetViews>
  <sheetFormatPr baseColWidth="10" defaultColWidth="58.19921875" defaultRowHeight="16.8" x14ac:dyDescent="0.4"/>
  <cols>
    <col min="1" max="1" width="31.5" bestFit="1" customWidth="1"/>
    <col min="2" max="2" width="19.8984375" bestFit="1" customWidth="1"/>
    <col min="3" max="3" width="5.296875" bestFit="1" customWidth="1"/>
    <col min="4" max="4" width="19.5" bestFit="1" customWidth="1"/>
    <col min="5" max="5" width="6.09765625" bestFit="1" customWidth="1"/>
    <col min="6" max="6" width="17.19921875" bestFit="1" customWidth="1"/>
    <col min="7" max="7" width="6.09765625" bestFit="1" customWidth="1"/>
    <col min="8" max="8" width="15.09765625" bestFit="1" customWidth="1"/>
    <col min="9" max="9" width="12.8984375" bestFit="1" customWidth="1"/>
    <col min="10" max="10" width="13.59765625" bestFit="1" customWidth="1"/>
    <col min="11" max="11" width="14.59765625" bestFit="1" customWidth="1"/>
    <col min="12" max="12" width="23.09765625" bestFit="1" customWidth="1"/>
    <col min="13" max="13" width="13.69921875" bestFit="1" customWidth="1"/>
    <col min="14" max="15" width="8.19921875" bestFit="1" customWidth="1"/>
    <col min="16" max="16" width="18.8984375" bestFit="1" customWidth="1"/>
    <col min="17" max="17" width="14.19921875" bestFit="1" customWidth="1"/>
    <col min="18" max="18" width="19.3984375" bestFit="1" customWidth="1"/>
  </cols>
  <sheetData>
    <row r="1" spans="1:18" x14ac:dyDescent="0.4">
      <c r="A1" s="7" t="s">
        <v>345</v>
      </c>
      <c r="B1" s="7" t="s">
        <v>347</v>
      </c>
      <c r="C1" s="8">
        <v>0.2</v>
      </c>
      <c r="D1" s="7" t="s">
        <v>348</v>
      </c>
      <c r="E1" s="8">
        <v>0.3</v>
      </c>
      <c r="F1" s="7" t="s">
        <v>349</v>
      </c>
      <c r="G1" s="8">
        <v>0.5</v>
      </c>
      <c r="H1" s="55" t="s">
        <v>737</v>
      </c>
      <c r="I1" s="54" t="s">
        <v>735</v>
      </c>
      <c r="J1" s="54" t="s">
        <v>738</v>
      </c>
      <c r="K1" s="55" t="s">
        <v>736</v>
      </c>
      <c r="L1" s="55" t="s">
        <v>740</v>
      </c>
      <c r="M1" s="56" t="s">
        <v>741</v>
      </c>
      <c r="N1" s="57" t="s">
        <v>742</v>
      </c>
      <c r="O1" s="57" t="s">
        <v>743</v>
      </c>
      <c r="P1" s="58" t="s">
        <v>744</v>
      </c>
      <c r="Q1" s="57" t="s">
        <v>745</v>
      </c>
      <c r="R1" s="59" t="s">
        <v>746</v>
      </c>
    </row>
    <row r="2" spans="1:18" hidden="1" x14ac:dyDescent="0.4">
      <c r="A2" s="2" t="s">
        <v>210</v>
      </c>
      <c r="B2" s="11">
        <f>_xlfn.XLOOKUP(A2,Notas_Corte_2!A4:A46,Notas_Corte_2!B4:B46,"na",0)</f>
        <v>37.5</v>
      </c>
      <c r="C2" s="12">
        <f t="shared" ref="C2:C40" si="0">B2*$B$45</f>
        <v>7.5</v>
      </c>
      <c r="D2" s="11">
        <f>_xlfn.XLOOKUP(A2,Notas_Corte_2!A4:A46,Notas_Corte_2!C4:C46,"na",0)</f>
        <v>50</v>
      </c>
      <c r="E2" s="12">
        <f t="shared" ref="E2:E40" si="1">D2*$B$44</f>
        <v>15</v>
      </c>
      <c r="F2" s="11">
        <f>_xlfn.XLOOKUP(A2,Notas_Corte_2!A4:A46,Notas_Corte_2!D4:D46,"na",0)</f>
        <v>50</v>
      </c>
      <c r="G2" s="12">
        <f t="shared" ref="G2:G40" si="2">F2*$B$43</f>
        <v>25</v>
      </c>
      <c r="H2" s="11">
        <f>C2+E2+G2</f>
        <v>47.5</v>
      </c>
      <c r="I2" s="11">
        <v>10</v>
      </c>
      <c r="J2" s="11" cm="1">
        <f t="array" ref="J2">_xlfn.XLOOKUP(A2,'Corte 1_Final'!A2:$A$42,'Corte 1_Final'!M2:$M$42,0,0)</f>
        <v>2.8999999999999986</v>
      </c>
      <c r="K2" s="11">
        <f>H2+I2+J2</f>
        <v>60.4</v>
      </c>
      <c r="L2" s="13">
        <v>50</v>
      </c>
      <c r="M2" s="64">
        <f>L2/10</f>
        <v>5</v>
      </c>
      <c r="N2" s="60">
        <f>_xlfn.XLOOKUP('Corte 2_Final'!A2,'Corte 1_Final'!$A$2:$A$42,'Corte 1_Final'!$L$2:$L$42,"NA",0)</f>
        <v>5</v>
      </c>
      <c r="O2" s="60">
        <f>M2</f>
        <v>5</v>
      </c>
      <c r="P2" s="61">
        <v>3</v>
      </c>
      <c r="Q2" s="42">
        <f>(N2*$O$43)+(O2*$O$44)+(P2*$O$45)</f>
        <v>4.2</v>
      </c>
      <c r="R2" s="10">
        <f>(3-(N2*$O$43)-(O2*$O$44))/$O$45</f>
        <v>0</v>
      </c>
    </row>
    <row r="3" spans="1:18" hidden="1" x14ac:dyDescent="0.4">
      <c r="A3" s="2" t="s">
        <v>89</v>
      </c>
      <c r="B3" s="11">
        <f>_xlfn.XLOOKUP(A3,Notas_Corte_2!A5:A47,Notas_Corte_2!B5:B47,"na",0)</f>
        <v>42.25</v>
      </c>
      <c r="C3" s="12">
        <f t="shared" si="0"/>
        <v>8.4500000000000011</v>
      </c>
      <c r="D3" s="11">
        <f>_xlfn.XLOOKUP(A3,Notas_Corte_2!A5:A47,Notas_Corte_2!C5:C47,"na",0)</f>
        <v>46</v>
      </c>
      <c r="E3" s="12">
        <f t="shared" si="1"/>
        <v>13.799999999999999</v>
      </c>
      <c r="F3" s="11">
        <f>_xlfn.XLOOKUP(A3,Notas_Corte_2!A5:A47,Notas_Corte_2!D5:D47,"na",0)</f>
        <v>40</v>
      </c>
      <c r="G3" s="12">
        <f t="shared" si="2"/>
        <v>20</v>
      </c>
      <c r="H3" s="11">
        <f t="shared" ref="H3:H40" si="3">C3+E3+G3</f>
        <v>42.25</v>
      </c>
      <c r="I3" s="11">
        <v>0</v>
      </c>
      <c r="J3" s="11" cm="1">
        <f t="array" ref="J3">_xlfn.XLOOKUP(A3,'Corte 1_Final'!A3:$A$42,'Corte 1_Final'!M3:$M$42,0,0)</f>
        <v>0</v>
      </c>
      <c r="K3" s="11">
        <f t="shared" ref="K3:K40" si="4">H3+I3+J3</f>
        <v>42.25</v>
      </c>
      <c r="L3" s="13">
        <f>K3</f>
        <v>42.25</v>
      </c>
      <c r="M3" s="64">
        <f t="shared" ref="M3:M40" si="5">L3/10</f>
        <v>4.2249999999999996</v>
      </c>
      <c r="N3" s="60">
        <f>_xlfn.XLOOKUP('Corte 2_Final'!A3,'Corte 1_Final'!$A$2:$A$42,'Corte 1_Final'!$L$2:$L$42,"NA",0)</f>
        <v>3.15</v>
      </c>
      <c r="O3" s="60">
        <f t="shared" ref="O3:O40" si="6">M3</f>
        <v>4.2249999999999996</v>
      </c>
      <c r="P3" s="61">
        <v>3</v>
      </c>
      <c r="Q3" s="42">
        <f t="shared" ref="Q3:Q40" si="7">(N3*$O$43)+(O3*$O$44)+(P3*$O$45)</f>
        <v>3.4125000000000001</v>
      </c>
      <c r="R3" s="10">
        <f t="shared" ref="R3:R40" si="8">(3-(N3*$O$43)-(O3*$O$44))/$O$45</f>
        <v>1.9687500000000007</v>
      </c>
    </row>
    <row r="4" spans="1:18" hidden="1" x14ac:dyDescent="0.4">
      <c r="A4" s="2" t="s">
        <v>94</v>
      </c>
      <c r="B4" s="11">
        <f>_xlfn.XLOOKUP(A4,Notas_Corte_2!A6:A48,Notas_Corte_2!B6:B48,"na",0)</f>
        <v>22.875</v>
      </c>
      <c r="C4" s="12">
        <f t="shared" si="0"/>
        <v>4.5750000000000002</v>
      </c>
      <c r="D4" s="11">
        <f>_xlfn.XLOOKUP(A4,Notas_Corte_2!A6:A48,Notas_Corte_2!C6:C48,"na",0)</f>
        <v>50</v>
      </c>
      <c r="E4" s="12">
        <f t="shared" si="1"/>
        <v>15</v>
      </c>
      <c r="F4" s="11">
        <f>_xlfn.XLOOKUP(A4,Notas_Corte_2!A6:A48,Notas_Corte_2!D6:D48,"na",0)</f>
        <v>40</v>
      </c>
      <c r="G4" s="12">
        <f t="shared" si="2"/>
        <v>20</v>
      </c>
      <c r="H4" s="11">
        <f t="shared" si="3"/>
        <v>39.575000000000003</v>
      </c>
      <c r="I4" s="11">
        <v>5</v>
      </c>
      <c r="J4" s="11" cm="1">
        <f t="array" ref="J4">_xlfn.XLOOKUP(A4,'Corte 1_Final'!A4:$A$42,'Corte 1_Final'!M4:$M$42,0,0)</f>
        <v>0</v>
      </c>
      <c r="K4" s="11">
        <f t="shared" si="4"/>
        <v>44.575000000000003</v>
      </c>
      <c r="L4" s="13">
        <f>K4</f>
        <v>44.575000000000003</v>
      </c>
      <c r="M4" s="64">
        <f t="shared" si="5"/>
        <v>4.4575000000000005</v>
      </c>
      <c r="N4" s="60">
        <f>_xlfn.XLOOKUP('Corte 2_Final'!A4,'Corte 1_Final'!$A$2:$A$42,'Corte 1_Final'!$L$2:$L$42,"NA",0)</f>
        <v>3.25</v>
      </c>
      <c r="O4" s="60">
        <f t="shared" si="6"/>
        <v>4.4575000000000005</v>
      </c>
      <c r="P4" s="61">
        <v>3</v>
      </c>
      <c r="Q4" s="42">
        <f t="shared" si="7"/>
        <v>3.5122500000000003</v>
      </c>
      <c r="R4" s="10">
        <f t="shared" si="8"/>
        <v>1.7193749999999997</v>
      </c>
    </row>
    <row r="5" spans="1:18" hidden="1" x14ac:dyDescent="0.4">
      <c r="A5" s="2" t="s">
        <v>99</v>
      </c>
      <c r="B5" s="11">
        <f>_xlfn.XLOOKUP(A5,Notas_Corte_2!A7:A49,Notas_Corte_2!B7:B49,"na",0)</f>
        <v>43.75</v>
      </c>
      <c r="C5" s="12">
        <f t="shared" si="0"/>
        <v>8.75</v>
      </c>
      <c r="D5" s="11">
        <f>_xlfn.XLOOKUP(A5,Notas_Corte_2!A7:A49,Notas_Corte_2!C7:C49,"na",0)</f>
        <v>50</v>
      </c>
      <c r="E5" s="12">
        <f t="shared" si="1"/>
        <v>15</v>
      </c>
      <c r="F5" s="11">
        <f>_xlfn.XLOOKUP(A5,Notas_Corte_2!A7:A49,Notas_Corte_2!D7:D49,"na",0)</f>
        <v>50</v>
      </c>
      <c r="G5" s="12">
        <f t="shared" si="2"/>
        <v>25</v>
      </c>
      <c r="H5" s="11">
        <f t="shared" si="3"/>
        <v>48.75</v>
      </c>
      <c r="I5" s="11">
        <v>5</v>
      </c>
      <c r="J5" s="11" cm="1">
        <f t="array" ref="J5">_xlfn.XLOOKUP(A5,'Corte 1_Final'!A5:$A$42,'Corte 1_Final'!M5:$M$42,0,0)</f>
        <v>9.7000000000000028</v>
      </c>
      <c r="K5" s="11">
        <f t="shared" si="4"/>
        <v>63.45</v>
      </c>
      <c r="L5" s="13">
        <v>50</v>
      </c>
      <c r="M5" s="64">
        <f t="shared" si="5"/>
        <v>5</v>
      </c>
      <c r="N5" s="60">
        <f>_xlfn.XLOOKUP('Corte 2_Final'!A5,'Corte 1_Final'!$A$2:$A$42,'Corte 1_Final'!$L$2:$L$42,"NA",0)</f>
        <v>5</v>
      </c>
      <c r="O5" s="60">
        <f t="shared" si="6"/>
        <v>5</v>
      </c>
      <c r="P5" s="61">
        <v>3</v>
      </c>
      <c r="Q5" s="42">
        <f t="shared" si="7"/>
        <v>4.2</v>
      </c>
      <c r="R5" s="10">
        <f t="shared" si="8"/>
        <v>0</v>
      </c>
    </row>
    <row r="6" spans="1:18" hidden="1" x14ac:dyDescent="0.4">
      <c r="A6" s="2" t="s">
        <v>147</v>
      </c>
      <c r="B6" s="11">
        <f>_xlfn.XLOOKUP(A6,Notas_Corte_2!A8:A50,Notas_Corte_2!B8:B50,"na",0)</f>
        <v>40.75</v>
      </c>
      <c r="C6" s="12">
        <f t="shared" si="0"/>
        <v>8.15</v>
      </c>
      <c r="D6" s="11">
        <f>_xlfn.XLOOKUP(A6,Notas_Corte_2!A8:A50,Notas_Corte_2!C8:C50,"na",0)</f>
        <v>35</v>
      </c>
      <c r="E6" s="12">
        <f t="shared" si="1"/>
        <v>10.5</v>
      </c>
      <c r="F6" s="11">
        <f>_xlfn.XLOOKUP(A6,Notas_Corte_2!A8:A50,Notas_Corte_2!D8:D50,"na",0)</f>
        <v>50</v>
      </c>
      <c r="G6" s="12">
        <f t="shared" si="2"/>
        <v>25</v>
      </c>
      <c r="H6" s="11">
        <f t="shared" si="3"/>
        <v>43.65</v>
      </c>
      <c r="I6" s="11">
        <v>10</v>
      </c>
      <c r="J6" s="11" cm="1">
        <f t="array" ref="J6">_xlfn.XLOOKUP(A6,'Corte 1_Final'!A6:$A$42,'Corte 1_Final'!M6:$M$42,0,0)</f>
        <v>3.5</v>
      </c>
      <c r="K6" s="11">
        <f t="shared" si="4"/>
        <v>57.15</v>
      </c>
      <c r="L6" s="13">
        <v>50</v>
      </c>
      <c r="M6" s="64">
        <f t="shared" si="5"/>
        <v>5</v>
      </c>
      <c r="N6" s="60">
        <f>_xlfn.XLOOKUP('Corte 2_Final'!A6,'Corte 1_Final'!$A$2:$A$42,'Corte 1_Final'!$L$2:$L$42,"NA",0)</f>
        <v>5</v>
      </c>
      <c r="O6" s="60">
        <f t="shared" si="6"/>
        <v>5</v>
      </c>
      <c r="P6" s="61">
        <v>3</v>
      </c>
      <c r="Q6" s="42">
        <f t="shared" si="7"/>
        <v>4.2</v>
      </c>
      <c r="R6" s="10">
        <f t="shared" si="8"/>
        <v>0</v>
      </c>
    </row>
    <row r="7" spans="1:18" hidden="1" x14ac:dyDescent="0.4">
      <c r="A7" s="2" t="s">
        <v>46</v>
      </c>
      <c r="B7" s="11">
        <f>_xlfn.XLOOKUP(A7,Notas_Corte_2!A9:A51,Notas_Corte_2!B9:B51,"na",0)</f>
        <v>11.875</v>
      </c>
      <c r="C7" s="12">
        <f t="shared" si="0"/>
        <v>2.375</v>
      </c>
      <c r="D7" s="11">
        <f>_xlfn.XLOOKUP(A7,Notas_Corte_2!A9:A51,Notas_Corte_2!C9:C51,"na",0)</f>
        <v>0</v>
      </c>
      <c r="E7" s="12">
        <f t="shared" si="1"/>
        <v>0</v>
      </c>
      <c r="F7" s="11">
        <f>_xlfn.XLOOKUP(A7,Notas_Corte_2!A9:A51,Notas_Corte_2!D9:D51,"na",0)</f>
        <v>0</v>
      </c>
      <c r="G7" s="12">
        <f t="shared" si="2"/>
        <v>0</v>
      </c>
      <c r="H7" s="11">
        <f t="shared" si="3"/>
        <v>2.375</v>
      </c>
      <c r="I7" s="11">
        <v>0</v>
      </c>
      <c r="J7" s="11" cm="1">
        <f t="array" ref="J7">_xlfn.XLOOKUP(A7,'Corte 1_Final'!A7:$A$42,'Corte 1_Final'!M7:$M$42,0,0)</f>
        <v>0</v>
      </c>
      <c r="K7" s="11">
        <f t="shared" si="4"/>
        <v>2.375</v>
      </c>
      <c r="L7" s="13">
        <f t="shared" ref="L7:L9" si="9">K7</f>
        <v>2.375</v>
      </c>
      <c r="M7" s="64">
        <f t="shared" si="5"/>
        <v>0.23749999999999999</v>
      </c>
      <c r="N7" s="60">
        <f>_xlfn.XLOOKUP('Corte 2_Final'!A7,'Corte 1_Final'!$A$2:$A$42,'Corte 1_Final'!$L$2:$L$42,"NA",0)</f>
        <v>4.71</v>
      </c>
      <c r="O7" s="60">
        <f t="shared" si="6"/>
        <v>0.23749999999999999</v>
      </c>
      <c r="P7" s="61">
        <v>3</v>
      </c>
      <c r="Q7" s="42">
        <f t="shared" si="7"/>
        <v>2.6842500000000005</v>
      </c>
      <c r="R7" s="10">
        <f t="shared" si="8"/>
        <v>3.7893749999999997</v>
      </c>
    </row>
    <row r="8" spans="1:18" hidden="1" x14ac:dyDescent="0.4">
      <c r="A8" s="2" t="s">
        <v>192</v>
      </c>
      <c r="B8" s="11">
        <f>_xlfn.XLOOKUP(A8,Notas_Corte_2!A10:A52,Notas_Corte_2!B10:B52,"na",0)</f>
        <v>49.25</v>
      </c>
      <c r="C8" s="12">
        <f t="shared" si="0"/>
        <v>9.8500000000000014</v>
      </c>
      <c r="D8" s="11">
        <f>_xlfn.XLOOKUP(A8,Notas_Corte_2!A10:A52,Notas_Corte_2!C10:C52,"na",0)</f>
        <v>50</v>
      </c>
      <c r="E8" s="12">
        <f t="shared" si="1"/>
        <v>15</v>
      </c>
      <c r="F8" s="11">
        <f>_xlfn.XLOOKUP(A8,Notas_Corte_2!A10:A52,Notas_Corte_2!D10:D52,"na",0)</f>
        <v>43</v>
      </c>
      <c r="G8" s="12">
        <f t="shared" si="2"/>
        <v>21.5</v>
      </c>
      <c r="H8" s="11">
        <f t="shared" si="3"/>
        <v>46.35</v>
      </c>
      <c r="I8" s="11">
        <v>0</v>
      </c>
      <c r="J8" s="11" cm="1">
        <f t="array" ref="J8">_xlfn.XLOOKUP(A8,'Corte 1_Final'!A8:$A$42,'Corte 1_Final'!M8:$M$42,0,0)</f>
        <v>6.5</v>
      </c>
      <c r="K8" s="11">
        <f t="shared" si="4"/>
        <v>52.85</v>
      </c>
      <c r="L8" s="13">
        <v>50</v>
      </c>
      <c r="M8" s="64">
        <f t="shared" si="5"/>
        <v>5</v>
      </c>
      <c r="N8" s="60">
        <f>_xlfn.XLOOKUP('Corte 2_Final'!A8,'Corte 1_Final'!$A$2:$A$42,'Corte 1_Final'!$L$2:$L$42,"NA",0)</f>
        <v>5</v>
      </c>
      <c r="O8" s="60">
        <f t="shared" si="6"/>
        <v>5</v>
      </c>
      <c r="P8" s="61">
        <v>3</v>
      </c>
      <c r="Q8" s="42">
        <f t="shared" si="7"/>
        <v>4.2</v>
      </c>
      <c r="R8" s="10">
        <f t="shared" si="8"/>
        <v>0</v>
      </c>
    </row>
    <row r="9" spans="1:18" hidden="1" x14ac:dyDescent="0.4">
      <c r="A9" s="2" t="s">
        <v>112</v>
      </c>
      <c r="B9" s="11">
        <f>_xlfn.XLOOKUP(A9,Notas_Corte_2!A11:A53,Notas_Corte_2!B11:B53,"na",0)</f>
        <v>23.875</v>
      </c>
      <c r="C9" s="12">
        <f t="shared" si="0"/>
        <v>4.7750000000000004</v>
      </c>
      <c r="D9" s="11">
        <f>_xlfn.XLOOKUP(A9,Notas_Corte_2!A11:A53,Notas_Corte_2!C11:C53,"na",0)</f>
        <v>45</v>
      </c>
      <c r="E9" s="12">
        <f t="shared" si="1"/>
        <v>13.5</v>
      </c>
      <c r="F9" s="11">
        <f>_xlfn.XLOOKUP(A9,Notas_Corte_2!A11:A53,Notas_Corte_2!D11:D53,"na",0)</f>
        <v>21</v>
      </c>
      <c r="G9" s="12">
        <f t="shared" si="2"/>
        <v>10.5</v>
      </c>
      <c r="H9" s="11">
        <f t="shared" si="3"/>
        <v>28.774999999999999</v>
      </c>
      <c r="I9" s="11">
        <v>0</v>
      </c>
      <c r="J9" s="11" cm="1">
        <f t="array" ref="J9">_xlfn.XLOOKUP(A9,'Corte 1_Final'!A9:$A$42,'Corte 1_Final'!M9:$M$42,0,0)</f>
        <v>0</v>
      </c>
      <c r="K9" s="11">
        <f t="shared" si="4"/>
        <v>28.774999999999999</v>
      </c>
      <c r="L9" s="13">
        <f t="shared" si="9"/>
        <v>28.774999999999999</v>
      </c>
      <c r="M9" s="64">
        <f t="shared" si="5"/>
        <v>2.8774999999999999</v>
      </c>
      <c r="N9" s="60">
        <f>_xlfn.XLOOKUP('Corte 2_Final'!A9,'Corte 1_Final'!$A$2:$A$42,'Corte 1_Final'!$L$2:$L$42,"NA",0)</f>
        <v>3.9899999999999998</v>
      </c>
      <c r="O9" s="60">
        <f t="shared" si="6"/>
        <v>2.8774999999999999</v>
      </c>
      <c r="P9" s="61">
        <v>3</v>
      </c>
      <c r="Q9" s="42">
        <f t="shared" si="7"/>
        <v>3.2602500000000001</v>
      </c>
      <c r="R9" s="10">
        <f t="shared" si="8"/>
        <v>2.3493750000000002</v>
      </c>
    </row>
    <row r="10" spans="1:18" hidden="1" x14ac:dyDescent="0.4">
      <c r="A10" s="2" t="s">
        <v>215</v>
      </c>
      <c r="B10" s="11">
        <f>_xlfn.XLOOKUP(A10,Notas_Corte_2!A12:A54,Notas_Corte_2!B12:B54,"na",0)</f>
        <v>49.125</v>
      </c>
      <c r="C10" s="12">
        <f t="shared" si="0"/>
        <v>9.8250000000000011</v>
      </c>
      <c r="D10" s="11">
        <f>_xlfn.XLOOKUP(A10,Notas_Corte_2!A12:A54,Notas_Corte_2!C12:C54,"na",0)</f>
        <v>60</v>
      </c>
      <c r="E10" s="12">
        <f t="shared" si="1"/>
        <v>18</v>
      </c>
      <c r="F10" s="11">
        <f>_xlfn.XLOOKUP(A10,Notas_Corte_2!A12:A54,Notas_Corte_2!D12:D54,"na",0)</f>
        <v>47</v>
      </c>
      <c r="G10" s="12">
        <f t="shared" si="2"/>
        <v>23.5</v>
      </c>
      <c r="H10" s="11">
        <f t="shared" si="3"/>
        <v>51.325000000000003</v>
      </c>
      <c r="I10" s="11">
        <v>5</v>
      </c>
      <c r="J10" s="11" cm="1">
        <f t="array" ref="J10">_xlfn.XLOOKUP(A10,'Corte 1_Final'!A10:$A$42,'Corte 1_Final'!M10:$M$42,0,0)</f>
        <v>4.1000000000000014</v>
      </c>
      <c r="K10" s="11">
        <f t="shared" si="4"/>
        <v>60.425000000000004</v>
      </c>
      <c r="L10" s="13">
        <v>50</v>
      </c>
      <c r="M10" s="64">
        <f t="shared" si="5"/>
        <v>5</v>
      </c>
      <c r="N10" s="60">
        <f>_xlfn.XLOOKUP('Corte 2_Final'!A10,'Corte 1_Final'!$A$2:$A$42,'Corte 1_Final'!$L$2:$L$42,"NA",0)</f>
        <v>5</v>
      </c>
      <c r="O10" s="60">
        <f t="shared" si="6"/>
        <v>5</v>
      </c>
      <c r="P10" s="61">
        <v>3</v>
      </c>
      <c r="Q10" s="42">
        <f t="shared" si="7"/>
        <v>4.2</v>
      </c>
      <c r="R10" s="10">
        <f t="shared" si="8"/>
        <v>0</v>
      </c>
    </row>
    <row r="11" spans="1:18" hidden="1" x14ac:dyDescent="0.4">
      <c r="A11" s="2" t="s">
        <v>197</v>
      </c>
      <c r="B11" s="11">
        <f>_xlfn.XLOOKUP(A11,Notas_Corte_2!A13:A55,Notas_Corte_2!B13:B55,"na",0)</f>
        <v>29.125</v>
      </c>
      <c r="C11" s="12">
        <f t="shared" si="0"/>
        <v>5.8250000000000002</v>
      </c>
      <c r="D11" s="11">
        <f>_xlfn.XLOOKUP(A11,Notas_Corte_2!A13:A55,Notas_Corte_2!C13:C55,"na",0)</f>
        <v>50</v>
      </c>
      <c r="E11" s="12">
        <f t="shared" si="1"/>
        <v>15</v>
      </c>
      <c r="F11" s="11">
        <f>_xlfn.XLOOKUP(A11,Notas_Corte_2!A13:A55,Notas_Corte_2!D13:D55,"na",0)</f>
        <v>40</v>
      </c>
      <c r="G11" s="12">
        <f t="shared" si="2"/>
        <v>20</v>
      </c>
      <c r="H11" s="11">
        <f t="shared" si="3"/>
        <v>40.825000000000003</v>
      </c>
      <c r="I11" s="11">
        <v>5</v>
      </c>
      <c r="J11" s="11" cm="1">
        <f t="array" ref="J11">_xlfn.XLOOKUP(A11,'Corte 1_Final'!A11:$A$42,'Corte 1_Final'!M11:$M$42,0,0)</f>
        <v>0</v>
      </c>
      <c r="K11" s="11">
        <f t="shared" si="4"/>
        <v>45.825000000000003</v>
      </c>
      <c r="L11" s="13">
        <f t="shared" ref="L11:L17" si="10">K11</f>
        <v>45.825000000000003</v>
      </c>
      <c r="M11" s="64">
        <f t="shared" si="5"/>
        <v>4.5825000000000005</v>
      </c>
      <c r="N11" s="60">
        <f>_xlfn.XLOOKUP('Corte 2_Final'!A11,'Corte 1_Final'!$A$2:$A$42,'Corte 1_Final'!$L$2:$L$42,"NA",0)</f>
        <v>3.5799999999999996</v>
      </c>
      <c r="O11" s="60">
        <f t="shared" si="6"/>
        <v>4.5825000000000005</v>
      </c>
      <c r="P11" s="61">
        <v>3</v>
      </c>
      <c r="Q11" s="42">
        <f t="shared" si="7"/>
        <v>3.6487500000000002</v>
      </c>
      <c r="R11" s="10">
        <f t="shared" si="8"/>
        <v>1.378125</v>
      </c>
    </row>
    <row r="12" spans="1:18" hidden="1" x14ac:dyDescent="0.4">
      <c r="A12" s="2" t="s">
        <v>60</v>
      </c>
      <c r="B12" s="11">
        <f>_xlfn.XLOOKUP(A12,Notas_Corte_2!A14:A56,Notas_Corte_2!B14:B56,"na",0)</f>
        <v>48.75</v>
      </c>
      <c r="C12" s="12">
        <f t="shared" si="0"/>
        <v>9.75</v>
      </c>
      <c r="D12" s="11">
        <f>_xlfn.XLOOKUP(A12,Notas_Corte_2!A14:A56,Notas_Corte_2!C14:C56,"na",0)</f>
        <v>50</v>
      </c>
      <c r="E12" s="12">
        <f t="shared" si="1"/>
        <v>15</v>
      </c>
      <c r="F12" s="11">
        <f>_xlfn.XLOOKUP(A12,Notas_Corte_2!A14:A56,Notas_Corte_2!D14:D56,"na",0)</f>
        <v>45</v>
      </c>
      <c r="G12" s="12">
        <f t="shared" si="2"/>
        <v>22.5</v>
      </c>
      <c r="H12" s="11">
        <f t="shared" si="3"/>
        <v>47.25</v>
      </c>
      <c r="I12" s="11">
        <v>0</v>
      </c>
      <c r="J12" s="11" cm="1">
        <f t="array" ref="J12">_xlfn.XLOOKUP(A12,'Corte 1_Final'!A12:$A$42,'Corte 1_Final'!M12:$M$42,0,0)</f>
        <v>0</v>
      </c>
      <c r="K12" s="11">
        <f t="shared" si="4"/>
        <v>47.25</v>
      </c>
      <c r="L12" s="13">
        <f t="shared" si="10"/>
        <v>47.25</v>
      </c>
      <c r="M12" s="64">
        <f t="shared" si="5"/>
        <v>4.7249999999999996</v>
      </c>
      <c r="N12" s="60">
        <f>_xlfn.XLOOKUP('Corte 2_Final'!A12,'Corte 1_Final'!$A$2:$A$42,'Corte 1_Final'!$L$2:$L$42,"NA",0)</f>
        <v>3.5750000000000002</v>
      </c>
      <c r="O12" s="60">
        <f t="shared" si="6"/>
        <v>4.7249999999999996</v>
      </c>
      <c r="P12" s="61">
        <v>3</v>
      </c>
      <c r="Q12" s="42">
        <f t="shared" si="7"/>
        <v>3.69</v>
      </c>
      <c r="R12" s="10">
        <f t="shared" si="8"/>
        <v>1.2750000000000006</v>
      </c>
    </row>
    <row r="13" spans="1:18" hidden="1" x14ac:dyDescent="0.4">
      <c r="A13" s="2" t="s">
        <v>75</v>
      </c>
      <c r="B13" s="11">
        <f>_xlfn.XLOOKUP(A13,Notas_Corte_2!A15:A57,Notas_Corte_2!B15:B57,"na",0)</f>
        <v>50</v>
      </c>
      <c r="C13" s="12">
        <f t="shared" si="0"/>
        <v>10</v>
      </c>
      <c r="D13" s="11">
        <f>_xlfn.XLOOKUP(A13,Notas_Corte_2!A15:A57,Notas_Corte_2!C15:C57,"na",0)</f>
        <v>50</v>
      </c>
      <c r="E13" s="12">
        <f t="shared" si="1"/>
        <v>15</v>
      </c>
      <c r="F13" s="11">
        <f>_xlfn.XLOOKUP(A13,Notas_Corte_2!A15:A57,Notas_Corte_2!D15:D57,"na",0)</f>
        <v>45</v>
      </c>
      <c r="G13" s="12">
        <f t="shared" si="2"/>
        <v>22.5</v>
      </c>
      <c r="H13" s="11">
        <f t="shared" si="3"/>
        <v>47.5</v>
      </c>
      <c r="I13" s="11">
        <v>0</v>
      </c>
      <c r="J13" s="11" cm="1">
        <f t="array" ref="J13">_xlfn.XLOOKUP(A13,'Corte 1_Final'!A13:$A$42,'Corte 1_Final'!M13:$M$42,0,0)</f>
        <v>0</v>
      </c>
      <c r="K13" s="11">
        <f t="shared" si="4"/>
        <v>47.5</v>
      </c>
      <c r="L13" s="13">
        <f t="shared" si="10"/>
        <v>47.5</v>
      </c>
      <c r="M13" s="64">
        <f t="shared" si="5"/>
        <v>4.75</v>
      </c>
      <c r="N13" s="60">
        <f>_xlfn.XLOOKUP('Corte 2_Final'!A13,'Corte 1_Final'!$A$2:$A$42,'Corte 1_Final'!$L$2:$L$42,"NA",0)</f>
        <v>4.9850000000000003</v>
      </c>
      <c r="O13" s="60">
        <f t="shared" si="6"/>
        <v>4.75</v>
      </c>
      <c r="P13" s="61">
        <v>3</v>
      </c>
      <c r="Q13" s="42">
        <f t="shared" si="7"/>
        <v>4.1204999999999998</v>
      </c>
      <c r="R13" s="10">
        <f t="shared" si="8"/>
        <v>0.19874999999999976</v>
      </c>
    </row>
    <row r="14" spans="1:18" hidden="1" x14ac:dyDescent="0.4">
      <c r="A14" s="2" t="s">
        <v>163</v>
      </c>
      <c r="B14" s="11">
        <f>_xlfn.XLOOKUP(A14,Notas_Corte_2!A16:A58,Notas_Corte_2!B16:B58,"na",0)</f>
        <v>18.125</v>
      </c>
      <c r="C14" s="12">
        <f t="shared" si="0"/>
        <v>3.625</v>
      </c>
      <c r="D14" s="11">
        <f>_xlfn.XLOOKUP(A14,Notas_Corte_2!A16:A58,Notas_Corte_2!C16:C58,"na",0)</f>
        <v>0</v>
      </c>
      <c r="E14" s="12">
        <f t="shared" si="1"/>
        <v>0</v>
      </c>
      <c r="F14" s="11">
        <f>_xlfn.XLOOKUP(A14,Notas_Corte_2!A16:A58,Notas_Corte_2!D16:D58,"na",0)</f>
        <v>46</v>
      </c>
      <c r="G14" s="12">
        <f t="shared" si="2"/>
        <v>23</v>
      </c>
      <c r="H14" s="11">
        <f t="shared" si="3"/>
        <v>26.625</v>
      </c>
      <c r="I14" s="11">
        <v>0</v>
      </c>
      <c r="J14" s="11" cm="1">
        <f t="array" ref="J14">_xlfn.XLOOKUP(A14,'Corte 1_Final'!A14:$A$42,'Corte 1_Final'!M14:$M$42,0,0)</f>
        <v>0</v>
      </c>
      <c r="K14" s="11">
        <f t="shared" si="4"/>
        <v>26.625</v>
      </c>
      <c r="L14" s="13">
        <f t="shared" si="10"/>
        <v>26.625</v>
      </c>
      <c r="M14" s="64">
        <f t="shared" si="5"/>
        <v>2.6625000000000001</v>
      </c>
      <c r="N14" s="60">
        <f>_xlfn.XLOOKUP('Corte 2_Final'!A14,'Corte 1_Final'!$A$2:$A$42,'Corte 1_Final'!$L$2:$L$42,"NA",0)</f>
        <v>4.3100000000000005</v>
      </c>
      <c r="O14" s="60">
        <f t="shared" si="6"/>
        <v>2.6625000000000001</v>
      </c>
      <c r="P14" s="61">
        <v>3</v>
      </c>
      <c r="Q14" s="42">
        <f t="shared" si="7"/>
        <v>3.2917500000000004</v>
      </c>
      <c r="R14" s="10">
        <f t="shared" si="8"/>
        <v>2.2706249999999994</v>
      </c>
    </row>
    <row r="15" spans="1:18" hidden="1" x14ac:dyDescent="0.4">
      <c r="A15" s="2" t="s">
        <v>127</v>
      </c>
      <c r="B15" s="11">
        <f>_xlfn.XLOOKUP(A15,Notas_Corte_2!A17:A59,Notas_Corte_2!B17:B59,"na",0)</f>
        <v>50</v>
      </c>
      <c r="C15" s="12">
        <f t="shared" si="0"/>
        <v>10</v>
      </c>
      <c r="D15" s="11">
        <f>_xlfn.XLOOKUP(A15,Notas_Corte_2!A17:A59,Notas_Corte_2!C17:C59,"na",0)</f>
        <v>50</v>
      </c>
      <c r="E15" s="12">
        <f t="shared" si="1"/>
        <v>15</v>
      </c>
      <c r="F15" s="11">
        <f>_xlfn.XLOOKUP(A15,Notas_Corte_2!A17:A59,Notas_Corte_2!D17:D59,"na",0)</f>
        <v>45</v>
      </c>
      <c r="G15" s="12">
        <f t="shared" si="2"/>
        <v>22.5</v>
      </c>
      <c r="H15" s="11">
        <f t="shared" si="3"/>
        <v>47.5</v>
      </c>
      <c r="I15" s="11">
        <v>0</v>
      </c>
      <c r="J15" s="11" cm="1">
        <f t="array" ref="J15">_xlfn.XLOOKUP(A15,'Corte 1_Final'!A15:$A$42,'Corte 1_Final'!M15:$M$42,0,0)</f>
        <v>1.1499999999999986</v>
      </c>
      <c r="K15" s="11">
        <f t="shared" si="4"/>
        <v>48.65</v>
      </c>
      <c r="L15" s="13">
        <f t="shared" si="10"/>
        <v>48.65</v>
      </c>
      <c r="M15" s="64">
        <f t="shared" si="5"/>
        <v>4.8650000000000002</v>
      </c>
      <c r="N15" s="60">
        <f>_xlfn.XLOOKUP('Corte 2_Final'!A15,'Corte 1_Final'!$A$2:$A$42,'Corte 1_Final'!$L$2:$L$42,"NA",0)</f>
        <v>5</v>
      </c>
      <c r="O15" s="60">
        <f t="shared" si="6"/>
        <v>4.8650000000000002</v>
      </c>
      <c r="P15" s="61">
        <v>3</v>
      </c>
      <c r="Q15" s="42">
        <f t="shared" si="7"/>
        <v>4.1595000000000004</v>
      </c>
      <c r="R15" s="10">
        <f t="shared" si="8"/>
        <v>0.10124999999999995</v>
      </c>
    </row>
    <row r="16" spans="1:18" hidden="1" x14ac:dyDescent="0.4">
      <c r="A16" s="2" t="s">
        <v>187</v>
      </c>
      <c r="B16" s="11">
        <f>_xlfn.XLOOKUP(A16,Notas_Corte_2!A18:A60,Notas_Corte_2!B18:B60,"na",0)</f>
        <v>49.25</v>
      </c>
      <c r="C16" s="12">
        <f t="shared" si="0"/>
        <v>9.8500000000000014</v>
      </c>
      <c r="D16" s="11">
        <f>_xlfn.XLOOKUP(A16,Notas_Corte_2!A18:A60,Notas_Corte_2!C18:C60,"na",0)</f>
        <v>13</v>
      </c>
      <c r="E16" s="12">
        <f t="shared" si="1"/>
        <v>3.9</v>
      </c>
      <c r="F16" s="11">
        <f>_xlfn.XLOOKUP(A16,Notas_Corte_2!A18:A60,Notas_Corte_2!D18:D60,"na",0)</f>
        <v>43</v>
      </c>
      <c r="G16" s="12">
        <f t="shared" si="2"/>
        <v>21.5</v>
      </c>
      <c r="H16" s="11">
        <f t="shared" si="3"/>
        <v>35.25</v>
      </c>
      <c r="I16" s="11">
        <v>0</v>
      </c>
      <c r="J16" s="11" cm="1">
        <f t="array" ref="J16">_xlfn.XLOOKUP(A16,'Corte 1_Final'!A16:$A$42,'Corte 1_Final'!M16:$M$42,0,0)</f>
        <v>3.6000000000000014</v>
      </c>
      <c r="K16" s="11">
        <f t="shared" si="4"/>
        <v>38.85</v>
      </c>
      <c r="L16" s="13">
        <f t="shared" si="10"/>
        <v>38.85</v>
      </c>
      <c r="M16" s="64">
        <f t="shared" si="5"/>
        <v>3.8850000000000002</v>
      </c>
      <c r="N16" s="60">
        <f>_xlfn.XLOOKUP('Corte 2_Final'!A16,'Corte 1_Final'!$A$2:$A$42,'Corte 1_Final'!$L$2:$L$42,"NA",0)</f>
        <v>5</v>
      </c>
      <c r="O16" s="60">
        <f t="shared" si="6"/>
        <v>3.8850000000000002</v>
      </c>
      <c r="P16" s="61">
        <v>3</v>
      </c>
      <c r="Q16" s="42">
        <f t="shared" si="7"/>
        <v>3.8654999999999999</v>
      </c>
      <c r="R16" s="10">
        <f t="shared" si="8"/>
        <v>0.83625000000000005</v>
      </c>
    </row>
    <row r="17" spans="1:18" hidden="1" x14ac:dyDescent="0.4">
      <c r="A17" s="2" t="s">
        <v>201</v>
      </c>
      <c r="B17" s="11">
        <f>_xlfn.XLOOKUP(A17,Notas_Corte_2!A19:A61,Notas_Corte_2!B19:B61,"na",0)</f>
        <v>17.5</v>
      </c>
      <c r="C17" s="12">
        <f t="shared" si="0"/>
        <v>3.5</v>
      </c>
      <c r="D17" s="11">
        <f>_xlfn.XLOOKUP(A17,Notas_Corte_2!A19:A61,Notas_Corte_2!C19:C61,"na",0)</f>
        <v>0</v>
      </c>
      <c r="E17" s="12">
        <f t="shared" si="1"/>
        <v>0</v>
      </c>
      <c r="F17" s="11">
        <f>_xlfn.XLOOKUP(A17,Notas_Corte_2!A19:A61,Notas_Corte_2!D19:D61,"na",0)</f>
        <v>10</v>
      </c>
      <c r="G17" s="12">
        <f t="shared" si="2"/>
        <v>5</v>
      </c>
      <c r="H17" s="11">
        <f t="shared" si="3"/>
        <v>8.5</v>
      </c>
      <c r="I17" s="11">
        <v>0</v>
      </c>
      <c r="J17" s="11" cm="1">
        <f t="array" ref="J17">_xlfn.XLOOKUP(A17,'Corte 1_Final'!A17:$A$42,'Corte 1_Final'!M17:$M$42,0,0)</f>
        <v>0</v>
      </c>
      <c r="K17" s="11">
        <f t="shared" si="4"/>
        <v>8.5</v>
      </c>
      <c r="L17" s="13">
        <f t="shared" si="10"/>
        <v>8.5</v>
      </c>
      <c r="M17" s="64">
        <f t="shared" si="5"/>
        <v>0.85</v>
      </c>
      <c r="N17" s="60">
        <f>_xlfn.XLOOKUP('Corte 2_Final'!A17,'Corte 1_Final'!$A$2:$A$42,'Corte 1_Final'!$L$2:$L$42,"NA",0)</f>
        <v>3.2299999999999995</v>
      </c>
      <c r="O17" s="60">
        <f t="shared" si="6"/>
        <v>0.85</v>
      </c>
      <c r="P17" s="61">
        <v>3</v>
      </c>
      <c r="Q17" s="42">
        <f t="shared" si="7"/>
        <v>2.4239999999999999</v>
      </c>
      <c r="R17" s="10">
        <f t="shared" si="8"/>
        <v>4.4400000000000004</v>
      </c>
    </row>
    <row r="18" spans="1:18" hidden="1" x14ac:dyDescent="0.4">
      <c r="A18" s="2" t="s">
        <v>142</v>
      </c>
      <c r="B18" s="11">
        <f>_xlfn.XLOOKUP(A18,Notas_Corte_2!A20:A62,Notas_Corte_2!B20:B62,"na",0)</f>
        <v>50</v>
      </c>
      <c r="C18" s="12">
        <f t="shared" si="0"/>
        <v>10</v>
      </c>
      <c r="D18" s="11">
        <f>_xlfn.XLOOKUP(A18,Notas_Corte_2!A20:A62,Notas_Corte_2!C20:C62,"na",0)</f>
        <v>50</v>
      </c>
      <c r="E18" s="12">
        <f t="shared" si="1"/>
        <v>15</v>
      </c>
      <c r="F18" s="11">
        <f>_xlfn.XLOOKUP(A18,Notas_Corte_2!A20:A62,Notas_Corte_2!D20:D62,"na",0)</f>
        <v>50</v>
      </c>
      <c r="G18" s="12">
        <f t="shared" si="2"/>
        <v>25</v>
      </c>
      <c r="H18" s="11">
        <f t="shared" si="3"/>
        <v>50</v>
      </c>
      <c r="I18" s="11">
        <v>0</v>
      </c>
      <c r="J18" s="11" cm="1">
        <f t="array" ref="J18">_xlfn.XLOOKUP(A18,'Corte 1_Final'!A18:$A$42,'Corte 1_Final'!M18:$M$42,0,0)</f>
        <v>10.899999999999999</v>
      </c>
      <c r="K18" s="11">
        <f t="shared" si="4"/>
        <v>60.9</v>
      </c>
      <c r="L18" s="13">
        <v>50</v>
      </c>
      <c r="M18" s="64">
        <f t="shared" si="5"/>
        <v>5</v>
      </c>
      <c r="N18" s="60">
        <f>_xlfn.XLOOKUP('Corte 2_Final'!A18,'Corte 1_Final'!$A$2:$A$42,'Corte 1_Final'!$L$2:$L$42,"NA",0)</f>
        <v>5</v>
      </c>
      <c r="O18" s="60">
        <f t="shared" si="6"/>
        <v>5</v>
      </c>
      <c r="P18" s="61">
        <v>3</v>
      </c>
      <c r="Q18" s="42">
        <f t="shared" si="7"/>
        <v>4.2</v>
      </c>
      <c r="R18" s="10">
        <f t="shared" si="8"/>
        <v>0</v>
      </c>
    </row>
    <row r="19" spans="1:18" hidden="1" x14ac:dyDescent="0.4">
      <c r="A19" s="2" t="s">
        <v>132</v>
      </c>
      <c r="B19" s="11">
        <f>_xlfn.XLOOKUP(A19,Notas_Corte_2!A21:A63,Notas_Corte_2!B21:B63,"na",0)</f>
        <v>50</v>
      </c>
      <c r="C19" s="12">
        <f t="shared" si="0"/>
        <v>10</v>
      </c>
      <c r="D19" s="11">
        <f>_xlfn.XLOOKUP(A19,Notas_Corte_2!A21:A63,Notas_Corte_2!C21:C63,"na",0)</f>
        <v>50</v>
      </c>
      <c r="E19" s="12">
        <f t="shared" si="1"/>
        <v>15</v>
      </c>
      <c r="F19" s="11">
        <f>_xlfn.XLOOKUP(A19,Notas_Corte_2!A21:A63,Notas_Corte_2!D21:D63,"na",0)</f>
        <v>45</v>
      </c>
      <c r="G19" s="12">
        <f t="shared" si="2"/>
        <v>22.5</v>
      </c>
      <c r="H19" s="11">
        <f t="shared" si="3"/>
        <v>47.5</v>
      </c>
      <c r="I19" s="11">
        <v>10</v>
      </c>
      <c r="J19" s="11" cm="1">
        <f t="array" ref="J19">_xlfn.XLOOKUP(A19,'Corte 1_Final'!A19:$A$42,'Corte 1_Final'!M19:$M$42,0,0)</f>
        <v>2.3500000000000014</v>
      </c>
      <c r="K19" s="11">
        <f t="shared" si="4"/>
        <v>59.85</v>
      </c>
      <c r="L19" s="13">
        <v>50</v>
      </c>
      <c r="M19" s="64">
        <f t="shared" si="5"/>
        <v>5</v>
      </c>
      <c r="N19" s="60">
        <f>_xlfn.XLOOKUP('Corte 2_Final'!A19,'Corte 1_Final'!$A$2:$A$42,'Corte 1_Final'!$L$2:$L$42,"NA",0)</f>
        <v>5</v>
      </c>
      <c r="O19" s="60">
        <f t="shared" si="6"/>
        <v>5</v>
      </c>
      <c r="P19" s="61">
        <v>3</v>
      </c>
      <c r="Q19" s="42">
        <f t="shared" si="7"/>
        <v>4.2</v>
      </c>
      <c r="R19" s="10">
        <f t="shared" si="8"/>
        <v>0</v>
      </c>
    </row>
    <row r="20" spans="1:18" hidden="1" x14ac:dyDescent="0.4">
      <c r="A20" s="2" t="s">
        <v>137</v>
      </c>
      <c r="B20" s="11">
        <f>_xlfn.XLOOKUP(A20,Notas_Corte_2!A22:A64,Notas_Corte_2!B22:B64,"na",0)</f>
        <v>50</v>
      </c>
      <c r="C20" s="12">
        <f t="shared" si="0"/>
        <v>10</v>
      </c>
      <c r="D20" s="11">
        <f>_xlfn.XLOOKUP(A20,Notas_Corte_2!A22:A64,Notas_Corte_2!C22:C64,"na",0)</f>
        <v>50</v>
      </c>
      <c r="E20" s="12">
        <f t="shared" si="1"/>
        <v>15</v>
      </c>
      <c r="F20" s="11">
        <f>_xlfn.XLOOKUP(A20,Notas_Corte_2!A22:A64,Notas_Corte_2!D22:D64,"na",0)</f>
        <v>50</v>
      </c>
      <c r="G20" s="12">
        <f t="shared" si="2"/>
        <v>25</v>
      </c>
      <c r="H20" s="11">
        <f t="shared" si="3"/>
        <v>50</v>
      </c>
      <c r="I20" s="11">
        <v>10</v>
      </c>
      <c r="J20" s="11" cm="1">
        <f t="array" ref="J20">_xlfn.XLOOKUP(A20,'Corte 1_Final'!A20:$A$42,'Corte 1_Final'!M20:$M$42,0,0)</f>
        <v>14</v>
      </c>
      <c r="K20" s="11">
        <f t="shared" si="4"/>
        <v>74</v>
      </c>
      <c r="L20" s="13">
        <v>50</v>
      </c>
      <c r="M20" s="64">
        <f t="shared" si="5"/>
        <v>5</v>
      </c>
      <c r="N20" s="60">
        <f>_xlfn.XLOOKUP('Corte 2_Final'!A20,'Corte 1_Final'!$A$2:$A$42,'Corte 1_Final'!$L$2:$L$42,"NA",0)</f>
        <v>5</v>
      </c>
      <c r="O20" s="60">
        <f t="shared" si="6"/>
        <v>5</v>
      </c>
      <c r="P20" s="61">
        <v>3</v>
      </c>
      <c r="Q20" s="42">
        <f t="shared" si="7"/>
        <v>4.2</v>
      </c>
      <c r="R20" s="10">
        <f t="shared" si="8"/>
        <v>0</v>
      </c>
    </row>
    <row r="21" spans="1:18" hidden="1" x14ac:dyDescent="0.4">
      <c r="A21" s="2" t="s">
        <v>80</v>
      </c>
      <c r="B21" s="11">
        <f>_xlfn.XLOOKUP(A21,Notas_Corte_2!A23:A65,Notas_Corte_2!B23:B65,"na",0)</f>
        <v>43.5</v>
      </c>
      <c r="C21" s="12">
        <f t="shared" si="0"/>
        <v>8.7000000000000011</v>
      </c>
      <c r="D21" s="11">
        <f>_xlfn.XLOOKUP(A21,Notas_Corte_2!A23:A65,Notas_Corte_2!C23:C65,"na",0)</f>
        <v>23</v>
      </c>
      <c r="E21" s="12">
        <f t="shared" si="1"/>
        <v>6.8999999999999995</v>
      </c>
      <c r="F21" s="11">
        <f>_xlfn.XLOOKUP(A21,Notas_Corte_2!A23:A65,Notas_Corte_2!D23:D65,"na",0)</f>
        <v>50</v>
      </c>
      <c r="G21" s="12">
        <f t="shared" si="2"/>
        <v>25</v>
      </c>
      <c r="H21" s="11">
        <f t="shared" si="3"/>
        <v>40.6</v>
      </c>
      <c r="I21" s="11">
        <v>0</v>
      </c>
      <c r="J21" s="11" cm="1">
        <f t="array" ref="J21">_xlfn.XLOOKUP(A21,'Corte 1_Final'!A21:$A$42,'Corte 1_Final'!M21:$M$42,0,0)</f>
        <v>6.2000000000000028</v>
      </c>
      <c r="K21" s="11">
        <f t="shared" si="4"/>
        <v>46.800000000000004</v>
      </c>
      <c r="L21" s="13">
        <f t="shared" ref="L21:L25" si="11">K21</f>
        <v>46.800000000000004</v>
      </c>
      <c r="M21" s="64">
        <f t="shared" si="5"/>
        <v>4.6800000000000006</v>
      </c>
      <c r="N21" s="60">
        <f>_xlfn.XLOOKUP('Corte 2_Final'!A21,'Corte 1_Final'!$A$2:$A$42,'Corte 1_Final'!$L$2:$L$42,"NA",0)</f>
        <v>5</v>
      </c>
      <c r="O21" s="60">
        <f t="shared" si="6"/>
        <v>4.6800000000000006</v>
      </c>
      <c r="P21" s="61">
        <v>3</v>
      </c>
      <c r="Q21" s="42">
        <f t="shared" si="7"/>
        <v>4.1040000000000001</v>
      </c>
      <c r="R21" s="10">
        <f t="shared" si="8"/>
        <v>0.23999999999999966</v>
      </c>
    </row>
    <row r="22" spans="1:18" hidden="1" x14ac:dyDescent="0.4">
      <c r="A22" s="2" t="s">
        <v>160</v>
      </c>
      <c r="B22" s="11">
        <f>_xlfn.XLOOKUP(A22,Notas_Corte_2!A24:A66,Notas_Corte_2!B24:B66,"na",0)</f>
        <v>22.875</v>
      </c>
      <c r="C22" s="12">
        <f t="shared" si="0"/>
        <v>4.5750000000000002</v>
      </c>
      <c r="D22" s="11">
        <f>_xlfn.XLOOKUP(A22,Notas_Corte_2!A24:A66,Notas_Corte_2!C24:C66,"na",0)</f>
        <v>50</v>
      </c>
      <c r="E22" s="12">
        <f t="shared" si="1"/>
        <v>15</v>
      </c>
      <c r="F22" s="11">
        <f>_xlfn.XLOOKUP(A22,Notas_Corte_2!A24:A66,Notas_Corte_2!D24:D66,"na",0)</f>
        <v>40</v>
      </c>
      <c r="G22" s="12">
        <f t="shared" si="2"/>
        <v>20</v>
      </c>
      <c r="H22" s="11">
        <f t="shared" si="3"/>
        <v>39.575000000000003</v>
      </c>
      <c r="I22" s="11">
        <v>5</v>
      </c>
      <c r="J22" s="11" cm="1">
        <f t="array" ref="J22">_xlfn.XLOOKUP(A22,'Corte 1_Final'!A22:$A$42,'Corte 1_Final'!M22:$M$42,0,0)</f>
        <v>0</v>
      </c>
      <c r="K22" s="11">
        <f t="shared" si="4"/>
        <v>44.575000000000003</v>
      </c>
      <c r="L22" s="13">
        <f t="shared" si="11"/>
        <v>44.575000000000003</v>
      </c>
      <c r="M22" s="64">
        <f t="shared" si="5"/>
        <v>4.4575000000000005</v>
      </c>
      <c r="N22" s="60">
        <f>_xlfn.XLOOKUP('Corte 2_Final'!A22,'Corte 1_Final'!$A$2:$A$42,'Corte 1_Final'!$L$2:$L$42,"NA",0)</f>
        <v>3.7</v>
      </c>
      <c r="O22" s="60">
        <f t="shared" si="6"/>
        <v>4.4575000000000005</v>
      </c>
      <c r="P22" s="61">
        <v>3</v>
      </c>
      <c r="Q22" s="42">
        <f t="shared" si="7"/>
        <v>3.6472500000000005</v>
      </c>
      <c r="R22" s="10">
        <f t="shared" si="8"/>
        <v>1.3818749999999995</v>
      </c>
    </row>
    <row r="23" spans="1:18" hidden="1" x14ac:dyDescent="0.4">
      <c r="A23" s="2" t="s">
        <v>104</v>
      </c>
      <c r="B23" s="11">
        <f>_xlfn.XLOOKUP(A23,Notas_Corte_2!A25:A67,Notas_Corte_2!B25:B67,"na",0)</f>
        <v>36</v>
      </c>
      <c r="C23" s="12">
        <f t="shared" si="0"/>
        <v>7.2</v>
      </c>
      <c r="D23" s="11">
        <f>_xlfn.XLOOKUP(A23,Notas_Corte_2!A25:A67,Notas_Corte_2!C25:C67,"na",0)</f>
        <v>25</v>
      </c>
      <c r="E23" s="12">
        <f t="shared" si="1"/>
        <v>7.5</v>
      </c>
      <c r="F23" s="11">
        <f>_xlfn.XLOOKUP(A23,Notas_Corte_2!A25:A67,Notas_Corte_2!D25:D67,"na",0)</f>
        <v>40</v>
      </c>
      <c r="G23" s="12">
        <f t="shared" si="2"/>
        <v>20</v>
      </c>
      <c r="H23" s="11">
        <f t="shared" si="3"/>
        <v>34.700000000000003</v>
      </c>
      <c r="I23" s="11">
        <v>0</v>
      </c>
      <c r="J23" s="11" cm="1">
        <f t="array" ref="J23">_xlfn.XLOOKUP(A23,'Corte 1_Final'!A23:$A$42,'Corte 1_Final'!M23:$M$42,0,0)</f>
        <v>0.5</v>
      </c>
      <c r="K23" s="11">
        <f t="shared" si="4"/>
        <v>35.200000000000003</v>
      </c>
      <c r="L23" s="13">
        <f t="shared" si="11"/>
        <v>35.200000000000003</v>
      </c>
      <c r="M23" s="64">
        <f t="shared" si="5"/>
        <v>3.5200000000000005</v>
      </c>
      <c r="N23" s="60">
        <f>_xlfn.XLOOKUP('Corte 2_Final'!A23,'Corte 1_Final'!$A$2:$A$42,'Corte 1_Final'!$L$2:$L$42,"NA",0)</f>
        <v>5</v>
      </c>
      <c r="O23" s="60">
        <f t="shared" si="6"/>
        <v>3.5200000000000005</v>
      </c>
      <c r="P23" s="61">
        <v>3</v>
      </c>
      <c r="Q23" s="42">
        <f t="shared" si="7"/>
        <v>3.7560000000000002</v>
      </c>
      <c r="R23" s="10">
        <f t="shared" si="8"/>
        <v>1.1099999999999999</v>
      </c>
    </row>
    <row r="24" spans="1:18" hidden="1" x14ac:dyDescent="0.4">
      <c r="A24" s="2" t="s">
        <v>85</v>
      </c>
      <c r="B24" s="11">
        <f>_xlfn.XLOOKUP(A24,Notas_Corte_2!A26:A68,Notas_Corte_2!B26:B68,"na",0)</f>
        <v>42.875</v>
      </c>
      <c r="C24" s="12">
        <f t="shared" si="0"/>
        <v>8.5750000000000011</v>
      </c>
      <c r="D24" s="11">
        <f>_xlfn.XLOOKUP(A24,Notas_Corte_2!A26:A68,Notas_Corte_2!C26:C68,"na",0)</f>
        <v>23</v>
      </c>
      <c r="E24" s="12">
        <f t="shared" si="1"/>
        <v>6.8999999999999995</v>
      </c>
      <c r="F24" s="11">
        <f>_xlfn.XLOOKUP(A24,Notas_Corte_2!A26:A68,Notas_Corte_2!D26:D68,"na",0)</f>
        <v>50</v>
      </c>
      <c r="G24" s="12">
        <f t="shared" si="2"/>
        <v>25</v>
      </c>
      <c r="H24" s="11">
        <f t="shared" si="3"/>
        <v>40.475000000000001</v>
      </c>
      <c r="I24" s="11">
        <v>0</v>
      </c>
      <c r="J24" s="11" cm="1">
        <f t="array" ref="J24">_xlfn.XLOOKUP(A24,'Corte 1_Final'!A24:$A$42,'Corte 1_Final'!M24:$M$42,0,0)</f>
        <v>4</v>
      </c>
      <c r="K24" s="11">
        <f t="shared" si="4"/>
        <v>44.475000000000001</v>
      </c>
      <c r="L24" s="13">
        <f t="shared" si="11"/>
        <v>44.475000000000001</v>
      </c>
      <c r="M24" s="64">
        <f t="shared" si="5"/>
        <v>4.4474999999999998</v>
      </c>
      <c r="N24" s="60">
        <f>_xlfn.XLOOKUP('Corte 2_Final'!A24,'Corte 1_Final'!$A$2:$A$42,'Corte 1_Final'!$L$2:$L$42,"NA",0)</f>
        <v>5</v>
      </c>
      <c r="O24" s="60">
        <f t="shared" si="6"/>
        <v>4.4474999999999998</v>
      </c>
      <c r="P24" s="61">
        <v>3</v>
      </c>
      <c r="Q24" s="42">
        <f t="shared" si="7"/>
        <v>4.0342500000000001</v>
      </c>
      <c r="R24" s="10">
        <f t="shared" si="8"/>
        <v>0.41437500000000016</v>
      </c>
    </row>
    <row r="25" spans="1:18" hidden="1" x14ac:dyDescent="0.4">
      <c r="A25" s="2" t="s">
        <v>51</v>
      </c>
      <c r="B25" s="11">
        <f>_xlfn.XLOOKUP(A25,Notas_Corte_2!A27:A69,Notas_Corte_2!B27:B69,"na",0)</f>
        <v>0</v>
      </c>
      <c r="C25" s="12">
        <f t="shared" si="0"/>
        <v>0</v>
      </c>
      <c r="D25" s="11">
        <f>_xlfn.XLOOKUP(A25,Notas_Corte_2!A27:A69,Notas_Corte_2!C27:C69,"na",0)</f>
        <v>0</v>
      </c>
      <c r="E25" s="12">
        <f t="shared" si="1"/>
        <v>0</v>
      </c>
      <c r="F25" s="11">
        <f>_xlfn.XLOOKUP(A25,Notas_Corte_2!A27:A69,Notas_Corte_2!D27:D69,"na",0)</f>
        <v>40</v>
      </c>
      <c r="G25" s="12">
        <f t="shared" si="2"/>
        <v>20</v>
      </c>
      <c r="H25" s="11">
        <f t="shared" si="3"/>
        <v>20</v>
      </c>
      <c r="I25" s="11">
        <v>0</v>
      </c>
      <c r="J25" s="11" cm="1">
        <f t="array" ref="J25">_xlfn.XLOOKUP(A25,'Corte 1_Final'!A25:$A$42,'Corte 1_Final'!M25:$M$42,0,0)</f>
        <v>0</v>
      </c>
      <c r="K25" s="11">
        <f t="shared" si="4"/>
        <v>20</v>
      </c>
      <c r="L25" s="13">
        <f t="shared" si="11"/>
        <v>20</v>
      </c>
      <c r="M25" s="64">
        <f t="shared" si="5"/>
        <v>2</v>
      </c>
      <c r="N25" s="60">
        <f>_xlfn.XLOOKUP('Corte 2_Final'!A25,'Corte 1_Final'!$A$2:$A$42,'Corte 1_Final'!$L$2:$L$42,"NA",0)</f>
        <v>3.4</v>
      </c>
      <c r="O25" s="60">
        <f t="shared" si="6"/>
        <v>2</v>
      </c>
      <c r="P25" s="61">
        <v>3</v>
      </c>
      <c r="Q25" s="42">
        <f t="shared" si="7"/>
        <v>2.8200000000000003</v>
      </c>
      <c r="R25" s="10">
        <f t="shared" si="8"/>
        <v>3.4499999999999997</v>
      </c>
    </row>
    <row r="26" spans="1:18" hidden="1" x14ac:dyDescent="0.4">
      <c r="A26" s="2" t="s">
        <v>56</v>
      </c>
      <c r="B26" s="11">
        <f>_xlfn.XLOOKUP(A26,Notas_Corte_2!A28:A70,Notas_Corte_2!B28:B70,"na",0)</f>
        <v>50</v>
      </c>
      <c r="C26" s="12">
        <f t="shared" si="0"/>
        <v>10</v>
      </c>
      <c r="D26" s="11">
        <f>_xlfn.XLOOKUP(A26,Notas_Corte_2!A28:A70,Notas_Corte_2!C28:C70,"na",0)</f>
        <v>50</v>
      </c>
      <c r="E26" s="12">
        <f t="shared" si="1"/>
        <v>15</v>
      </c>
      <c r="F26" s="11">
        <f>_xlfn.XLOOKUP(A26,Notas_Corte_2!A28:A70,Notas_Corte_2!D28:D70,"na",0)</f>
        <v>50</v>
      </c>
      <c r="G26" s="12">
        <f t="shared" si="2"/>
        <v>25</v>
      </c>
      <c r="H26" s="11">
        <f t="shared" si="3"/>
        <v>50</v>
      </c>
      <c r="I26" s="11">
        <v>5</v>
      </c>
      <c r="J26" s="11" cm="1">
        <f t="array" ref="J26">_xlfn.XLOOKUP(A26,'Corte 1_Final'!A26:$A$42,'Corte 1_Final'!M26:$M$42,0,0)</f>
        <v>10</v>
      </c>
      <c r="K26" s="11">
        <f t="shared" si="4"/>
        <v>65</v>
      </c>
      <c r="L26" s="13">
        <v>50</v>
      </c>
      <c r="M26" s="64">
        <f t="shared" si="5"/>
        <v>5</v>
      </c>
      <c r="N26" s="60">
        <f>_xlfn.XLOOKUP('Corte 2_Final'!A26,'Corte 1_Final'!$A$2:$A$42,'Corte 1_Final'!$L$2:$L$42,"NA",0)</f>
        <v>5</v>
      </c>
      <c r="O26" s="60">
        <f t="shared" si="6"/>
        <v>5</v>
      </c>
      <c r="P26" s="61">
        <v>3</v>
      </c>
      <c r="Q26" s="42">
        <f t="shared" si="7"/>
        <v>4.2</v>
      </c>
      <c r="R26" s="10">
        <f t="shared" si="8"/>
        <v>0</v>
      </c>
    </row>
    <row r="27" spans="1:18" hidden="1" x14ac:dyDescent="0.4">
      <c r="A27" s="2" t="s">
        <v>205</v>
      </c>
      <c r="B27" s="11">
        <f>_xlfn.XLOOKUP(A27,Notas_Corte_2!A29:A71,Notas_Corte_2!B29:B71,"na",0)</f>
        <v>49.25</v>
      </c>
      <c r="C27" s="12">
        <f t="shared" si="0"/>
        <v>9.8500000000000014</v>
      </c>
      <c r="D27" s="11">
        <f>_xlfn.XLOOKUP(A27,Notas_Corte_2!A29:A71,Notas_Corte_2!C29:C71,"na",0)</f>
        <v>13</v>
      </c>
      <c r="E27" s="12">
        <f t="shared" si="1"/>
        <v>3.9</v>
      </c>
      <c r="F27" s="11">
        <f>_xlfn.XLOOKUP(A27,Notas_Corte_2!A29:A71,Notas_Corte_2!D29:D71,"na",0)</f>
        <v>43</v>
      </c>
      <c r="G27" s="12">
        <f t="shared" si="2"/>
        <v>21.5</v>
      </c>
      <c r="H27" s="11">
        <f t="shared" si="3"/>
        <v>35.25</v>
      </c>
      <c r="I27" s="11">
        <v>0</v>
      </c>
      <c r="J27" s="11" cm="1">
        <f t="array" ref="J27">_xlfn.XLOOKUP(A27,'Corte 1_Final'!A27:$A$42,'Corte 1_Final'!M27:$M$42,0,0)</f>
        <v>2.6000000000000014</v>
      </c>
      <c r="K27" s="11">
        <f t="shared" si="4"/>
        <v>37.85</v>
      </c>
      <c r="L27" s="13">
        <f>K27</f>
        <v>37.85</v>
      </c>
      <c r="M27" s="64">
        <f t="shared" si="5"/>
        <v>3.7850000000000001</v>
      </c>
      <c r="N27" s="60">
        <f>_xlfn.XLOOKUP('Corte 2_Final'!A27,'Corte 1_Final'!$A$2:$A$42,'Corte 1_Final'!$L$2:$L$42,"NA",0)</f>
        <v>5</v>
      </c>
      <c r="O27" s="60">
        <f t="shared" si="6"/>
        <v>3.7850000000000001</v>
      </c>
      <c r="P27" s="61">
        <v>3</v>
      </c>
      <c r="Q27" s="42">
        <f t="shared" si="7"/>
        <v>3.8355000000000001</v>
      </c>
      <c r="R27" s="10">
        <f t="shared" si="8"/>
        <v>0.91125000000000012</v>
      </c>
    </row>
    <row r="28" spans="1:18" hidden="1" x14ac:dyDescent="0.4">
      <c r="A28" s="2" t="s">
        <v>117</v>
      </c>
      <c r="B28" s="11">
        <f>_xlfn.XLOOKUP(A28,Notas_Corte_2!A30:A72,Notas_Corte_2!B30:B72,"na",0)</f>
        <v>37.875</v>
      </c>
      <c r="C28" s="12">
        <f t="shared" si="0"/>
        <v>7.5750000000000002</v>
      </c>
      <c r="D28" s="11">
        <f>_xlfn.XLOOKUP(A28,Notas_Corte_2!A30:A72,Notas_Corte_2!C30:C72,"na",0)</f>
        <v>60</v>
      </c>
      <c r="E28" s="12">
        <f t="shared" si="1"/>
        <v>18</v>
      </c>
      <c r="F28" s="11">
        <f>_xlfn.XLOOKUP(A28,Notas_Corte_2!A30:A72,Notas_Corte_2!D30:D72,"na",0)</f>
        <v>47</v>
      </c>
      <c r="G28" s="12">
        <f t="shared" si="2"/>
        <v>23.5</v>
      </c>
      <c r="H28" s="11">
        <f t="shared" si="3"/>
        <v>49.075000000000003</v>
      </c>
      <c r="I28" s="11">
        <v>5</v>
      </c>
      <c r="J28" s="11" cm="1">
        <f t="array" ref="J28">_xlfn.XLOOKUP(A28,'Corte 1_Final'!A28:$A$42,'Corte 1_Final'!M28:$M$42,0,0)</f>
        <v>4.1000000000000014</v>
      </c>
      <c r="K28" s="11">
        <f t="shared" si="4"/>
        <v>58.175000000000004</v>
      </c>
      <c r="L28" s="13">
        <v>50</v>
      </c>
      <c r="M28" s="64">
        <f t="shared" si="5"/>
        <v>5</v>
      </c>
      <c r="N28" s="60">
        <f>_xlfn.XLOOKUP('Corte 2_Final'!A28,'Corte 1_Final'!$A$2:$A$42,'Corte 1_Final'!$L$2:$L$42,"NA",0)</f>
        <v>5</v>
      </c>
      <c r="O28" s="60">
        <f t="shared" si="6"/>
        <v>5</v>
      </c>
      <c r="P28" s="61">
        <v>3</v>
      </c>
      <c r="Q28" s="42">
        <f t="shared" si="7"/>
        <v>4.2</v>
      </c>
      <c r="R28" s="10">
        <f t="shared" si="8"/>
        <v>0</v>
      </c>
    </row>
    <row r="29" spans="1:18" hidden="1" x14ac:dyDescent="0.4">
      <c r="A29" s="2" t="s">
        <v>122</v>
      </c>
      <c r="B29" s="11">
        <f>_xlfn.XLOOKUP(A29,Notas_Corte_2!A31:A73,Notas_Corte_2!B31:B73,"na",0)</f>
        <v>48.75</v>
      </c>
      <c r="C29" s="12">
        <f t="shared" si="0"/>
        <v>9.75</v>
      </c>
      <c r="D29" s="11">
        <f>_xlfn.XLOOKUP(A29,Notas_Corte_2!A31:A73,Notas_Corte_2!C31:C73,"na",0)</f>
        <v>50</v>
      </c>
      <c r="E29" s="12">
        <f t="shared" si="1"/>
        <v>15</v>
      </c>
      <c r="F29" s="11">
        <f>_xlfn.XLOOKUP(A29,Notas_Corte_2!A31:A73,Notas_Corte_2!D31:D73,"na",0)</f>
        <v>50</v>
      </c>
      <c r="G29" s="12">
        <f t="shared" si="2"/>
        <v>25</v>
      </c>
      <c r="H29" s="11">
        <f t="shared" si="3"/>
        <v>49.75</v>
      </c>
      <c r="I29" s="11">
        <v>5</v>
      </c>
      <c r="J29" s="11" cm="1">
        <f t="array" ref="J29">_xlfn.XLOOKUP(A29,'Corte 1_Final'!A29:$A$42,'Corte 1_Final'!M29:$M$42,0,0)</f>
        <v>10</v>
      </c>
      <c r="K29" s="11">
        <f t="shared" si="4"/>
        <v>64.75</v>
      </c>
      <c r="L29" s="13">
        <v>50</v>
      </c>
      <c r="M29" s="64">
        <f t="shared" si="5"/>
        <v>5</v>
      </c>
      <c r="N29" s="60">
        <f>_xlfn.XLOOKUP('Corte 2_Final'!A29,'Corte 1_Final'!$A$2:$A$42,'Corte 1_Final'!$L$2:$L$42,"NA",0)</f>
        <v>5</v>
      </c>
      <c r="O29" s="60">
        <f t="shared" si="6"/>
        <v>5</v>
      </c>
      <c r="P29" s="61">
        <v>3</v>
      </c>
      <c r="Q29" s="42">
        <f t="shared" si="7"/>
        <v>4.2</v>
      </c>
      <c r="R29" s="10">
        <f t="shared" si="8"/>
        <v>0</v>
      </c>
    </row>
    <row r="30" spans="1:18" hidden="1" x14ac:dyDescent="0.4">
      <c r="A30" s="2" t="s">
        <v>41</v>
      </c>
      <c r="B30" s="11">
        <f>_xlfn.XLOOKUP(A30,Notas_Corte_2!A32:A74,Notas_Corte_2!B32:B74,"na",0)</f>
        <v>42.25</v>
      </c>
      <c r="C30" s="12">
        <f t="shared" si="0"/>
        <v>8.4500000000000011</v>
      </c>
      <c r="D30" s="11">
        <f>_xlfn.XLOOKUP(A30,Notas_Corte_2!A32:A74,Notas_Corte_2!C32:C74,"na",0)</f>
        <v>40</v>
      </c>
      <c r="E30" s="12">
        <f t="shared" si="1"/>
        <v>12</v>
      </c>
      <c r="F30" s="11">
        <f>_xlfn.XLOOKUP(A30,Notas_Corte_2!A32:A74,Notas_Corte_2!D32:D74,"na",0)</f>
        <v>46</v>
      </c>
      <c r="G30" s="12">
        <f t="shared" si="2"/>
        <v>23</v>
      </c>
      <c r="H30" s="11">
        <f t="shared" si="3"/>
        <v>43.45</v>
      </c>
      <c r="I30" s="11">
        <v>0</v>
      </c>
      <c r="J30" s="11" cm="1">
        <f t="array" ref="J30">_xlfn.XLOOKUP(A30,'Corte 1_Final'!A30:$A$42,'Corte 1_Final'!M30:$M$42,0,0)</f>
        <v>0</v>
      </c>
      <c r="K30" s="11">
        <f t="shared" si="4"/>
        <v>43.45</v>
      </c>
      <c r="L30" s="13">
        <f t="shared" ref="L30" si="12">K30</f>
        <v>43.45</v>
      </c>
      <c r="M30" s="64">
        <f t="shared" si="5"/>
        <v>4.3450000000000006</v>
      </c>
      <c r="N30" s="60">
        <f>_xlfn.XLOOKUP('Corte 2_Final'!A30,'Corte 1_Final'!$A$2:$A$42,'Corte 1_Final'!$L$2:$L$42,"NA",0)</f>
        <v>4.8100000000000005</v>
      </c>
      <c r="O30" s="60">
        <f t="shared" si="6"/>
        <v>4.3450000000000006</v>
      </c>
      <c r="P30" s="61">
        <v>3</v>
      </c>
      <c r="Q30" s="42">
        <f t="shared" si="7"/>
        <v>3.9465000000000003</v>
      </c>
      <c r="R30" s="10">
        <f t="shared" si="8"/>
        <v>0.63374999999999959</v>
      </c>
    </row>
    <row r="31" spans="1:18" hidden="1" x14ac:dyDescent="0.4">
      <c r="A31" s="2" t="s">
        <v>24</v>
      </c>
      <c r="B31" s="11">
        <f>_xlfn.XLOOKUP(A31,Notas_Corte_2!A33:A75,Notas_Corte_2!B33:B75,"na",0)</f>
        <v>50</v>
      </c>
      <c r="C31" s="12">
        <f t="shared" si="0"/>
        <v>10</v>
      </c>
      <c r="D31" s="11">
        <f>_xlfn.XLOOKUP(A31,Notas_Corte_2!A33:A75,Notas_Corte_2!C33:C75,"na",0)</f>
        <v>50</v>
      </c>
      <c r="E31" s="12">
        <f t="shared" si="1"/>
        <v>15</v>
      </c>
      <c r="F31" s="11">
        <f>_xlfn.XLOOKUP(A31,Notas_Corte_2!A33:A75,Notas_Corte_2!D33:D75,"na",0)</f>
        <v>45</v>
      </c>
      <c r="G31" s="12">
        <f t="shared" si="2"/>
        <v>22.5</v>
      </c>
      <c r="H31" s="11">
        <f t="shared" si="3"/>
        <v>47.5</v>
      </c>
      <c r="I31" s="11">
        <v>0</v>
      </c>
      <c r="J31" s="11" cm="1">
        <f t="array" ref="J31">_xlfn.XLOOKUP(A31,'Corte 1_Final'!A31:$A$42,'Corte 1_Final'!M31:$M$42,0,0)</f>
        <v>5</v>
      </c>
      <c r="K31" s="11">
        <f t="shared" si="4"/>
        <v>52.5</v>
      </c>
      <c r="L31" s="13">
        <v>50</v>
      </c>
      <c r="M31" s="64">
        <f t="shared" si="5"/>
        <v>5</v>
      </c>
      <c r="N31" s="60">
        <f>_xlfn.XLOOKUP('Corte 2_Final'!A31,'Corte 1_Final'!$A$2:$A$42,'Corte 1_Final'!$L$2:$L$42,"NA",0)</f>
        <v>5</v>
      </c>
      <c r="O31" s="60">
        <f t="shared" si="6"/>
        <v>5</v>
      </c>
      <c r="P31" s="61">
        <v>3</v>
      </c>
      <c r="Q31" s="42">
        <f t="shared" si="7"/>
        <v>4.2</v>
      </c>
      <c r="R31" s="10">
        <f t="shared" si="8"/>
        <v>0</v>
      </c>
    </row>
    <row r="32" spans="1:18" hidden="1" x14ac:dyDescent="0.4">
      <c r="A32" s="2" t="s">
        <v>178</v>
      </c>
      <c r="B32" s="11">
        <f>_xlfn.XLOOKUP(A32,Notas_Corte_2!A34:A76,Notas_Corte_2!B34:B76,"na",0)</f>
        <v>40.75</v>
      </c>
      <c r="C32" s="12">
        <f t="shared" si="0"/>
        <v>8.15</v>
      </c>
      <c r="D32" s="11">
        <f>_xlfn.XLOOKUP(A32,Notas_Corte_2!A34:A76,Notas_Corte_2!C34:C76,"na",0)</f>
        <v>35</v>
      </c>
      <c r="E32" s="12">
        <f t="shared" si="1"/>
        <v>10.5</v>
      </c>
      <c r="F32" s="11">
        <f>_xlfn.XLOOKUP(A32,Notas_Corte_2!A34:A76,Notas_Corte_2!D34:D76,"na",0)</f>
        <v>50</v>
      </c>
      <c r="G32" s="12">
        <f t="shared" si="2"/>
        <v>25</v>
      </c>
      <c r="H32" s="11">
        <f t="shared" si="3"/>
        <v>43.65</v>
      </c>
      <c r="I32" s="11">
        <v>10</v>
      </c>
      <c r="J32" s="11" cm="1">
        <f t="array" ref="J32">_xlfn.XLOOKUP(A32,'Corte 1_Final'!A32:$A$42,'Corte 1_Final'!M32:$M$42,0,0)</f>
        <v>4.2999999999999972</v>
      </c>
      <c r="K32" s="11">
        <f t="shared" si="4"/>
        <v>57.949999999999996</v>
      </c>
      <c r="L32" s="13">
        <v>50</v>
      </c>
      <c r="M32" s="64">
        <f t="shared" si="5"/>
        <v>5</v>
      </c>
      <c r="N32" s="60">
        <f>_xlfn.XLOOKUP('Corte 2_Final'!A32,'Corte 1_Final'!$A$2:$A$42,'Corte 1_Final'!$L$2:$L$42,"NA",0)</f>
        <v>5</v>
      </c>
      <c r="O32" s="60">
        <f t="shared" si="6"/>
        <v>5</v>
      </c>
      <c r="P32" s="61">
        <v>3</v>
      </c>
      <c r="Q32" s="42">
        <f t="shared" si="7"/>
        <v>4.2</v>
      </c>
      <c r="R32" s="10">
        <f t="shared" si="8"/>
        <v>0</v>
      </c>
    </row>
    <row r="33" spans="1:18" hidden="1" x14ac:dyDescent="0.4">
      <c r="A33" s="2" t="s">
        <v>65</v>
      </c>
      <c r="B33" s="11">
        <f>_xlfn.XLOOKUP(A33,Notas_Corte_2!A35:A77,Notas_Corte_2!B35:B77,"na",0)</f>
        <v>42.625</v>
      </c>
      <c r="C33" s="12">
        <f t="shared" si="0"/>
        <v>8.5250000000000004</v>
      </c>
      <c r="D33" s="11">
        <f>_xlfn.XLOOKUP(A33,Notas_Corte_2!A35:A77,Notas_Corte_2!C35:C77,"na",0)</f>
        <v>50</v>
      </c>
      <c r="E33" s="12">
        <f t="shared" si="1"/>
        <v>15</v>
      </c>
      <c r="F33" s="11">
        <f>_xlfn.XLOOKUP(A33,Notas_Corte_2!A35:A77,Notas_Corte_2!D35:D77,"na",0)</f>
        <v>50</v>
      </c>
      <c r="G33" s="12">
        <f t="shared" si="2"/>
        <v>25</v>
      </c>
      <c r="H33" s="11">
        <f t="shared" si="3"/>
        <v>48.524999999999999</v>
      </c>
      <c r="I33" s="11">
        <v>10</v>
      </c>
      <c r="J33" s="11" cm="1">
        <f t="array" ref="J33">_xlfn.XLOOKUP(A33,'Corte 1_Final'!A33:$A$42,'Corte 1_Final'!M33:$M$42,0,0)</f>
        <v>0.60000000000000142</v>
      </c>
      <c r="K33" s="11">
        <f t="shared" si="4"/>
        <v>59.125</v>
      </c>
      <c r="L33" s="13">
        <v>50</v>
      </c>
      <c r="M33" s="64">
        <f t="shared" si="5"/>
        <v>5</v>
      </c>
      <c r="N33" s="60">
        <f>_xlfn.XLOOKUP('Corte 2_Final'!A33,'Corte 1_Final'!$A$2:$A$42,'Corte 1_Final'!$L$2:$L$42,"NA",0)</f>
        <v>5</v>
      </c>
      <c r="O33" s="60">
        <f t="shared" si="6"/>
        <v>5</v>
      </c>
      <c r="P33" s="61">
        <v>3</v>
      </c>
      <c r="Q33" s="42">
        <f t="shared" si="7"/>
        <v>4.2</v>
      </c>
      <c r="R33" s="10">
        <f t="shared" si="8"/>
        <v>0</v>
      </c>
    </row>
    <row r="34" spans="1:18" hidden="1" x14ac:dyDescent="0.4">
      <c r="A34" s="2" t="s">
        <v>152</v>
      </c>
      <c r="B34" s="11">
        <f>_xlfn.XLOOKUP(A34,Notas_Corte_2!A36:A78,Notas_Corte_2!B36:B78,"na",0)</f>
        <v>17.5</v>
      </c>
      <c r="C34" s="12">
        <f t="shared" si="0"/>
        <v>3.5</v>
      </c>
      <c r="D34" s="11">
        <f>_xlfn.XLOOKUP(A34,Notas_Corte_2!A36:A78,Notas_Corte_2!C36:C78,"na",0)</f>
        <v>0</v>
      </c>
      <c r="E34" s="12">
        <f t="shared" si="1"/>
        <v>0</v>
      </c>
      <c r="F34" s="11">
        <f>_xlfn.XLOOKUP(A34,Notas_Corte_2!A36:A78,Notas_Corte_2!D36:D78,"na",0)</f>
        <v>10</v>
      </c>
      <c r="G34" s="12">
        <f t="shared" si="2"/>
        <v>5</v>
      </c>
      <c r="H34" s="11">
        <f t="shared" si="3"/>
        <v>8.5</v>
      </c>
      <c r="I34" s="11">
        <v>0</v>
      </c>
      <c r="J34" s="11" cm="1">
        <f t="array" ref="J34">_xlfn.XLOOKUP(A34,'Corte 1_Final'!A34:$A$42,'Corte 1_Final'!M34:$M$42,0,0)</f>
        <v>0</v>
      </c>
      <c r="K34" s="11">
        <f t="shared" si="4"/>
        <v>8.5</v>
      </c>
      <c r="L34" s="13">
        <f>K34</f>
        <v>8.5</v>
      </c>
      <c r="M34" s="64">
        <f t="shared" si="5"/>
        <v>0.85</v>
      </c>
      <c r="N34" s="60">
        <f>_xlfn.XLOOKUP('Corte 2_Final'!A34,'Corte 1_Final'!$A$2:$A$42,'Corte 1_Final'!$L$2:$L$42,"NA",0)</f>
        <v>3.8899999999999997</v>
      </c>
      <c r="O34" s="60">
        <f t="shared" si="6"/>
        <v>0.85</v>
      </c>
      <c r="P34" s="61">
        <v>3</v>
      </c>
      <c r="Q34" s="42">
        <f t="shared" si="7"/>
        <v>2.6219999999999999</v>
      </c>
      <c r="R34" s="10">
        <f t="shared" si="8"/>
        <v>3.9450000000000007</v>
      </c>
    </row>
    <row r="35" spans="1:18" hidden="1" x14ac:dyDescent="0.4">
      <c r="A35" s="2" t="s">
        <v>168</v>
      </c>
      <c r="B35" s="11">
        <f>_xlfn.XLOOKUP(A35,Notas_Corte_2!A37:A79,Notas_Corte_2!B37:B79,"na",0)</f>
        <v>36.375</v>
      </c>
      <c r="C35" s="12">
        <f t="shared" si="0"/>
        <v>7.2750000000000004</v>
      </c>
      <c r="D35" s="11">
        <f>_xlfn.XLOOKUP(A35,Notas_Corte_2!A37:A79,Notas_Corte_2!C37:C79,"na",0)</f>
        <v>50</v>
      </c>
      <c r="E35" s="12">
        <f t="shared" si="1"/>
        <v>15</v>
      </c>
      <c r="F35" s="11">
        <f>_xlfn.XLOOKUP(A35,Notas_Corte_2!A37:A79,Notas_Corte_2!D37:D79,"na",0)</f>
        <v>50</v>
      </c>
      <c r="G35" s="12">
        <f t="shared" si="2"/>
        <v>25</v>
      </c>
      <c r="H35" s="11">
        <f t="shared" si="3"/>
        <v>47.274999999999999</v>
      </c>
      <c r="I35" s="11">
        <v>10</v>
      </c>
      <c r="J35" s="11" cm="1">
        <f t="array" ref="J35">_xlfn.XLOOKUP(A35,'Corte 1_Final'!A35:$A$42,'Corte 1_Final'!M35:$M$42,0,0)</f>
        <v>1.2999999999999972</v>
      </c>
      <c r="K35" s="11">
        <f t="shared" si="4"/>
        <v>58.574999999999996</v>
      </c>
      <c r="L35" s="13">
        <v>50</v>
      </c>
      <c r="M35" s="64">
        <f t="shared" si="5"/>
        <v>5</v>
      </c>
      <c r="N35" s="60">
        <f>_xlfn.XLOOKUP('Corte 2_Final'!A35,'Corte 1_Final'!$A$2:$A$42,'Corte 1_Final'!$L$2:$L$42,"NA",0)</f>
        <v>5</v>
      </c>
      <c r="O35" s="60">
        <f t="shared" si="6"/>
        <v>5</v>
      </c>
      <c r="P35" s="61">
        <v>3</v>
      </c>
      <c r="Q35" s="42">
        <f t="shared" si="7"/>
        <v>4.2</v>
      </c>
      <c r="R35" s="10">
        <f t="shared" si="8"/>
        <v>0</v>
      </c>
    </row>
    <row r="36" spans="1:18" hidden="1" x14ac:dyDescent="0.4">
      <c r="A36" s="2" t="s">
        <v>70</v>
      </c>
      <c r="B36" s="11">
        <f>_xlfn.XLOOKUP(A36,Notas_Corte_2!A38:A80,Notas_Corte_2!B38:B80,"na",0)</f>
        <v>42.625</v>
      </c>
      <c r="C36" s="12">
        <f t="shared" si="0"/>
        <v>8.5250000000000004</v>
      </c>
      <c r="D36" s="11">
        <f>_xlfn.XLOOKUP(A36,Notas_Corte_2!A38:A80,Notas_Corte_2!C38:C80,"na",0)</f>
        <v>50</v>
      </c>
      <c r="E36" s="12">
        <f t="shared" si="1"/>
        <v>15</v>
      </c>
      <c r="F36" s="11">
        <f>_xlfn.XLOOKUP(A36,Notas_Corte_2!A38:A80,Notas_Corte_2!D38:D80,"na",0)</f>
        <v>50</v>
      </c>
      <c r="G36" s="12">
        <f t="shared" si="2"/>
        <v>25</v>
      </c>
      <c r="H36" s="11">
        <f t="shared" si="3"/>
        <v>48.524999999999999</v>
      </c>
      <c r="I36" s="11">
        <v>10</v>
      </c>
      <c r="J36" s="11" cm="1">
        <f t="array" ref="J36">_xlfn.XLOOKUP(A36,'Corte 1_Final'!A36:$A$42,'Corte 1_Final'!M36:$M$42,0,0)</f>
        <v>1.2999999999999972</v>
      </c>
      <c r="K36" s="11">
        <f t="shared" si="4"/>
        <v>59.824999999999996</v>
      </c>
      <c r="L36" s="13">
        <v>50</v>
      </c>
      <c r="M36" s="64">
        <f t="shared" si="5"/>
        <v>5</v>
      </c>
      <c r="N36" s="60">
        <f>_xlfn.XLOOKUP('Corte 2_Final'!A36,'Corte 1_Final'!$A$2:$A$42,'Corte 1_Final'!$L$2:$L$42,"NA",0)</f>
        <v>5</v>
      </c>
      <c r="O36" s="60">
        <f t="shared" si="6"/>
        <v>5</v>
      </c>
      <c r="P36" s="61">
        <v>3</v>
      </c>
      <c r="Q36" s="42">
        <f t="shared" si="7"/>
        <v>4.2</v>
      </c>
      <c r="R36" s="10">
        <f t="shared" si="8"/>
        <v>0</v>
      </c>
    </row>
    <row r="37" spans="1:18" hidden="1" x14ac:dyDescent="0.4">
      <c r="A37" s="2" t="s">
        <v>107</v>
      </c>
      <c r="B37" s="11">
        <f>_xlfn.XLOOKUP(A37,Notas_Corte_2!A39:A81,Notas_Corte_2!B39:B81,"na",0)</f>
        <v>49.125</v>
      </c>
      <c r="C37" s="12">
        <f t="shared" si="0"/>
        <v>9.8250000000000011</v>
      </c>
      <c r="D37" s="11">
        <f>_xlfn.XLOOKUP(A37,Notas_Corte_2!A39:A81,Notas_Corte_2!C39:C81,"na",0)</f>
        <v>60</v>
      </c>
      <c r="E37" s="12">
        <f t="shared" si="1"/>
        <v>18</v>
      </c>
      <c r="F37" s="11">
        <f>_xlfn.XLOOKUP(A37,Notas_Corte_2!A39:A81,Notas_Corte_2!D39:D81,"na",0)</f>
        <v>47</v>
      </c>
      <c r="G37" s="12">
        <f t="shared" si="2"/>
        <v>23.5</v>
      </c>
      <c r="H37" s="11">
        <f t="shared" si="3"/>
        <v>51.325000000000003</v>
      </c>
      <c r="I37" s="11">
        <v>5</v>
      </c>
      <c r="J37" s="11" cm="1">
        <f t="array" ref="J37">_xlfn.XLOOKUP(A37,'Corte 1_Final'!A37:$A$42,'Corte 1_Final'!M37:$M$42,0,0)</f>
        <v>3.5</v>
      </c>
      <c r="K37" s="11">
        <f t="shared" si="4"/>
        <v>59.825000000000003</v>
      </c>
      <c r="L37" s="13">
        <v>50</v>
      </c>
      <c r="M37" s="64">
        <f t="shared" si="5"/>
        <v>5</v>
      </c>
      <c r="N37" s="60">
        <f>_xlfn.XLOOKUP('Corte 2_Final'!A37,'Corte 1_Final'!$A$2:$A$42,'Corte 1_Final'!$L$2:$L$42,"NA",0)</f>
        <v>5</v>
      </c>
      <c r="O37" s="60">
        <f t="shared" si="6"/>
        <v>5</v>
      </c>
      <c r="P37" s="61">
        <v>3</v>
      </c>
      <c r="Q37" s="42">
        <f t="shared" si="7"/>
        <v>4.2</v>
      </c>
      <c r="R37" s="10">
        <f t="shared" si="8"/>
        <v>0</v>
      </c>
    </row>
    <row r="38" spans="1:18" x14ac:dyDescent="0.4">
      <c r="A38" s="2" t="s">
        <v>31</v>
      </c>
      <c r="B38" s="11">
        <f>_xlfn.XLOOKUP(A38,Notas_Corte_2!A40:A82,Notas_Corte_2!B40:B82,"na",0)</f>
        <v>36.25</v>
      </c>
      <c r="C38" s="12">
        <f t="shared" si="0"/>
        <v>7.25</v>
      </c>
      <c r="D38" s="11">
        <f>_xlfn.XLOOKUP(A38,Notas_Corte_2!A40:A82,Notas_Corte_2!C40:C82,"na",0)</f>
        <v>35</v>
      </c>
      <c r="E38" s="12">
        <f t="shared" si="1"/>
        <v>10.5</v>
      </c>
      <c r="F38" s="11">
        <f>_xlfn.XLOOKUP(A38,Notas_Corte_2!A40:A82,Notas_Corte_2!D40:D82,"na",0)</f>
        <v>30</v>
      </c>
      <c r="G38" s="12">
        <f t="shared" si="2"/>
        <v>15</v>
      </c>
      <c r="H38" s="11">
        <f t="shared" si="3"/>
        <v>32.75</v>
      </c>
      <c r="I38" s="11">
        <v>0</v>
      </c>
      <c r="J38" s="11" cm="1">
        <f t="array" ref="J38">_xlfn.XLOOKUP(A38,'Corte 1_Final'!A38:$A$42,'Corte 1_Final'!M38:$M$42,0,0)</f>
        <v>0</v>
      </c>
      <c r="K38" s="11">
        <f t="shared" si="4"/>
        <v>32.75</v>
      </c>
      <c r="L38" s="13">
        <f t="shared" ref="L38:L40" si="13">K38</f>
        <v>32.75</v>
      </c>
      <c r="M38" s="64">
        <f t="shared" si="5"/>
        <v>3.2749999999999999</v>
      </c>
      <c r="N38" s="60">
        <f>_xlfn.XLOOKUP('Corte 2_Final'!A38,'Corte 1_Final'!$A$2:$A$42,'Corte 1_Final'!$L$2:$L$42,"NA",0)</f>
        <v>4.4000000000000004</v>
      </c>
      <c r="O38" s="60">
        <f t="shared" si="6"/>
        <v>3.2749999999999999</v>
      </c>
      <c r="P38" s="61">
        <v>3</v>
      </c>
      <c r="Q38" s="42">
        <f t="shared" si="7"/>
        <v>3.5025000000000004</v>
      </c>
      <c r="R38" s="10">
        <f t="shared" si="8"/>
        <v>1.7437499999999999</v>
      </c>
    </row>
    <row r="39" spans="1:18" hidden="1" x14ac:dyDescent="0.4">
      <c r="A39" s="2" t="s">
        <v>173</v>
      </c>
      <c r="B39" s="11">
        <f>_xlfn.XLOOKUP(A39,Notas_Corte_2!A41:A83,Notas_Corte_2!B41:B83,"na",0)</f>
        <v>37.5</v>
      </c>
      <c r="C39" s="12">
        <f t="shared" si="0"/>
        <v>7.5</v>
      </c>
      <c r="D39" s="11">
        <f>_xlfn.XLOOKUP(A39,Notas_Corte_2!A41:A83,Notas_Corte_2!C41:C83,"na",0)</f>
        <v>50</v>
      </c>
      <c r="E39" s="12">
        <f t="shared" si="1"/>
        <v>15</v>
      </c>
      <c r="F39" s="11">
        <f>_xlfn.XLOOKUP(A39,Notas_Corte_2!A41:A83,Notas_Corte_2!D41:D83,"na",0)</f>
        <v>45</v>
      </c>
      <c r="G39" s="12">
        <f t="shared" si="2"/>
        <v>22.5</v>
      </c>
      <c r="H39" s="11">
        <f t="shared" si="3"/>
        <v>45</v>
      </c>
      <c r="I39" s="11">
        <v>0</v>
      </c>
      <c r="J39" s="11" cm="1">
        <f t="array" ref="J39">_xlfn.XLOOKUP(A39,'Corte 1_Final'!A39:$A$42,'Corte 1_Final'!M39:$M$42,0,0)</f>
        <v>5</v>
      </c>
      <c r="K39" s="11">
        <f t="shared" si="4"/>
        <v>50</v>
      </c>
      <c r="L39" s="13">
        <f t="shared" si="13"/>
        <v>50</v>
      </c>
      <c r="M39" s="64">
        <f t="shared" si="5"/>
        <v>5</v>
      </c>
      <c r="N39" s="60">
        <f>_xlfn.XLOOKUP('Corte 2_Final'!A39,'Corte 1_Final'!$A$2:$A$42,'Corte 1_Final'!$L$2:$L$42,"NA",0)</f>
        <v>5</v>
      </c>
      <c r="O39" s="60">
        <f t="shared" si="6"/>
        <v>5</v>
      </c>
      <c r="P39" s="61">
        <v>3</v>
      </c>
      <c r="Q39" s="42">
        <f t="shared" si="7"/>
        <v>4.2</v>
      </c>
      <c r="R39" s="10">
        <f t="shared" si="8"/>
        <v>0</v>
      </c>
    </row>
    <row r="40" spans="1:18" hidden="1" x14ac:dyDescent="0.4">
      <c r="A40" s="2" t="s">
        <v>36</v>
      </c>
      <c r="B40" s="11">
        <f>_xlfn.XLOOKUP(A40,Notas_Corte_2!A42:A84,Notas_Corte_2!B42:B84,"na",0)</f>
        <v>31.25</v>
      </c>
      <c r="C40" s="12">
        <f t="shared" si="0"/>
        <v>6.25</v>
      </c>
      <c r="D40" s="11">
        <f>_xlfn.XLOOKUP(A40,Notas_Corte_2!A42:A84,Notas_Corte_2!C42:C84,"na",0)</f>
        <v>23</v>
      </c>
      <c r="E40" s="12">
        <f t="shared" si="1"/>
        <v>6.8999999999999995</v>
      </c>
      <c r="F40" s="11">
        <f>_xlfn.XLOOKUP(A40,Notas_Corte_2!A42:A84,Notas_Corte_2!D42:D84,"na",0)</f>
        <v>30</v>
      </c>
      <c r="G40" s="12">
        <f t="shared" si="2"/>
        <v>15</v>
      </c>
      <c r="H40" s="11">
        <f t="shared" si="3"/>
        <v>28.15</v>
      </c>
      <c r="I40" s="11">
        <v>0</v>
      </c>
      <c r="J40" s="11" cm="1">
        <f t="array" ref="J40">_xlfn.XLOOKUP(A40,'Corte 1_Final'!A40:$A$42,'Corte 1_Final'!M40:$M$42,0,0)</f>
        <v>0.60000000000000142</v>
      </c>
      <c r="K40" s="11">
        <f t="shared" si="4"/>
        <v>28.75</v>
      </c>
      <c r="L40" s="13">
        <f t="shared" si="13"/>
        <v>28.75</v>
      </c>
      <c r="M40" s="64">
        <f t="shared" si="5"/>
        <v>2.875</v>
      </c>
      <c r="N40" s="60">
        <f>_xlfn.XLOOKUP('Corte 2_Final'!A40,'Corte 1_Final'!$A$2:$A$42,'Corte 1_Final'!$L$2:$L$42,"NA",0)</f>
        <v>5</v>
      </c>
      <c r="O40" s="60">
        <f t="shared" si="6"/>
        <v>2.875</v>
      </c>
      <c r="P40" s="61">
        <v>3</v>
      </c>
      <c r="Q40" s="42">
        <f t="shared" si="7"/>
        <v>3.5625</v>
      </c>
      <c r="R40" s="10">
        <f t="shared" si="8"/>
        <v>1.59375</v>
      </c>
    </row>
    <row r="41" spans="1:18" hidden="1" x14ac:dyDescent="0.4">
      <c r="A41" s="7" t="s">
        <v>336</v>
      </c>
      <c r="B41" s="5">
        <f>AVERAGE(B2:B40)</f>
        <v>38.240384615384613</v>
      </c>
      <c r="C41" s="5">
        <f t="shared" ref="C41:M41" si="14">AVERAGE(C2:C40)</f>
        <v>7.6480769230769212</v>
      </c>
      <c r="D41" s="5">
        <f t="shared" si="14"/>
        <v>38.102564102564102</v>
      </c>
      <c r="E41" s="5">
        <f t="shared" si="14"/>
        <v>11.430769230769229</v>
      </c>
      <c r="F41" s="5">
        <f t="shared" si="14"/>
        <v>41.615384615384613</v>
      </c>
      <c r="G41" s="5">
        <f t="shared" si="14"/>
        <v>20.807692307692307</v>
      </c>
      <c r="H41" s="5">
        <f t="shared" si="14"/>
        <v>39.886538461538478</v>
      </c>
      <c r="I41" s="5">
        <f t="shared" si="14"/>
        <v>3.2051282051282053</v>
      </c>
      <c r="J41" s="5">
        <f t="shared" si="14"/>
        <v>3.0179487179487174</v>
      </c>
      <c r="K41" s="5">
        <f t="shared" si="14"/>
        <v>46.109615384615388</v>
      </c>
      <c r="L41" s="5">
        <f t="shared" si="14"/>
        <v>41.628846153846155</v>
      </c>
      <c r="M41" s="5">
        <f t="shared" si="14"/>
        <v>4.1628846153846162</v>
      </c>
      <c r="N41" s="5">
        <f t="shared" ref="N41" si="15">AVERAGE(N2:N40)</f>
        <v>4.614871794871795</v>
      </c>
      <c r="O41" s="5">
        <f t="shared" ref="O41" si="16">AVERAGE(O2:O40)</f>
        <v>4.1628846153846162</v>
      </c>
      <c r="P41" s="5">
        <f t="shared" ref="P41" si="17">AVERAGE(P2:P40)</f>
        <v>3</v>
      </c>
      <c r="Q41" s="5">
        <f t="shared" ref="Q41" si="18">AVERAGE(Q2:Q40)</f>
        <v>3.8333269230769225</v>
      </c>
      <c r="R41" s="5">
        <f t="shared" ref="R41" si="19">AVERAGE(R2:R40)</f>
        <v>0.91668269230769228</v>
      </c>
    </row>
    <row r="43" spans="1:18" x14ac:dyDescent="0.4">
      <c r="A43" s="7" t="s">
        <v>355</v>
      </c>
      <c r="B43" s="18">
        <v>0.5</v>
      </c>
      <c r="I43" s="53"/>
      <c r="J43" s="72" t="s">
        <v>751</v>
      </c>
      <c r="K43" s="72" t="s">
        <v>752</v>
      </c>
      <c r="N43" s="62" t="s">
        <v>742</v>
      </c>
      <c r="O43" s="63">
        <v>0.3</v>
      </c>
    </row>
    <row r="44" spans="1:18" x14ac:dyDescent="0.4">
      <c r="A44" s="7" t="s">
        <v>356</v>
      </c>
      <c r="B44" s="18">
        <v>0.3</v>
      </c>
      <c r="I44" s="72" t="s">
        <v>443</v>
      </c>
      <c r="J44" s="16">
        <v>41</v>
      </c>
      <c r="K44" s="16">
        <f>COUNTA(L2:L40)</f>
        <v>39</v>
      </c>
      <c r="N44" s="62" t="s">
        <v>743</v>
      </c>
      <c r="O44" s="63">
        <v>0.3</v>
      </c>
    </row>
    <row r="45" spans="1:18" x14ac:dyDescent="0.4">
      <c r="A45" s="7" t="s">
        <v>15</v>
      </c>
      <c r="B45" s="18">
        <v>0.2</v>
      </c>
      <c r="I45" s="72" t="s">
        <v>439</v>
      </c>
      <c r="J45" s="16">
        <v>11.816867981933246</v>
      </c>
      <c r="K45" s="16">
        <f>STDEV(L2:L40)</f>
        <v>12.929288378550014</v>
      </c>
      <c r="N45" s="62" t="s">
        <v>747</v>
      </c>
      <c r="O45" s="63">
        <v>0.4</v>
      </c>
    </row>
    <row r="46" spans="1:18" x14ac:dyDescent="0.4">
      <c r="I46" s="72" t="s">
        <v>440</v>
      </c>
      <c r="J46" s="16">
        <v>42.480645161290319</v>
      </c>
      <c r="K46" s="16">
        <f>L41</f>
        <v>41.628846153846155</v>
      </c>
    </row>
    <row r="47" spans="1:18" x14ac:dyDescent="0.4">
      <c r="I47" s="72" t="s">
        <v>441</v>
      </c>
      <c r="J47" s="16">
        <v>25</v>
      </c>
      <c r="K47" s="16">
        <f>COUNTIF(L2:L40,50)</f>
        <v>18</v>
      </c>
    </row>
    <row r="48" spans="1:18" x14ac:dyDescent="0.4">
      <c r="I48" s="72" t="s">
        <v>442</v>
      </c>
      <c r="J48" s="16">
        <v>2</v>
      </c>
      <c r="K48" s="16">
        <f>COUNTIF(L2:L40,"&lt;30")</f>
        <v>7</v>
      </c>
    </row>
    <row r="49" spans="9:11" x14ac:dyDescent="0.4">
      <c r="I49" s="72" t="s">
        <v>749</v>
      </c>
      <c r="J49" s="44">
        <v>0.6097560975609756</v>
      </c>
      <c r="K49" s="44">
        <f>K47/K44</f>
        <v>0.46153846153846156</v>
      </c>
    </row>
    <row r="50" spans="9:11" x14ac:dyDescent="0.4">
      <c r="I50" s="72" t="s">
        <v>750</v>
      </c>
      <c r="J50" s="44">
        <v>4.878048780487805E-2</v>
      </c>
      <c r="K50" s="44">
        <f>K48/K44</f>
        <v>0.17948717948717949</v>
      </c>
    </row>
    <row r="52" spans="9:11" x14ac:dyDescent="0.4">
      <c r="J52" s="70"/>
    </row>
    <row r="53" spans="9:11" x14ac:dyDescent="0.4">
      <c r="J53" s="70"/>
    </row>
    <row r="54" spans="9:11" x14ac:dyDescent="0.4">
      <c r="J54" s="70"/>
    </row>
    <row r="55" spans="9:11" x14ac:dyDescent="0.4">
      <c r="J55" s="70"/>
      <c r="K55" s="71"/>
    </row>
    <row r="56" spans="9:11" x14ac:dyDescent="0.4">
      <c r="J56" s="70"/>
      <c r="K56" s="71"/>
    </row>
  </sheetData>
  <autoFilter ref="A1:R41" xr:uid="{A2C1F6DD-1B87-4A19-A614-CC0B48B94D51}">
    <filterColumn colId="0">
      <filters>
        <filter val="Sofia Giraldo Pico"/>
      </filters>
    </filterColumn>
  </autoFilter>
  <phoneticPr fontId="13" type="noConversion"/>
  <conditionalFormatting sqref="H2:K40">
    <cfRule type="cellIs" dxfId="183" priority="5" operator="greaterThan">
      <formula>50</formula>
    </cfRule>
  </conditionalFormatting>
  <conditionalFormatting sqref="I2:I40">
    <cfRule type="cellIs" dxfId="182" priority="3" operator="greaterThan">
      <formula>0</formula>
    </cfRule>
  </conditionalFormatting>
  <conditionalFormatting sqref="L2:L40">
    <cfRule type="cellIs" dxfId="181" priority="4" operator="lessThan">
      <formula>30</formula>
    </cfRule>
  </conditionalFormatting>
  <conditionalFormatting sqref="Q2:Q40">
    <cfRule type="cellIs" dxfId="180" priority="1" operator="lessThan">
      <formula>3.5</formula>
    </cfRule>
  </conditionalFormatting>
  <conditionalFormatting sqref="R2:R40">
    <cfRule type="dataBar" priority="2">
      <dataBar>
        <cfvo type="min"/>
        <cfvo type="max"/>
        <color rgb="FFFF555A"/>
      </dataBar>
      <extLst>
        <ext xmlns:x14="http://schemas.microsoft.com/office/spreadsheetml/2009/9/main" uri="{B025F937-C7B1-47D3-B67F-A62EFF666E3E}">
          <x14:id>{DC1C3747-CFC7-4671-B039-09D682450742}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C1C3747-CFC7-4671-B039-09D682450742}">
            <x14:dataBar minLength="0" maxLength="100" border="1" negativeBarBorderColorSameAsPositive="0">
              <x14:cfvo type="autoMin"/>
              <x14:cfvo type="autoMax"/>
              <x14:borderColor rgb="FFFF555A"/>
              <x14:negativeFillColor rgb="FFFF0000"/>
              <x14:negativeBorderColor rgb="FFFF0000"/>
              <x14:axisColor rgb="FF000000"/>
            </x14:dataBar>
          </x14:cfRule>
          <xm:sqref>R2:R40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89699-5AA4-4719-B921-7570BC90A112}">
  <sheetPr>
    <tabColor theme="5"/>
  </sheetPr>
  <dimension ref="A1:F40"/>
  <sheetViews>
    <sheetView tabSelected="1" topLeftCell="A5" workbookViewId="0">
      <selection activeCell="C14" sqref="C14"/>
    </sheetView>
  </sheetViews>
  <sheetFormatPr baseColWidth="10" defaultColWidth="8" defaultRowHeight="16.8" x14ac:dyDescent="0.4"/>
  <cols>
    <col min="1" max="1" width="14.3984375" customWidth="1"/>
    <col min="2" max="2" width="36.296875" customWidth="1"/>
    <col min="3" max="3" width="17.09765625" customWidth="1"/>
    <col min="4" max="4" width="11" customWidth="1"/>
    <col min="5" max="5" width="9.59765625" customWidth="1"/>
    <col min="6" max="6" width="31.5" style="20" bestFit="1" customWidth="1"/>
  </cols>
  <sheetData>
    <row r="1" spans="1:6" x14ac:dyDescent="0.4">
      <c r="A1" s="65" t="s">
        <v>346</v>
      </c>
      <c r="B1" s="65" t="s">
        <v>345</v>
      </c>
      <c r="C1" s="66" t="s">
        <v>357</v>
      </c>
      <c r="D1" s="65" t="s">
        <v>358</v>
      </c>
      <c r="F1" s="21" t="s">
        <v>12</v>
      </c>
    </row>
    <row r="2" spans="1:6" x14ac:dyDescent="0.4">
      <c r="A2" s="67" t="s">
        <v>359</v>
      </c>
      <c r="B2" s="67" t="s">
        <v>360</v>
      </c>
      <c r="C2" s="69">
        <f>_xlfn.XLOOKUP(F2,'Corte 2_Final'!$A$2:$A$40,'Corte 2_Final'!$M$2:$M$40,"NA",0)</f>
        <v>5</v>
      </c>
      <c r="D2" s="68">
        <f>_xlfn.XLOOKUP(F2,Asistencia_Corte_2!$A$6:$A$44,Asistencia_Corte_2!$G$6:$G$44,"NA",0)</f>
        <v>0</v>
      </c>
      <c r="F2" s="10" t="s">
        <v>99</v>
      </c>
    </row>
    <row r="3" spans="1:6" x14ac:dyDescent="0.4">
      <c r="A3" s="67" t="s">
        <v>361</v>
      </c>
      <c r="B3" s="67" t="s">
        <v>362</v>
      </c>
      <c r="C3" s="69">
        <f>_xlfn.XLOOKUP(F3,'Corte 2_Final'!$A$2:$A$40,'Corte 2_Final'!$M$2:$M$40,"NA",0)</f>
        <v>5</v>
      </c>
      <c r="D3" s="68">
        <f>_xlfn.XLOOKUP(F3,Asistencia_Corte_2!$A$6:$A$44,Asistencia_Corte_2!$G$6:$G$44,"NA",0)</f>
        <v>0</v>
      </c>
      <c r="F3" s="10" t="s">
        <v>24</v>
      </c>
    </row>
    <row r="4" spans="1:6" x14ac:dyDescent="0.4">
      <c r="A4" s="67" t="s">
        <v>363</v>
      </c>
      <c r="B4" s="67" t="s">
        <v>748</v>
      </c>
      <c r="C4" s="69">
        <f>_xlfn.XLOOKUP(F4,'Corte 2_Final'!$A$2:$A$40,'Corte 2_Final'!$M$2:$M$40,"NA",0)</f>
        <v>5</v>
      </c>
      <c r="D4" s="68">
        <f>_xlfn.XLOOKUP(F4,Asistencia_Corte_2!$A$6:$A$44,Asistencia_Corte_2!$G$6:$G$44,"NA",0)</f>
        <v>0</v>
      </c>
      <c r="F4" s="10" t="s">
        <v>147</v>
      </c>
    </row>
    <row r="5" spans="1:6" x14ac:dyDescent="0.4">
      <c r="A5" s="67" t="s">
        <v>365</v>
      </c>
      <c r="B5" s="67" t="s">
        <v>366</v>
      </c>
      <c r="C5" s="69">
        <f>_xlfn.XLOOKUP(F5,'Corte 2_Final'!$A$2:$A$40,'Corte 2_Final'!$M$2:$M$40,"NA",0)</f>
        <v>0.23749999999999999</v>
      </c>
      <c r="D5" s="68">
        <f>_xlfn.XLOOKUP(F5,Asistencia_Corte_2!$A$6:$A$44,Asistencia_Corte_2!$G$6:$G$44,"NA",0)</f>
        <v>2</v>
      </c>
      <c r="F5" s="10" t="s">
        <v>46</v>
      </c>
    </row>
    <row r="6" spans="1:6" x14ac:dyDescent="0.4">
      <c r="A6" s="67" t="s">
        <v>367</v>
      </c>
      <c r="B6" s="67" t="s">
        <v>368</v>
      </c>
      <c r="C6" s="69">
        <f>_xlfn.XLOOKUP(F6,'Corte 2_Final'!$A$2:$A$40,'Corte 2_Final'!$M$2:$M$40,"NA",0)</f>
        <v>5</v>
      </c>
      <c r="D6" s="68">
        <f>_xlfn.XLOOKUP(F6,Asistencia_Corte_2!$A$6:$A$44,Asistencia_Corte_2!$G$6:$G$44,"NA",0)</f>
        <v>1</v>
      </c>
      <c r="F6" s="10" t="s">
        <v>137</v>
      </c>
    </row>
    <row r="7" spans="1:6" x14ac:dyDescent="0.4">
      <c r="A7" s="67" t="s">
        <v>369</v>
      </c>
      <c r="B7" s="67" t="s">
        <v>370</v>
      </c>
      <c r="C7" s="69">
        <f>_xlfn.XLOOKUP(F7,'Corte 2_Final'!$A$2:$A$40,'Corte 2_Final'!$M$2:$M$40,"NA",0)</f>
        <v>4.4575000000000005</v>
      </c>
      <c r="D7" s="68">
        <f>_xlfn.XLOOKUP(F7,Asistencia_Corte_2!$A$6:$A$44,Asistencia_Corte_2!$G$6:$G$44,"NA",0)</f>
        <v>3</v>
      </c>
      <c r="F7" s="2" t="s">
        <v>94</v>
      </c>
    </row>
    <row r="8" spans="1:6" x14ac:dyDescent="0.4">
      <c r="A8" s="67" t="s">
        <v>371</v>
      </c>
      <c r="B8" s="67" t="s">
        <v>372</v>
      </c>
      <c r="C8" s="69">
        <f>_xlfn.XLOOKUP(F8,'Corte 2_Final'!$A$2:$A$40,'Corte 2_Final'!$M$2:$M$40,"NA",0)</f>
        <v>4.6800000000000006</v>
      </c>
      <c r="D8" s="68">
        <f>_xlfn.XLOOKUP(F8,Asistencia_Corte_2!$A$6:$A$44,Asistencia_Corte_2!$G$6:$G$44,"NA",0)</f>
        <v>0</v>
      </c>
      <c r="F8" s="39" t="s">
        <v>80</v>
      </c>
    </row>
    <row r="9" spans="1:6" x14ac:dyDescent="0.4">
      <c r="A9" s="67" t="s">
        <v>373</v>
      </c>
      <c r="B9" s="67" t="s">
        <v>374</v>
      </c>
      <c r="C9" s="69">
        <f>_xlfn.XLOOKUP(F9,'Corte 2_Final'!$A$2:$A$40,'Corte 2_Final'!$M$2:$M$40,"NA",0)</f>
        <v>3.8850000000000002</v>
      </c>
      <c r="D9" s="68">
        <f>_xlfn.XLOOKUP(F9,Asistencia_Corte_2!$A$6:$A$44,Asistencia_Corte_2!$G$6:$G$44,"NA",0)</f>
        <v>1</v>
      </c>
      <c r="F9" s="10" t="s">
        <v>187</v>
      </c>
    </row>
    <row r="10" spans="1:6" x14ac:dyDescent="0.4">
      <c r="A10" s="67" t="s">
        <v>375</v>
      </c>
      <c r="B10" s="67" t="s">
        <v>376</v>
      </c>
      <c r="C10" s="69">
        <f>_xlfn.XLOOKUP(F10,'Corte 2_Final'!$A$2:$A$40,'Corte 2_Final'!$M$2:$M$40,"NA",0)</f>
        <v>2.8774999999999999</v>
      </c>
      <c r="D10" s="68">
        <f>_xlfn.XLOOKUP(F10,Asistencia_Corte_2!$A$6:$A$44,Asistencia_Corte_2!$G$6:$G$44,"NA",0)</f>
        <v>1</v>
      </c>
      <c r="F10" s="10" t="s">
        <v>112</v>
      </c>
    </row>
    <row r="11" spans="1:6" x14ac:dyDescent="0.4">
      <c r="A11" s="67" t="s">
        <v>377</v>
      </c>
      <c r="B11" s="67" t="s">
        <v>378</v>
      </c>
      <c r="C11" s="69">
        <f>_xlfn.XLOOKUP(F11,'Corte 2_Final'!$A$2:$A$40,'Corte 2_Final'!$M$2:$M$40,"NA",0)</f>
        <v>2</v>
      </c>
      <c r="D11" s="68">
        <f>_xlfn.XLOOKUP(F11,Asistencia_Corte_2!$A$6:$A$44,Asistencia_Corte_2!$G$6:$G$44,"NA",0)</f>
        <v>2</v>
      </c>
      <c r="F11" s="10" t="s">
        <v>51</v>
      </c>
    </row>
    <row r="12" spans="1:6" x14ac:dyDescent="0.4">
      <c r="A12" s="67" t="s">
        <v>379</v>
      </c>
      <c r="B12" s="67" t="s">
        <v>380</v>
      </c>
      <c r="C12" s="69">
        <f>_xlfn.XLOOKUP(F12,'Corte 2_Final'!$A$2:$A$40,'Corte 2_Final'!$M$2:$M$40,"NA",0)</f>
        <v>4.7249999999999996</v>
      </c>
      <c r="D12" s="68">
        <f>_xlfn.XLOOKUP(F12,Asistencia_Corte_2!$A$6:$A$44,Asistencia_Corte_2!$G$6:$G$44,"NA",0)</f>
        <v>0</v>
      </c>
      <c r="F12" s="10" t="s">
        <v>60</v>
      </c>
    </row>
    <row r="13" spans="1:6" x14ac:dyDescent="0.4">
      <c r="A13" s="67" t="s">
        <v>381</v>
      </c>
      <c r="B13" s="67" t="s">
        <v>382</v>
      </c>
      <c r="C13" s="69">
        <f>_xlfn.XLOOKUP(F13,'Corte 2_Final'!$A$2:$A$40,'Corte 2_Final'!$M$2:$M$40,"NA",0)</f>
        <v>4.75</v>
      </c>
      <c r="D13" s="68">
        <f>_xlfn.XLOOKUP(F13,Asistencia_Corte_2!$A$6:$A$44,Asistencia_Corte_2!$G$6:$G$44,"NA",0)</f>
        <v>1</v>
      </c>
      <c r="F13" s="10" t="s">
        <v>75</v>
      </c>
    </row>
    <row r="14" spans="1:6" x14ac:dyDescent="0.4">
      <c r="A14" s="67" t="s">
        <v>383</v>
      </c>
      <c r="B14" s="67" t="s">
        <v>384</v>
      </c>
      <c r="C14" s="69">
        <f>_xlfn.XLOOKUP(F14,'Corte 2_Final'!$A$2:$A$40,'Corte 2_Final'!$M$2:$M$40,"NA",0)</f>
        <v>3.2749999999999999</v>
      </c>
      <c r="D14" s="68">
        <f>_xlfn.XLOOKUP(F14,Asistencia_Corte_2!$A$6:$A$44,Asistencia_Corte_2!$G$6:$G$44,"NA",0)</f>
        <v>2</v>
      </c>
      <c r="F14" s="10" t="s">
        <v>31</v>
      </c>
    </row>
    <row r="15" spans="1:6" x14ac:dyDescent="0.4">
      <c r="A15" s="67" t="s">
        <v>385</v>
      </c>
      <c r="B15" s="67" t="s">
        <v>386</v>
      </c>
      <c r="C15" s="69">
        <f>_xlfn.XLOOKUP(F15,'Corte 2_Final'!$A$2:$A$40,'Corte 2_Final'!$M$2:$M$40,"NA",0)</f>
        <v>5</v>
      </c>
      <c r="D15" s="68">
        <f>_xlfn.XLOOKUP(F15,Asistencia_Corte_2!$A$6:$A$44,Asistencia_Corte_2!$G$6:$G$44,"NA",0)</f>
        <v>0</v>
      </c>
      <c r="F15" s="10" t="s">
        <v>168</v>
      </c>
    </row>
    <row r="16" spans="1:6" x14ac:dyDescent="0.4">
      <c r="A16" s="67" t="s">
        <v>387</v>
      </c>
      <c r="B16" s="67" t="s">
        <v>388</v>
      </c>
      <c r="C16" s="69">
        <f>_xlfn.XLOOKUP(F16,'Corte 2_Final'!$A$2:$A$40,'Corte 2_Final'!$M$2:$M$40,"NA",0)</f>
        <v>5</v>
      </c>
      <c r="D16" s="68">
        <f>_xlfn.XLOOKUP(F16,Asistencia_Corte_2!$A$6:$A$44,Asistencia_Corte_2!$G$6:$G$44,"NA",0)</f>
        <v>0</v>
      </c>
      <c r="F16" s="2" t="s">
        <v>215</v>
      </c>
    </row>
    <row r="17" spans="1:6" x14ac:dyDescent="0.4">
      <c r="A17" s="67" t="s">
        <v>389</v>
      </c>
      <c r="B17" s="67" t="s">
        <v>390</v>
      </c>
      <c r="C17" s="69">
        <f>_xlfn.XLOOKUP(F17,'Corte 2_Final'!$A$2:$A$40,'Corte 2_Final'!$M$2:$M$40,"NA",0)</f>
        <v>3.5200000000000005</v>
      </c>
      <c r="D17" s="68">
        <f>_xlfn.XLOOKUP(F17,Asistencia_Corte_2!$A$6:$A$44,Asistencia_Corte_2!$G$6:$G$44,"NA",0)</f>
        <v>0</v>
      </c>
      <c r="F17" s="10" t="s">
        <v>104</v>
      </c>
    </row>
    <row r="18" spans="1:6" x14ac:dyDescent="0.4">
      <c r="A18" s="67" t="s">
        <v>391</v>
      </c>
      <c r="B18" s="67" t="s">
        <v>392</v>
      </c>
      <c r="C18" s="69">
        <f>_xlfn.XLOOKUP(F18,'Corte 2_Final'!$A$2:$A$40,'Corte 2_Final'!$M$2:$M$40,"NA",0)</f>
        <v>4.4575000000000005</v>
      </c>
      <c r="D18" s="68">
        <f>_xlfn.XLOOKUP(F18,Asistencia_Corte_2!$A$6:$A$44,Asistencia_Corte_2!$G$6:$G$44,"NA",0)</f>
        <v>2</v>
      </c>
      <c r="F18" s="10" t="s">
        <v>160</v>
      </c>
    </row>
    <row r="19" spans="1:6" x14ac:dyDescent="0.4">
      <c r="A19" s="67" t="s">
        <v>393</v>
      </c>
      <c r="B19" s="67" t="s">
        <v>394</v>
      </c>
      <c r="C19" s="69">
        <f>_xlfn.XLOOKUP(F19,'Corte 2_Final'!$A$2:$A$40,'Corte 2_Final'!$M$2:$M$40,"NA",0)</f>
        <v>4.2249999999999996</v>
      </c>
      <c r="D19" s="68">
        <f>_xlfn.XLOOKUP(F19,Asistencia_Corte_2!$A$6:$A$44,Asistencia_Corte_2!$G$6:$G$44,"NA",0)</f>
        <v>1</v>
      </c>
      <c r="F19" s="10" t="s">
        <v>89</v>
      </c>
    </row>
    <row r="20" spans="1:6" x14ac:dyDescent="0.4">
      <c r="A20" s="67" t="s">
        <v>395</v>
      </c>
      <c r="B20" s="67" t="s">
        <v>396</v>
      </c>
      <c r="C20" s="69">
        <f>_xlfn.XLOOKUP(F20,'Corte 2_Final'!$A$2:$A$40,'Corte 2_Final'!$M$2:$M$40,"NA",0)</f>
        <v>2.6625000000000001</v>
      </c>
      <c r="D20" s="68">
        <f>_xlfn.XLOOKUP(F20,Asistencia_Corte_2!$A$6:$A$44,Asistencia_Corte_2!$G$6:$G$44,"NA",0)</f>
        <v>1</v>
      </c>
      <c r="F20" s="10" t="s">
        <v>163</v>
      </c>
    </row>
    <row r="21" spans="1:6" x14ac:dyDescent="0.4">
      <c r="A21" s="67" t="s">
        <v>397</v>
      </c>
      <c r="B21" s="67" t="s">
        <v>398</v>
      </c>
      <c r="C21" s="69">
        <f>_xlfn.XLOOKUP(F21,'Corte 2_Final'!$A$2:$A$40,'Corte 2_Final'!$M$2:$M$40,"NA",0)</f>
        <v>2.875</v>
      </c>
      <c r="D21" s="68">
        <f>_xlfn.XLOOKUP(F21,Asistencia_Corte_2!$A$6:$A$44,Asistencia_Corte_2!$G$6:$G$44,"NA",0)</f>
        <v>1</v>
      </c>
      <c r="F21" s="10" t="s">
        <v>36</v>
      </c>
    </row>
    <row r="22" spans="1:6" x14ac:dyDescent="0.4">
      <c r="A22" s="67" t="s">
        <v>399</v>
      </c>
      <c r="B22" s="67" t="s">
        <v>400</v>
      </c>
      <c r="C22" s="69">
        <f>_xlfn.XLOOKUP(F22,'Corte 2_Final'!$A$2:$A$40,'Corte 2_Final'!$M$2:$M$40,"NA",0)</f>
        <v>5</v>
      </c>
      <c r="D22" s="68">
        <f>_xlfn.XLOOKUP(F22,Asistencia_Corte_2!$A$6:$A$44,Asistencia_Corte_2!$G$6:$G$44,"NA",0)</f>
        <v>2</v>
      </c>
      <c r="F22" s="10" t="s">
        <v>132</v>
      </c>
    </row>
    <row r="23" spans="1:6" x14ac:dyDescent="0.4">
      <c r="A23" s="67" t="s">
        <v>401</v>
      </c>
      <c r="B23" s="67" t="s">
        <v>402</v>
      </c>
      <c r="C23" s="69">
        <f>_xlfn.XLOOKUP(F23,'Corte 2_Final'!$A$2:$A$40,'Corte 2_Final'!$M$2:$M$40,"NA",0)</f>
        <v>5</v>
      </c>
      <c r="D23" s="68">
        <f>_xlfn.XLOOKUP(F23,Asistencia_Corte_2!$A$6:$A$44,Asistencia_Corte_2!$G$6:$G$44,"NA",0)</f>
        <v>1</v>
      </c>
      <c r="F23" s="10" t="s">
        <v>192</v>
      </c>
    </row>
    <row r="24" spans="1:6" x14ac:dyDescent="0.4">
      <c r="A24" s="67" t="s">
        <v>403</v>
      </c>
      <c r="B24" s="67" t="s">
        <v>404</v>
      </c>
      <c r="C24" s="69">
        <f>_xlfn.XLOOKUP(F24,'Corte 2_Final'!$A$2:$A$40,'Corte 2_Final'!$M$2:$M$40,"NA",0)</f>
        <v>5</v>
      </c>
      <c r="D24" s="68">
        <f>_xlfn.XLOOKUP(F24,Asistencia_Corte_2!$A$6:$A$44,Asistencia_Corte_2!$G$6:$G$44,"NA",0)</f>
        <v>0</v>
      </c>
      <c r="F24" s="10" t="s">
        <v>65</v>
      </c>
    </row>
    <row r="25" spans="1:6" x14ac:dyDescent="0.4">
      <c r="A25" s="67" t="s">
        <v>405</v>
      </c>
      <c r="B25" s="67" t="s">
        <v>406</v>
      </c>
      <c r="C25" s="69">
        <f>_xlfn.XLOOKUP(F25,'Corte 2_Final'!$A$2:$A$40,'Corte 2_Final'!$M$2:$M$40,"NA",0)</f>
        <v>4.4474999999999998</v>
      </c>
      <c r="D25" s="68">
        <f>_xlfn.XLOOKUP(F25,Asistencia_Corte_2!$A$6:$A$44,Asistencia_Corte_2!$G$6:$G$44,"NA",0)</f>
        <v>0</v>
      </c>
      <c r="F25" s="10" t="s">
        <v>85</v>
      </c>
    </row>
    <row r="26" spans="1:6" x14ac:dyDescent="0.4">
      <c r="A26" s="67" t="s">
        <v>407</v>
      </c>
      <c r="B26" s="67" t="s">
        <v>408</v>
      </c>
      <c r="C26" s="69">
        <f>_xlfn.XLOOKUP(F26,'Corte 2_Final'!$A$2:$A$40,'Corte 2_Final'!$M$2:$M$40,"NA",0)</f>
        <v>5</v>
      </c>
      <c r="D26" s="68">
        <f>_xlfn.XLOOKUP(F26,Asistencia_Corte_2!$A$6:$A$44,Asistencia_Corte_2!$G$6:$G$44,"NA",0)</f>
        <v>0</v>
      </c>
      <c r="F26" s="10" t="s">
        <v>122</v>
      </c>
    </row>
    <row r="27" spans="1:6" x14ac:dyDescent="0.4">
      <c r="A27" s="67" t="s">
        <v>409</v>
      </c>
      <c r="B27" s="67" t="s">
        <v>410</v>
      </c>
      <c r="C27" s="69">
        <f>_xlfn.XLOOKUP(F27,'Corte 2_Final'!$A$2:$A$40,'Corte 2_Final'!$M$2:$M$40,"NA",0)</f>
        <v>5</v>
      </c>
      <c r="D27" s="68">
        <f>_xlfn.XLOOKUP(F27,Asistencia_Corte_2!$A$6:$A$44,Asistencia_Corte_2!$G$6:$G$44,"NA",0)</f>
        <v>1</v>
      </c>
      <c r="F27" s="10" t="s">
        <v>173</v>
      </c>
    </row>
    <row r="28" spans="1:6" x14ac:dyDescent="0.4">
      <c r="A28" s="67" t="s">
        <v>411</v>
      </c>
      <c r="B28" s="67" t="s">
        <v>412</v>
      </c>
      <c r="C28" s="69">
        <f>_xlfn.XLOOKUP(F28,'Corte 2_Final'!$A$2:$A$40,'Corte 2_Final'!$M$2:$M$40,"NA",0)</f>
        <v>4.8650000000000002</v>
      </c>
      <c r="D28" s="68">
        <f>_xlfn.XLOOKUP(F28,Asistencia_Corte_2!$A$6:$A$44,Asistencia_Corte_2!$G$6:$G$44,"NA",0)</f>
        <v>0</v>
      </c>
      <c r="F28" s="10" t="s">
        <v>127</v>
      </c>
    </row>
    <row r="29" spans="1:6" x14ac:dyDescent="0.4">
      <c r="A29" s="67" t="s">
        <v>413</v>
      </c>
      <c r="B29" s="67" t="s">
        <v>414</v>
      </c>
      <c r="C29" s="69">
        <f>_xlfn.XLOOKUP(F29,'Corte 2_Final'!$A$2:$A$40,'Corte 2_Final'!$M$2:$M$40,"NA",0)</f>
        <v>5</v>
      </c>
      <c r="D29" s="68">
        <f>_xlfn.XLOOKUP(F29,Asistencia_Corte_2!$A$6:$A$44,Asistencia_Corte_2!$G$6:$G$44,"NA",0)</f>
        <v>0</v>
      </c>
      <c r="F29" s="10" t="s">
        <v>56</v>
      </c>
    </row>
    <row r="30" spans="1:6" x14ac:dyDescent="0.4">
      <c r="A30" s="67" t="s">
        <v>415</v>
      </c>
      <c r="B30" s="67" t="s">
        <v>416</v>
      </c>
      <c r="C30" s="69">
        <f>_xlfn.XLOOKUP(F30,'Corte 2_Final'!$A$2:$A$40,'Corte 2_Final'!$M$2:$M$40,"NA",0)</f>
        <v>0.85</v>
      </c>
      <c r="D30" s="68">
        <f>_xlfn.XLOOKUP(F30,Asistencia_Corte_2!$A$6:$A$44,Asistencia_Corte_2!$G$6:$G$44,"NA",0)</f>
        <v>4</v>
      </c>
      <c r="F30" s="10" t="s">
        <v>201</v>
      </c>
    </row>
    <row r="31" spans="1:6" x14ac:dyDescent="0.4">
      <c r="A31" s="67" t="s">
        <v>417</v>
      </c>
      <c r="B31" s="67" t="s">
        <v>418</v>
      </c>
      <c r="C31" s="69">
        <f>_xlfn.XLOOKUP(F31,'Corte 2_Final'!$A$2:$A$40,'Corte 2_Final'!$M$2:$M$40,"NA",0)</f>
        <v>5</v>
      </c>
      <c r="D31" s="68">
        <f>_xlfn.XLOOKUP(F31,Asistencia_Corte_2!$A$6:$A$44,Asistencia_Corte_2!$G$6:$G$44,"NA",0)</f>
        <v>0</v>
      </c>
      <c r="F31" s="10" t="s">
        <v>117</v>
      </c>
    </row>
    <row r="32" spans="1:6" x14ac:dyDescent="0.4">
      <c r="A32" s="67" t="s">
        <v>419</v>
      </c>
      <c r="B32" s="67" t="s">
        <v>420</v>
      </c>
      <c r="C32" s="69">
        <f>_xlfn.XLOOKUP(F32,'Corte 2_Final'!$A$2:$A$40,'Corte 2_Final'!$M$2:$M$40,"NA",0)</f>
        <v>5</v>
      </c>
      <c r="D32" s="68">
        <f>_xlfn.XLOOKUP(F32,Asistencia_Corte_2!$A$6:$A$44,Asistencia_Corte_2!$G$6:$G$44,"NA",0)</f>
        <v>0</v>
      </c>
      <c r="F32" s="10" t="s">
        <v>107</v>
      </c>
    </row>
    <row r="33" spans="1:6" x14ac:dyDescent="0.4">
      <c r="A33" s="67" t="s">
        <v>423</v>
      </c>
      <c r="B33" s="67" t="s">
        <v>424</v>
      </c>
      <c r="C33" s="69">
        <f>_xlfn.XLOOKUP(F33,'Corte 2_Final'!$A$2:$A$40,'Corte 2_Final'!$M$2:$M$40,"NA",0)</f>
        <v>5</v>
      </c>
      <c r="D33" s="68">
        <f>_xlfn.XLOOKUP(F33,Asistencia_Corte_2!$A$6:$A$44,Asistencia_Corte_2!$G$6:$G$44,"NA",0)</f>
        <v>0</v>
      </c>
      <c r="F33" s="10" t="s">
        <v>210</v>
      </c>
    </row>
    <row r="34" spans="1:6" x14ac:dyDescent="0.4">
      <c r="A34" s="67" t="s">
        <v>425</v>
      </c>
      <c r="B34" s="67" t="s">
        <v>426</v>
      </c>
      <c r="C34" s="69">
        <f>_xlfn.XLOOKUP(F34,'Corte 2_Final'!$A$2:$A$40,'Corte 2_Final'!$M$2:$M$40,"NA",0)</f>
        <v>4.5825000000000005</v>
      </c>
      <c r="D34" s="68">
        <f>_xlfn.XLOOKUP(F34,Asistencia_Corte_2!$A$6:$A$44,Asistencia_Corte_2!$G$6:$G$44,"NA",0)</f>
        <v>1</v>
      </c>
      <c r="F34" s="10" t="s">
        <v>197</v>
      </c>
    </row>
    <row r="35" spans="1:6" x14ac:dyDescent="0.4">
      <c r="A35" s="67" t="s">
        <v>427</v>
      </c>
      <c r="B35" s="67" t="s">
        <v>428</v>
      </c>
      <c r="C35" s="69">
        <f>_xlfn.XLOOKUP(F35,'Corte 2_Final'!$A$2:$A$40,'Corte 2_Final'!$M$2:$M$40,"NA",0)</f>
        <v>5</v>
      </c>
      <c r="D35" s="68">
        <f>_xlfn.XLOOKUP(F35,Asistencia_Corte_2!$A$6:$A$44,Asistencia_Corte_2!$G$6:$G$44,"NA",0)</f>
        <v>1</v>
      </c>
      <c r="F35" s="10" t="s">
        <v>142</v>
      </c>
    </row>
    <row r="36" spans="1:6" x14ac:dyDescent="0.4">
      <c r="A36" s="67" t="s">
        <v>429</v>
      </c>
      <c r="B36" s="67" t="s">
        <v>430</v>
      </c>
      <c r="C36" s="69">
        <f>_xlfn.XLOOKUP(F36,'Corte 2_Final'!$A$2:$A$40,'Corte 2_Final'!$M$2:$M$40,"NA",0)</f>
        <v>0.85</v>
      </c>
      <c r="D36" s="68">
        <f>_xlfn.XLOOKUP(F36,Asistencia_Corte_2!$A$6:$A$44,Asistencia_Corte_2!$G$6:$G$44,"NA",0)</f>
        <v>3</v>
      </c>
      <c r="F36" s="10" t="s">
        <v>152</v>
      </c>
    </row>
    <row r="37" spans="1:6" x14ac:dyDescent="0.4">
      <c r="A37" s="67" t="s">
        <v>431</v>
      </c>
      <c r="B37" s="67" t="s">
        <v>432</v>
      </c>
      <c r="C37" s="69">
        <f>_xlfn.XLOOKUP(F37,'Corte 2_Final'!$A$2:$A$40,'Corte 2_Final'!$M$2:$M$40,"NA",0)</f>
        <v>4.3450000000000006</v>
      </c>
      <c r="D37" s="68">
        <f>_xlfn.XLOOKUP(F37,Asistencia_Corte_2!$A$6:$A$44,Asistencia_Corte_2!$G$6:$G$44,"NA",0)</f>
        <v>1</v>
      </c>
      <c r="F37" s="10" t="s">
        <v>41</v>
      </c>
    </row>
    <row r="38" spans="1:6" x14ac:dyDescent="0.4">
      <c r="A38" s="67" t="s">
        <v>433</v>
      </c>
      <c r="B38" s="67" t="s">
        <v>434</v>
      </c>
      <c r="C38" s="69">
        <f>_xlfn.XLOOKUP(F38,'Corte 2_Final'!$A$2:$A$40,'Corte 2_Final'!$M$2:$M$40,"NA",0)</f>
        <v>3.7850000000000001</v>
      </c>
      <c r="D38" s="68">
        <f>_xlfn.XLOOKUP(F38,Asistencia_Corte_2!$A$6:$A$44,Asistencia_Corte_2!$G$6:$G$44,"NA",0)</f>
        <v>1</v>
      </c>
      <c r="F38" s="10" t="s">
        <v>205</v>
      </c>
    </row>
    <row r="39" spans="1:6" x14ac:dyDescent="0.4">
      <c r="A39" s="67" t="s">
        <v>435</v>
      </c>
      <c r="B39" s="67" t="s">
        <v>436</v>
      </c>
      <c r="C39" s="69">
        <f>_xlfn.XLOOKUP(F39,'Corte 2_Final'!$A$2:$A$40,'Corte 2_Final'!$M$2:$M$40,"NA",0)</f>
        <v>5</v>
      </c>
      <c r="D39" s="68">
        <f>_xlfn.XLOOKUP(F39,Asistencia_Corte_2!$A$6:$A$44,Asistencia_Corte_2!$G$6:$G$44,"NA",0)</f>
        <v>1</v>
      </c>
      <c r="F39" s="10" t="s">
        <v>178</v>
      </c>
    </row>
    <row r="40" spans="1:6" x14ac:dyDescent="0.4">
      <c r="A40" s="67" t="s">
        <v>437</v>
      </c>
      <c r="B40" s="67" t="s">
        <v>438</v>
      </c>
      <c r="C40" s="69">
        <f>_xlfn.XLOOKUP(F40,'Corte 2_Final'!$A$2:$A$40,'Corte 2_Final'!$M$2:$M$40,"NA",0)</f>
        <v>5</v>
      </c>
      <c r="D40" s="68">
        <f>_xlfn.XLOOKUP(F40,Asistencia_Corte_2!$A$6:$A$44,Asistencia_Corte_2!$G$6:$G$44,"NA",0)</f>
        <v>0</v>
      </c>
      <c r="F40" s="10" t="s">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B259AB9557381429AFF3834737B9625" ma:contentTypeVersion="3" ma:contentTypeDescription="Crear nuevo documento." ma:contentTypeScope="" ma:versionID="b97bbe6c3329868ed9d41fed8a4794a8">
  <xsd:schema xmlns:xsd="http://www.w3.org/2001/XMLSchema" xmlns:xs="http://www.w3.org/2001/XMLSchema" xmlns:p="http://schemas.microsoft.com/office/2006/metadata/properties" xmlns:ns2="78fc8592-a0d0-47fc-8405-66dd1bdeff4a" targetNamespace="http://schemas.microsoft.com/office/2006/metadata/properties" ma:root="true" ma:fieldsID="1b1a939cdcf8ad3f8aca0d229a526029" ns2:_="">
    <xsd:import namespace="78fc8592-a0d0-47fc-8405-66dd1bdeff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fc8592-a0d0-47fc-8405-66dd1bdeff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E0273E-924B-44B6-8817-89809020F64B}">
  <ds:schemaRefs>
    <ds:schemaRef ds:uri="http://schemas.microsoft.com/sharepoint/v3/contenttype/forms"/>
  </ds:schemaRefs>
</ds:datastoreItem>
</file>

<file path=customXml/itemProps2.xml><?xml version="1.0" encoding="utf-8"?>
<ds:datastoreItem xmlns:ds="http://schemas.openxmlformats.org/officeDocument/2006/customXml" ds:itemID="{8EA1FA6B-E384-4A25-8690-2086363C3A8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249F2D1-A4DC-47A5-98F4-DE63184DA1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fc8592-a0d0-47fc-8405-66dd1bdeff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DATOS_CORTE_1</vt:lpstr>
      <vt:lpstr>Notas_Corte_1</vt:lpstr>
      <vt:lpstr>Notas_Detalle_Corte_1</vt:lpstr>
      <vt:lpstr>Asistencia_Corte_1</vt:lpstr>
      <vt:lpstr>Corte 1_Final</vt:lpstr>
      <vt:lpstr>Notas_SIGA_Corte_1</vt:lpstr>
      <vt:lpstr>DATOS_CORTE_2</vt:lpstr>
      <vt:lpstr>Notas_Corte_2</vt:lpstr>
      <vt:lpstr>Notas_Detalle_Corte_2</vt:lpstr>
      <vt:lpstr>Asistencia_Corte_2</vt:lpstr>
      <vt:lpstr>Corte 2_Final</vt:lpstr>
      <vt:lpstr>Notas_SIGA_Corte_2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ZULUAGA</cp:lastModifiedBy>
  <dcterms:modified xsi:type="dcterms:W3CDTF">2026-04-26T17:23:05Z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0x0101009B259AB9557381429AFF3834737B9625</vt:lpwstr>
  </property>
</Properties>
</file>